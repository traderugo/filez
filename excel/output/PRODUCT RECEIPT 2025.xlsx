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C0868FE-D1CD-40E2-BD3C-01128A29E6BA}" xr6:coauthVersionLast="47" xr6:coauthVersionMax="47" xr10:uidLastSave="{00000000-0000-0000-0000-000000000000}"/>
  <bookViews>
    <workbookView xWindow="-120" yWindow="-120" windowWidth="29040" windowHeight="15720" xr2:uid="{020666C0-48F2-42AD-B86D-CB411179971F}"/>
  </bookViews>
  <sheets>
    <sheet name="TEMPLATE" sheetId="2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29" l="1"/>
  <c r="H12" i="29"/>
  <c r="H11" i="29"/>
  <c r="G26" i="29"/>
  <c r="E26" i="29"/>
  <c r="C26" i="29"/>
  <c r="G25" i="29"/>
  <c r="E25" i="29"/>
  <c r="C25" i="29"/>
  <c r="G24" i="29"/>
  <c r="G27" i="29" s="1"/>
  <c r="E24" i="29"/>
  <c r="C24" i="29"/>
  <c r="C27" i="29" s="1"/>
  <c r="G19" i="29"/>
  <c r="E19" i="29"/>
  <c r="C19" i="29"/>
  <c r="G18" i="29"/>
  <c r="E18" i="29"/>
  <c r="C18" i="29"/>
  <c r="G17" i="29"/>
  <c r="G20" i="29" s="1"/>
  <c r="E17" i="29"/>
  <c r="C17" i="29"/>
  <c r="C20" i="29" s="1"/>
  <c r="G13" i="29"/>
  <c r="G12" i="29"/>
  <c r="G11" i="29"/>
  <c r="D26" i="29" l="1"/>
  <c r="F26" i="29"/>
  <c r="H26" i="29"/>
  <c r="D25" i="29"/>
  <c r="F25" i="29"/>
  <c r="H25" i="29"/>
  <c r="F24" i="29"/>
  <c r="F27" i="29" s="1"/>
  <c r="D19" i="29"/>
  <c r="F19" i="29"/>
  <c r="H19" i="29"/>
  <c r="D18" i="29"/>
  <c r="H18" i="29"/>
  <c r="F17" i="29"/>
  <c r="E20" i="29"/>
  <c r="E27" i="29"/>
  <c r="D17" i="29"/>
  <c r="D20" i="29" s="1"/>
  <c r="H17" i="29"/>
  <c r="H20" i="29" s="1"/>
  <c r="F18" i="29"/>
  <c r="F20" i="29" s="1"/>
  <c r="D24" i="29"/>
  <c r="D27" i="29" s="1"/>
  <c r="H24" i="29"/>
  <c r="H27" i="29" s="1"/>
</calcChain>
</file>

<file path=xl/sharedStrings.xml><?xml version="1.0" encoding="utf-8"?>
<sst xmlns="http://schemas.openxmlformats.org/spreadsheetml/2006/main" count="41" uniqueCount="24">
  <si>
    <t>PRODUCT RECEIPT CALCULATION</t>
  </si>
  <si>
    <t>Loading Date</t>
  </si>
  <si>
    <t>Product</t>
  </si>
  <si>
    <t>Receipt Date</t>
  </si>
  <si>
    <t>Driver</t>
  </si>
  <si>
    <t xml:space="preserve">CHART </t>
  </si>
  <si>
    <t xml:space="preserve">DEPOT </t>
  </si>
  <si>
    <t>STATION</t>
  </si>
  <si>
    <t>Ullage</t>
  </si>
  <si>
    <t>Liquid Ht</t>
  </si>
  <si>
    <t>Highest Vol</t>
  </si>
  <si>
    <t>Lowest Vol</t>
  </si>
  <si>
    <t>Highest Ullage</t>
  </si>
  <si>
    <t>Lowest Ullage</t>
  </si>
  <si>
    <t>Ullage M.F</t>
  </si>
  <si>
    <t>Liquid Ht M.F</t>
  </si>
  <si>
    <t>DEPOT TO STATION</t>
  </si>
  <si>
    <t>CHART TO STATION</t>
  </si>
  <si>
    <t>CHART TO DEPOT</t>
  </si>
  <si>
    <t>Ullage Diff</t>
  </si>
  <si>
    <t>Vol</t>
  </si>
  <si>
    <t>TOTAL</t>
  </si>
  <si>
    <t>Liquid Ht Diff</t>
  </si>
  <si>
    <t>ugomail2017@gmail.com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</si>
</sst>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_);[Red]\(#,##0.0\)"/>
    <numFmt numFmtId="165" formatCode="dd/mm/yyyy\,\ dddd"/>
  </numFmts>
  <fonts count="3">
    <font>
      <sz val="11"/>
      <color theme="1"/>
      <name val="Aptos Narrow"/>
      <family val="2"/>
      <scheme val="minor"/>
    </font>
    <font>
      <b/>
      <sz val="12"/>
      <color theme="1"/>
      <name val="Corbel"/>
      <family val="2"/>
    </font>
    <font>
      <b/>
      <sz val="16"/>
      <color theme="1"/>
      <name val="Corbe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 tint="-0.249977111117893"/>
      </top>
      <bottom/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/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1" fillId="0" borderId="3" xfId="0" applyNumberFormat="1" applyFont="1" applyBorder="1" applyProtection="1">
      <protection locked="0"/>
    </xf>
    <xf numFmtId="38" fontId="1" fillId="0" borderId="4" xfId="0" applyNumberFormat="1" applyFont="1" applyBorder="1" applyProtection="1">
      <protection locked="0"/>
    </xf>
    <xf numFmtId="164" fontId="1" fillId="0" borderId="5" xfId="0" applyNumberFormat="1" applyFont="1" applyBorder="1" applyProtection="1">
      <protection locked="0"/>
    </xf>
    <xf numFmtId="38" fontId="1" fillId="0" borderId="6" xfId="0" applyNumberFormat="1" applyFont="1" applyBorder="1" applyProtection="1">
      <protection locked="0"/>
    </xf>
    <xf numFmtId="164" fontId="1" fillId="0" borderId="7" xfId="0" applyNumberFormat="1" applyFont="1" applyBorder="1" applyProtection="1">
      <protection locked="0"/>
    </xf>
    <xf numFmtId="38" fontId="1" fillId="0" borderId="8" xfId="0" applyNumberFormat="1" applyFont="1" applyBorder="1" applyProtection="1">
      <protection locked="0"/>
    </xf>
    <xf numFmtId="164" fontId="1" fillId="0" borderId="30" xfId="0" applyNumberFormat="1" applyFont="1" applyBorder="1" applyProtection="1">
      <protection locked="0"/>
    </xf>
    <xf numFmtId="38" fontId="1" fillId="0" borderId="5" xfId="0" applyNumberFormat="1" applyFont="1" applyBorder="1" applyProtection="1">
      <protection locked="0"/>
    </xf>
    <xf numFmtId="38" fontId="1" fillId="0" borderId="7" xfId="0" applyNumberFormat="1" applyFont="1" applyBorder="1" applyProtection="1">
      <protection locked="0"/>
    </xf>
    <xf numFmtId="38" fontId="1" fillId="0" borderId="3" xfId="0" applyNumberFormat="1" applyFont="1" applyBorder="1" applyProtection="1">
      <protection locked="0"/>
    </xf>
    <xf numFmtId="164" fontId="1" fillId="0" borderId="4" xfId="0" applyNumberFormat="1" applyFont="1" applyBorder="1" applyProtection="1">
      <protection locked="0"/>
    </xf>
    <xf numFmtId="164" fontId="1" fillId="0" borderId="31" xfId="0" applyNumberFormat="1" applyFont="1" applyBorder="1" applyProtection="1">
      <protection locked="0"/>
    </xf>
    <xf numFmtId="0" fontId="1" fillId="3" borderId="0" xfId="0" applyFont="1" applyFill="1"/>
    <xf numFmtId="0" fontId="2" fillId="2" borderId="15" xfId="0" applyFont="1" applyFill="1" applyBorder="1"/>
    <xf numFmtId="0" fontId="2" fillId="2" borderId="23" xfId="0" applyFont="1" applyFill="1" applyBorder="1"/>
    <xf numFmtId="0" fontId="1" fillId="0" borderId="0" xfId="0" applyFont="1"/>
    <xf numFmtId="0" fontId="1" fillId="4" borderId="24" xfId="0" applyFont="1" applyFill="1" applyBorder="1"/>
    <xf numFmtId="0" fontId="1" fillId="4" borderId="28" xfId="0" applyFont="1" applyFill="1" applyBorder="1"/>
    <xf numFmtId="0" fontId="1" fillId="4" borderId="9" xfId="0" applyFont="1" applyFill="1" applyBorder="1"/>
    <xf numFmtId="0" fontId="1" fillId="4" borderId="26" xfId="0" applyFont="1" applyFill="1" applyBorder="1"/>
    <xf numFmtId="0" fontId="1" fillId="4" borderId="29" xfId="0" applyFont="1" applyFill="1" applyBorder="1"/>
    <xf numFmtId="0" fontId="1" fillId="4" borderId="10" xfId="0" applyFont="1" applyFill="1" applyBorder="1"/>
    <xf numFmtId="0" fontId="1" fillId="4" borderId="11" xfId="0" applyFont="1" applyFill="1" applyBorder="1"/>
    <xf numFmtId="0" fontId="1" fillId="2" borderId="2" xfId="0" applyFont="1" applyFill="1" applyBorder="1" applyAlignment="1">
      <alignment horizontal="center" vertical="center" wrapText="1"/>
    </xf>
    <xf numFmtId="40" fontId="1" fillId="4" borderId="3" xfId="0" applyNumberFormat="1" applyFont="1" applyFill="1" applyBorder="1"/>
    <xf numFmtId="40" fontId="1" fillId="4" borderId="4" xfId="0" applyNumberFormat="1" applyFont="1" applyFill="1" applyBorder="1"/>
    <xf numFmtId="40" fontId="1" fillId="4" borderId="5" xfId="0" applyNumberFormat="1" applyFont="1" applyFill="1" applyBorder="1"/>
    <xf numFmtId="40" fontId="1" fillId="4" borderId="6" xfId="0" applyNumberFormat="1" applyFont="1" applyFill="1" applyBorder="1"/>
    <xf numFmtId="40" fontId="1" fillId="4" borderId="7" xfId="0" applyNumberFormat="1" applyFont="1" applyFill="1" applyBorder="1"/>
    <xf numFmtId="40" fontId="1" fillId="4" borderId="8" xfId="0" applyNumberFormat="1" applyFont="1" applyFill="1" applyBorder="1"/>
    <xf numFmtId="164" fontId="1" fillId="4" borderId="3" xfId="0" applyNumberFormat="1" applyFont="1" applyFill="1" applyBorder="1"/>
    <xf numFmtId="164" fontId="1" fillId="4" borderId="4" xfId="0" applyNumberFormat="1" applyFont="1" applyFill="1" applyBorder="1"/>
    <xf numFmtId="164" fontId="1" fillId="4" borderId="5" xfId="0" applyNumberFormat="1" applyFont="1" applyFill="1" applyBorder="1"/>
    <xf numFmtId="164" fontId="1" fillId="4" borderId="6" xfId="0" applyNumberFormat="1" applyFont="1" applyFill="1" applyBorder="1"/>
    <xf numFmtId="0" fontId="1" fillId="4" borderId="18" xfId="0" applyFont="1" applyFill="1" applyBorder="1"/>
    <xf numFmtId="164" fontId="1" fillId="4" borderId="19" xfId="0" applyNumberFormat="1" applyFont="1" applyFill="1" applyBorder="1"/>
    <xf numFmtId="164" fontId="1" fillId="4" borderId="20" xfId="0" applyNumberFormat="1" applyFont="1" applyFill="1" applyBorder="1"/>
    <xf numFmtId="0" fontId="1" fillId="4" borderId="1" xfId="0" applyFont="1" applyFill="1" applyBorder="1"/>
    <xf numFmtId="164" fontId="1" fillId="4" borderId="21" xfId="0" applyNumberFormat="1" applyFont="1" applyFill="1" applyBorder="1"/>
    <xf numFmtId="164" fontId="1" fillId="4" borderId="22" xfId="0" applyNumberFormat="1" applyFont="1" applyFill="1" applyBorder="1"/>
    <xf numFmtId="0" fontId="2" fillId="2" borderId="2" xfId="0" applyFont="1" applyFill="1" applyBorder="1" applyProtection="1">
      <protection locked="0"/>
    </xf>
    <xf numFmtId="0" fontId="1" fillId="2" borderId="1" xfId="0" applyFont="1" applyFill="1" applyBorder="1" applyAlignment="1">
      <alignment horizontal="center" vertical="center" wrapText="1"/>
    </xf>
    <xf numFmtId="49" fontId="1" fillId="0" borderId="24" xfId="0" applyNumberFormat="1" applyFont="1" applyBorder="1" applyAlignment="1" applyProtection="1">
      <alignment horizontal="right" vertical="center"/>
      <protection locked="0"/>
    </xf>
    <xf numFmtId="49" fontId="1" fillId="0" borderId="28" xfId="0" applyNumberFormat="1" applyFont="1" applyBorder="1" applyAlignment="1" applyProtection="1">
      <alignment horizontal="right" vertical="center"/>
      <protection locked="0"/>
    </xf>
    <xf numFmtId="165" fontId="1" fillId="0" borderId="25" xfId="0" applyNumberFormat="1" applyFont="1" applyBorder="1" applyAlignment="1" applyProtection="1">
      <alignment horizontal="right" vertical="center"/>
      <protection locked="0"/>
    </xf>
    <xf numFmtId="165" fontId="1" fillId="0" borderId="28" xfId="0" applyNumberFormat="1" applyFont="1" applyBorder="1" applyAlignment="1" applyProtection="1">
      <alignment horizontal="right" vertical="center"/>
      <protection locked="0"/>
    </xf>
    <xf numFmtId="49" fontId="1" fillId="0" borderId="26" xfId="0" applyNumberFormat="1" applyFont="1" applyBorder="1" applyAlignment="1" applyProtection="1">
      <alignment horizontal="right" vertical="center"/>
      <protection locked="0"/>
    </xf>
    <xf numFmtId="49" fontId="1" fillId="0" borderId="29" xfId="0" applyNumberFormat="1" applyFont="1" applyBorder="1" applyAlignment="1" applyProtection="1">
      <alignment horizontal="right" vertical="center"/>
      <protection locked="0"/>
    </xf>
    <xf numFmtId="165" fontId="1" fillId="0" borderId="27" xfId="0" applyNumberFormat="1" applyFont="1" applyBorder="1" applyAlignment="1" applyProtection="1">
      <alignment horizontal="right" vertical="center"/>
      <protection locked="0"/>
    </xf>
    <xf numFmtId="165" fontId="1" fillId="0" borderId="29" xfId="0" applyNumberFormat="1" applyFont="1" applyBorder="1" applyAlignment="1" applyProtection="1">
      <alignment horizontal="right" vertical="center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C50DA-0A18-42B9-8D27-7227FC9B432E}">
  <dimension ref="A1:I28"/>
  <sheetViews>
    <sheetView tabSelected="1" topLeftCell="A8" workbookViewId="0">
      <selection activeCell="D14" sqref="B14:H14"/>
    </sheetView>
  </sheetViews>
  <sheetFormatPr defaultRowHeight="15.75"/>
  <cols>
    <col min="1" max="1" width="2" style="16" customWidth="1"/>
    <col min="2" max="2" width="9.140625" style="16"/>
    <col min="3" max="3" width="11.85546875" style="16" customWidth="1"/>
    <col min="4" max="4" width="10.28515625" style="16" bestFit="1" customWidth="1"/>
    <col min="5" max="5" width="12.42578125" style="16" customWidth="1"/>
    <col min="6" max="6" width="12.28515625" style="16" customWidth="1"/>
    <col min="7" max="7" width="12.85546875" style="16" customWidth="1"/>
    <col min="8" max="8" width="11.5703125" style="16" customWidth="1"/>
    <col min="9" max="9" width="3" style="16" customWidth="1"/>
    <col min="10" max="16384" width="9.140625" style="16"/>
  </cols>
  <sheetData>
    <row r="1" spans="1:9" ht="21">
      <c r="A1" s="13"/>
      <c r="B1" s="14" t="s">
        <v>0</v>
      </c>
      <c r="C1" s="15"/>
      <c r="D1" s="15"/>
      <c r="E1" s="15"/>
      <c r="F1" s="15"/>
      <c r="G1" s="15"/>
      <c r="H1" s="41"/>
      <c r="I1" s="13"/>
    </row>
    <row r="2" spans="1:9">
      <c r="A2" s="13"/>
      <c r="B2" s="17" t="s">
        <v>1</v>
      </c>
      <c r="C2" s="18"/>
      <c r="D2" s="43"/>
      <c r="E2" s="44"/>
      <c r="F2" s="19" t="s">
        <v>2</v>
      </c>
      <c r="G2" s="45"/>
      <c r="H2" s="46"/>
      <c r="I2" s="13"/>
    </row>
    <row r="3" spans="1:9">
      <c r="A3" s="13"/>
      <c r="B3" s="20" t="s">
        <v>3</v>
      </c>
      <c r="C3" s="21"/>
      <c r="D3" s="47"/>
      <c r="E3" s="48"/>
      <c r="F3" s="22" t="s">
        <v>4</v>
      </c>
      <c r="G3" s="49"/>
      <c r="H3" s="50"/>
      <c r="I3" s="13"/>
    </row>
    <row r="4" spans="1:9" ht="29.25" customHeight="1">
      <c r="A4" s="13"/>
      <c r="B4" s="42"/>
      <c r="C4" s="51" t="s">
        <v>5</v>
      </c>
      <c r="D4" s="51"/>
      <c r="E4" s="51" t="s">
        <v>6</v>
      </c>
      <c r="F4" s="51"/>
      <c r="G4" s="51" t="s">
        <v>7</v>
      </c>
      <c r="H4" s="51"/>
      <c r="I4" s="13"/>
    </row>
    <row r="5" spans="1:9" ht="29.25" customHeight="1">
      <c r="A5" s="13"/>
      <c r="B5" s="42"/>
      <c r="C5" s="42" t="s">
        <v>8</v>
      </c>
      <c r="D5" s="42" t="s">
        <v>9</v>
      </c>
      <c r="E5" s="42" t="s">
        <v>8</v>
      </c>
      <c r="F5" s="42" t="s">
        <v>9</v>
      </c>
      <c r="G5" s="42" t="s">
        <v>8</v>
      </c>
      <c r="H5" s="42" t="s">
        <v>9</v>
      </c>
      <c r="I5" s="13"/>
    </row>
    <row r="6" spans="1:9">
      <c r="A6" s="13"/>
      <c r="B6" s="19">
        <v>1</v>
      </c>
      <c r="C6" s="1">
        <v>49.4</v>
      </c>
      <c r="D6" s="2">
        <v>1416</v>
      </c>
      <c r="E6" s="1">
        <v>30.6</v>
      </c>
      <c r="F6" s="2">
        <v>0</v>
      </c>
      <c r="G6" s="1">
        <v>31.6</v>
      </c>
      <c r="H6" s="2">
        <v>1590</v>
      </c>
      <c r="I6" s="13"/>
    </row>
    <row r="7" spans="1:9">
      <c r="A7" s="13"/>
      <c r="B7" s="22">
        <v>2</v>
      </c>
      <c r="C7" s="3">
        <v>60.2</v>
      </c>
      <c r="D7" s="4">
        <v>1308</v>
      </c>
      <c r="E7" s="3">
        <v>75</v>
      </c>
      <c r="F7" s="4">
        <v>0</v>
      </c>
      <c r="G7" s="3">
        <v>76.2</v>
      </c>
      <c r="H7" s="4">
        <v>1156</v>
      </c>
      <c r="I7" s="13"/>
    </row>
    <row r="8" spans="1:9">
      <c r="A8" s="13"/>
      <c r="B8" s="23">
        <v>3</v>
      </c>
      <c r="C8" s="5">
        <v>47.2</v>
      </c>
      <c r="D8" s="6">
        <v>1428</v>
      </c>
      <c r="E8" s="5">
        <v>47</v>
      </c>
      <c r="F8" s="6">
        <v>0</v>
      </c>
      <c r="G8" s="5">
        <v>48</v>
      </c>
      <c r="H8" s="6">
        <v>1420</v>
      </c>
      <c r="I8" s="13"/>
    </row>
    <row r="9" spans="1:9">
      <c r="A9" s="13"/>
      <c r="B9" s="52"/>
      <c r="C9" s="53"/>
      <c r="D9" s="53"/>
      <c r="E9" s="53"/>
      <c r="F9" s="53"/>
      <c r="G9" s="53"/>
      <c r="H9" s="54"/>
      <c r="I9" s="13"/>
    </row>
    <row r="10" spans="1:9" ht="31.5" customHeight="1">
      <c r="A10" s="13"/>
      <c r="B10" s="42"/>
      <c r="C10" s="42" t="s">
        <v>10</v>
      </c>
      <c r="D10" s="42" t="s">
        <v>11</v>
      </c>
      <c r="E10" s="42" t="s">
        <v>12</v>
      </c>
      <c r="F10" s="42" t="s">
        <v>13</v>
      </c>
      <c r="G10" s="42" t="s">
        <v>14</v>
      </c>
      <c r="H10" s="24" t="s">
        <v>15</v>
      </c>
      <c r="I10" s="13"/>
    </row>
    <row r="11" spans="1:9">
      <c r="A11" s="13"/>
      <c r="B11" s="19">
        <v>1</v>
      </c>
      <c r="C11" s="10">
        <v>13500</v>
      </c>
      <c r="D11" s="2">
        <v>13200</v>
      </c>
      <c r="E11" s="1">
        <v>53.4</v>
      </c>
      <c r="F11" s="11">
        <v>49.4</v>
      </c>
      <c r="G11" s="25">
        <f>(C11-D11)/(E11-F11)</f>
        <v>75</v>
      </c>
      <c r="H11" s="26">
        <f>C11/D6</f>
        <v>9.5338983050847457</v>
      </c>
      <c r="I11" s="13"/>
    </row>
    <row r="12" spans="1:9">
      <c r="A12" s="13"/>
      <c r="B12" s="22">
        <v>2</v>
      </c>
      <c r="C12" s="8">
        <v>13000</v>
      </c>
      <c r="D12" s="4">
        <v>12700</v>
      </c>
      <c r="E12" s="3">
        <v>65.8</v>
      </c>
      <c r="F12" s="7">
        <v>60.2</v>
      </c>
      <c r="G12" s="27">
        <f>(C12-D12)/(E12-F12)</f>
        <v>53.571428571428626</v>
      </c>
      <c r="H12" s="28">
        <f>C12/D7</f>
        <v>9.9388379204892967</v>
      </c>
      <c r="I12" s="13"/>
    </row>
    <row r="13" spans="1:9">
      <c r="A13" s="13"/>
      <c r="B13" s="23">
        <v>3</v>
      </c>
      <c r="C13" s="9">
        <v>13500</v>
      </c>
      <c r="D13" s="6">
        <v>13200</v>
      </c>
      <c r="E13" s="5">
        <v>51</v>
      </c>
      <c r="F13" s="12">
        <v>47.2</v>
      </c>
      <c r="G13" s="29">
        <f>(C13-D13)/(E13-F13)</f>
        <v>78.947368421052687</v>
      </c>
      <c r="H13" s="30">
        <f>C13/D8</f>
        <v>9.4537815126050422</v>
      </c>
      <c r="I13" s="13"/>
    </row>
    <row r="14" spans="1:9">
      <c r="A14" s="13"/>
      <c r="B14" s="55"/>
      <c r="C14" s="56"/>
      <c r="D14" s="56"/>
      <c r="E14" s="56"/>
      <c r="F14" s="56"/>
      <c r="G14" s="56"/>
      <c r="H14" s="57"/>
      <c r="I14" s="13"/>
    </row>
    <row r="15" spans="1:9" ht="30" customHeight="1">
      <c r="A15" s="13"/>
      <c r="B15" s="42"/>
      <c r="C15" s="51" t="s">
        <v>16</v>
      </c>
      <c r="D15" s="51"/>
      <c r="E15" s="51" t="s">
        <v>17</v>
      </c>
      <c r="F15" s="51"/>
      <c r="G15" s="51" t="s">
        <v>18</v>
      </c>
      <c r="H15" s="51"/>
      <c r="I15" s="13"/>
    </row>
    <row r="16" spans="1:9">
      <c r="A16" s="13"/>
      <c r="B16" s="42"/>
      <c r="C16" s="42" t="s">
        <v>19</v>
      </c>
      <c r="D16" s="42" t="s">
        <v>20</v>
      </c>
      <c r="E16" s="42" t="s">
        <v>19</v>
      </c>
      <c r="F16" s="42" t="s">
        <v>20</v>
      </c>
      <c r="G16" s="42" t="s">
        <v>19</v>
      </c>
      <c r="H16" s="42" t="s">
        <v>20</v>
      </c>
      <c r="I16" s="13"/>
    </row>
    <row r="17" spans="1:9">
      <c r="A17" s="13"/>
      <c r="B17" s="19">
        <v>1</v>
      </c>
      <c r="C17" s="31">
        <f>E6-G6</f>
        <v>-1</v>
      </c>
      <c r="D17" s="32">
        <f>C17*G11</f>
        <v>-75</v>
      </c>
      <c r="E17" s="31">
        <f>C6-G6</f>
        <v>17.799999999999997</v>
      </c>
      <c r="F17" s="32">
        <f>E17*G11</f>
        <v>1334.9999999999998</v>
      </c>
      <c r="G17" s="31">
        <f>C6-E6</f>
        <v>18.799999999999997</v>
      </c>
      <c r="H17" s="32">
        <f>G17*G11</f>
        <v>1409.9999999999998</v>
      </c>
      <c r="I17" s="13"/>
    </row>
    <row r="18" spans="1:9">
      <c r="A18" s="13"/>
      <c r="B18" s="22">
        <v>2</v>
      </c>
      <c r="C18" s="33">
        <f>E7-G7</f>
        <v>-1.2000000000000028</v>
      </c>
      <c r="D18" s="34">
        <f>C18*G12</f>
        <v>-64.285714285714505</v>
      </c>
      <c r="E18" s="33">
        <f>C7-G7</f>
        <v>-16</v>
      </c>
      <c r="F18" s="34">
        <f>E18*G12</f>
        <v>-857.14285714285802</v>
      </c>
      <c r="G18" s="33">
        <f>C7-E7</f>
        <v>-14.799999999999997</v>
      </c>
      <c r="H18" s="34">
        <f>G18*G12</f>
        <v>-792.85714285714357</v>
      </c>
      <c r="I18" s="13"/>
    </row>
    <row r="19" spans="1:9">
      <c r="A19" s="13"/>
      <c r="B19" s="35">
        <v>3</v>
      </c>
      <c r="C19" s="36">
        <f>E8-G8</f>
        <v>-1</v>
      </c>
      <c r="D19" s="37">
        <f>C19*G13</f>
        <v>-78.947368421052687</v>
      </c>
      <c r="E19" s="36">
        <f>C8-G8</f>
        <v>-0.79999999999999716</v>
      </c>
      <c r="F19" s="37">
        <f>E19*G13</f>
        <v>-63.157894736841925</v>
      </c>
      <c r="G19" s="36">
        <f>C8-E8</f>
        <v>0.20000000000000284</v>
      </c>
      <c r="H19" s="37">
        <f>G19*G13</f>
        <v>15.789473684210762</v>
      </c>
      <c r="I19" s="13"/>
    </row>
    <row r="20" spans="1:9">
      <c r="A20" s="13"/>
      <c r="B20" s="38" t="s">
        <v>21</v>
      </c>
      <c r="C20" s="39">
        <f t="shared" ref="C20:H20" si="0">SUM(C17:C19)</f>
        <v>-3.2000000000000028</v>
      </c>
      <c r="D20" s="40">
        <f t="shared" si="0"/>
        <v>-218.23308270676719</v>
      </c>
      <c r="E20" s="39">
        <f t="shared" si="0"/>
        <v>1</v>
      </c>
      <c r="F20" s="40">
        <f t="shared" si="0"/>
        <v>414.69924812029984</v>
      </c>
      <c r="G20" s="39">
        <f t="shared" si="0"/>
        <v>4.2000000000000028</v>
      </c>
      <c r="H20" s="40">
        <f t="shared" si="0"/>
        <v>632.93233082706695</v>
      </c>
      <c r="I20" s="13"/>
    </row>
    <row r="21" spans="1:9">
      <c r="A21" s="13"/>
      <c r="B21" s="55"/>
      <c r="C21" s="56"/>
      <c r="D21" s="56"/>
      <c r="E21" s="56"/>
      <c r="F21" s="56"/>
      <c r="G21" s="56"/>
      <c r="H21" s="57"/>
      <c r="I21" s="13"/>
    </row>
    <row r="22" spans="1:9" ht="31.5" customHeight="1">
      <c r="A22" s="13"/>
      <c r="B22" s="42"/>
      <c r="C22" s="51" t="s">
        <v>16</v>
      </c>
      <c r="D22" s="51"/>
      <c r="E22" s="51" t="s">
        <v>17</v>
      </c>
      <c r="F22" s="51"/>
      <c r="G22" s="51" t="s">
        <v>18</v>
      </c>
      <c r="H22" s="51"/>
      <c r="I22" s="13"/>
    </row>
    <row r="23" spans="1:9" ht="31.5">
      <c r="A23" s="13"/>
      <c r="B23" s="42"/>
      <c r="C23" s="42" t="s">
        <v>22</v>
      </c>
      <c r="D23" s="42" t="s">
        <v>20</v>
      </c>
      <c r="E23" s="42" t="s">
        <v>22</v>
      </c>
      <c r="F23" s="42" t="s">
        <v>20</v>
      </c>
      <c r="G23" s="42" t="s">
        <v>22</v>
      </c>
      <c r="H23" s="42" t="s">
        <v>20</v>
      </c>
      <c r="I23" s="13"/>
    </row>
    <row r="24" spans="1:9">
      <c r="A24" s="13"/>
      <c r="B24" s="19">
        <v>1</v>
      </c>
      <c r="C24" s="31">
        <f>(F6-H6)*-1</f>
        <v>1590</v>
      </c>
      <c r="D24" s="32">
        <f>C24*H11</f>
        <v>15158.898305084746</v>
      </c>
      <c r="E24" s="31">
        <f>(D6-H6)*-1</f>
        <v>174</v>
      </c>
      <c r="F24" s="32">
        <f>E24*H11</f>
        <v>1658.8983050847457</v>
      </c>
      <c r="G24" s="31">
        <f>(D6-F6)*-1</f>
        <v>-1416</v>
      </c>
      <c r="H24" s="32">
        <f>G24*H11</f>
        <v>-13500</v>
      </c>
      <c r="I24" s="13"/>
    </row>
    <row r="25" spans="1:9">
      <c r="A25" s="13"/>
      <c r="B25" s="22">
        <v>2</v>
      </c>
      <c r="C25" s="33">
        <f>(F7-H7)*-1</f>
        <v>1156</v>
      </c>
      <c r="D25" s="34">
        <f>C25*H12</f>
        <v>11489.296636085626</v>
      </c>
      <c r="E25" s="33">
        <f>(D7-H7)*-1</f>
        <v>-152</v>
      </c>
      <c r="F25" s="34">
        <f>E25*H12</f>
        <v>-1510.7033639143731</v>
      </c>
      <c r="G25" s="33">
        <f>(D7-F7)*-1</f>
        <v>-1308</v>
      </c>
      <c r="H25" s="34">
        <f>G25*H12</f>
        <v>-13000</v>
      </c>
      <c r="I25" s="13"/>
    </row>
    <row r="26" spans="1:9">
      <c r="A26" s="13"/>
      <c r="B26" s="35">
        <v>3</v>
      </c>
      <c r="C26" s="36">
        <f>(F8-H8)*-1</f>
        <v>1420</v>
      </c>
      <c r="D26" s="37">
        <f>C26*H13</f>
        <v>13424.36974789916</v>
      </c>
      <c r="E26" s="36">
        <f>(D8-H8)*-1</f>
        <v>-8</v>
      </c>
      <c r="F26" s="37">
        <f>E26*H13</f>
        <v>-75.630252100840337</v>
      </c>
      <c r="G26" s="36">
        <f>(D8-F8)*-1</f>
        <v>-1428</v>
      </c>
      <c r="H26" s="37">
        <f>G26*H13</f>
        <v>-13500</v>
      </c>
      <c r="I26" s="13"/>
    </row>
    <row r="27" spans="1:9">
      <c r="A27" s="13"/>
      <c r="B27" s="38" t="s">
        <v>21</v>
      </c>
      <c r="C27" s="39">
        <f t="shared" ref="C27:H27" si="1">SUM(C24:C26)</f>
        <v>4166</v>
      </c>
      <c r="D27" s="40">
        <f t="shared" si="1"/>
        <v>40072.564689069535</v>
      </c>
      <c r="E27" s="39">
        <f t="shared" si="1"/>
        <v>14</v>
      </c>
      <c r="F27" s="40">
        <f t="shared" si="1"/>
        <v>72.564689069532321</v>
      </c>
      <c r="G27" s="39">
        <f t="shared" si="1"/>
        <v>-4152</v>
      </c>
      <c r="H27" s="40">
        <f t="shared" si="1"/>
        <v>-40000</v>
      </c>
      <c r="I27" s="13"/>
    </row>
    <row r="28" spans="1:9">
      <c r="A28" s="13" t="s">
        <v>23</v>
      </c>
      <c r="B28" s="13"/>
      <c r="C28" s="13"/>
      <c r="D28" s="13"/>
      <c r="E28" s="13"/>
      <c r="F28" s="13"/>
      <c r="G28" s="13"/>
      <c r="H28" s="13"/>
      <c r="I28" s="13"/>
    </row>
  </sheetData>
  <sheetProtection algorithmName="SHA-512" hashValue="TXdlqvMJUOLo71Xb2k9/Uyt7TmlzNg+VFrvCxnzSYuI2W+P2K8Owp+cLCmD0GUmfGn0IH3tASd+jYGNx749Iqg==" saltValue="TFv3nKgAsIbLETlzrDlQMQ==" spinCount="100000" sheet="1" objects="1" scenarios="1"/>
  <mergeCells count="16">
    <mergeCell ref="C22:D22"/>
    <mergeCell ref="E22:F22"/>
    <mergeCell ref="G22:H22"/>
    <mergeCell ref="B9:H9"/>
    <mergeCell ref="B14:H14"/>
    <mergeCell ref="C15:D15"/>
    <mergeCell ref="E15:F15"/>
    <mergeCell ref="G15:H15"/>
    <mergeCell ref="B21:H21"/>
    <mergeCell ref="D2:E2"/>
    <mergeCell ref="G2:H2"/>
    <mergeCell ref="D3:E3"/>
    <mergeCell ref="G3:H3"/>
    <mergeCell ref="C4:D4"/>
    <mergeCell ref="E4:F4"/>
    <mergeCell ref="G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Odafe Joseph Ogurume</dc:creator>
  <cp:keywords/>
  <dc:description/>
  <cp:lastModifiedBy/>
  <cp:revision/>
  <dcterms:created xsi:type="dcterms:W3CDTF">2024-11-05T21:30:57Z</dcterms:created>
  <dcterms:modified xsi:type="dcterms:W3CDTF">2026-03-20T15:28:44Z</dcterms:modified>
  <cp:category/>
  <cp:contentStatus/>
</cp:coreProperties>
</file>