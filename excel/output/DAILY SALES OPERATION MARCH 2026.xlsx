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E84B0F6-33CC-44E3-89DE-BF6274182861}" xr6:coauthVersionLast="47" xr6:coauthVersionMax="47" xr10:uidLastSave="{00000000-0000-0000-0000-000000000000}"/>
  <bookViews>
    <workbookView xWindow="-120" yWindow="-120" windowWidth="29040" windowHeight="15720" tabRatio="867" firstSheet="3" activeTab="3" xr2:uid="{00000000-000D-0000-FFFF-FFFF00000000}"/>
  </bookViews>
  <sheets>
    <sheet name="SALES" sheetId="204" r:id="rId1"/>
    <sheet name="INVENTORY" sheetId="205" r:id="rId2"/>
    <sheet name="CONSUMPTION" sheetId="269" r:id="rId3"/>
    <sheet name="LODGEMENT" sheetId="203" r:id="rId4"/>
    <sheet name="LUBE" sheetId="206" r:id="rId5"/>
    <sheet name="CUSTOMERS" sheetId="328" r:id="rId6"/>
    <sheet name="SUMMARY" sheetId="329" r:id="rId7"/>
    <sheet name="1" sheetId="45" r:id="rId8"/>
    <sheet name="2" sheetId="207" r:id="rId9"/>
    <sheet name="3" sheetId="359" r:id="rId10"/>
    <sheet name="4" sheetId="360" r:id="rId11"/>
    <sheet name="5" sheetId="361" r:id="rId12"/>
    <sheet name="6" sheetId="362" r:id="rId13"/>
    <sheet name="7" sheetId="363" r:id="rId14"/>
    <sheet name="8" sheetId="364" r:id="rId15"/>
    <sheet name="9" sheetId="365" r:id="rId16"/>
    <sheet name="10" sheetId="366" r:id="rId17"/>
    <sheet name="11" sheetId="367" r:id="rId18"/>
    <sheet name="12" sheetId="368" r:id="rId19"/>
    <sheet name="13" sheetId="369" r:id="rId20"/>
    <sheet name="14" sheetId="370" r:id="rId21"/>
    <sheet name="15" sheetId="371" r:id="rId22"/>
    <sheet name="16" sheetId="372" r:id="rId23"/>
    <sheet name="17" sheetId="373" r:id="rId24"/>
    <sheet name="18" sheetId="374" r:id="rId25"/>
    <sheet name="19" sheetId="375" r:id="rId26"/>
    <sheet name="20" sheetId="376" r:id="rId27"/>
    <sheet name="21" sheetId="377" r:id="rId28"/>
    <sheet name="22" sheetId="378" r:id="rId29"/>
    <sheet name="23" sheetId="379" r:id="rId30"/>
    <sheet name="24" sheetId="380" r:id="rId31"/>
    <sheet name="25" sheetId="381" r:id="rId32"/>
    <sheet name="26" sheetId="382" r:id="rId33"/>
    <sheet name="27" sheetId="383" r:id="rId34"/>
    <sheet name="28" sheetId="384" r:id="rId35"/>
    <sheet name="29" sheetId="385" r:id="rId36"/>
    <sheet name="30" sheetId="386" r:id="rId37"/>
    <sheet name="31" sheetId="387" r:id="rId3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yG0EUFtnSe+HnfHLxeZQyxTe82bp6NJvOXZ7phjqnNc="/>
    </ext>
  </extLst>
</workbook>
</file>

<file path=xl/calcChain.xml><?xml version="1.0" encoding="utf-8"?>
<calcChain xmlns="http://schemas.openxmlformats.org/spreadsheetml/2006/main">
  <c r="C3" i="375" l="1"/>
  <c r="C12" i="374"/>
  <c r="M6" i="373"/>
  <c r="M4" i="373"/>
  <c r="M3" i="373"/>
  <c r="C3" i="373"/>
  <c r="C3" i="372"/>
  <c r="M6" i="371"/>
  <c r="C3" i="371"/>
  <c r="C13" i="370"/>
  <c r="C12" i="370"/>
  <c r="C25" i="370"/>
  <c r="C24" i="370"/>
  <c r="C23" i="370"/>
  <c r="C22" i="370"/>
  <c r="C21" i="370"/>
  <c r="C20" i="370"/>
  <c r="C3" i="370"/>
  <c r="C10" i="370"/>
  <c r="C6" i="370"/>
  <c r="C5" i="370"/>
  <c r="C12" i="369"/>
  <c r="M6" i="369"/>
  <c r="M4" i="369"/>
  <c r="M3" i="369"/>
  <c r="C3" i="369"/>
  <c r="C3" i="368"/>
  <c r="C4" i="368"/>
  <c r="M4" i="368"/>
  <c r="M3" i="368"/>
  <c r="C13" i="368"/>
  <c r="C12" i="368"/>
  <c r="C10" i="368"/>
  <c r="C9" i="368"/>
  <c r="C8" i="368"/>
  <c r="C7" i="368"/>
  <c r="C6" i="368"/>
  <c r="C5" i="368"/>
  <c r="C10" i="367"/>
  <c r="C5" i="367"/>
  <c r="C3" i="367"/>
  <c r="M4" i="366"/>
  <c r="M3" i="366"/>
  <c r="C28" i="366"/>
  <c r="C27" i="366"/>
  <c r="C25" i="366"/>
  <c r="C20" i="366"/>
  <c r="C18" i="366"/>
  <c r="C10" i="366"/>
  <c r="C3" i="366"/>
  <c r="M3" i="365"/>
  <c r="C12" i="365"/>
  <c r="M3" i="364"/>
  <c r="M6" i="364"/>
  <c r="C13" i="364"/>
  <c r="C12" i="364"/>
  <c r="C10" i="364"/>
  <c r="O15" i="363"/>
  <c r="B36" i="363"/>
  <c r="B39" i="363"/>
  <c r="B40" i="363"/>
  <c r="B41" i="363"/>
  <c r="B35" i="363"/>
  <c r="B34" i="363"/>
  <c r="J36" i="363"/>
  <c r="J40" i="363"/>
  <c r="J41" i="363"/>
  <c r="J35" i="363"/>
  <c r="J34" i="363"/>
  <c r="M42" i="363"/>
  <c r="L41" i="363"/>
  <c r="L40" i="363"/>
  <c r="L36" i="363"/>
  <c r="L35" i="363"/>
  <c r="L34" i="363"/>
  <c r="E42" i="363"/>
  <c r="D41" i="363"/>
  <c r="D40" i="363"/>
  <c r="D36" i="363"/>
  <c r="D35" i="363"/>
  <c r="D34" i="363"/>
  <c r="M6" i="362"/>
  <c r="M4" i="362"/>
  <c r="M3" i="362"/>
  <c r="C25" i="362"/>
  <c r="C23" i="362"/>
  <c r="C21" i="362"/>
  <c r="C20" i="362"/>
  <c r="C19" i="362"/>
  <c r="C18" i="362"/>
  <c r="C3" i="361"/>
  <c r="C3" i="360"/>
  <c r="M6" i="359"/>
  <c r="M4" i="359"/>
  <c r="M3" i="359"/>
  <c r="C28" i="359"/>
  <c r="C27" i="359"/>
  <c r="C25" i="359"/>
  <c r="C24" i="359"/>
  <c r="C23" i="359"/>
  <c r="C22" i="359"/>
  <c r="C21" i="359"/>
  <c r="C20" i="359"/>
  <c r="C19" i="359"/>
  <c r="C18" i="359"/>
  <c r="C12" i="359"/>
  <c r="C10" i="359"/>
  <c r="C6" i="359"/>
  <c r="C5" i="359"/>
  <c r="C3" i="359"/>
  <c r="M3" i="207"/>
  <c r="M6" i="207"/>
  <c r="C3" i="207"/>
  <c r="M4" i="45"/>
  <c r="M3" i="45"/>
  <c r="C7" i="45"/>
  <c r="C6" i="45"/>
  <c r="C5" i="45"/>
  <c r="C3" i="45"/>
  <c r="M32" i="387"/>
  <c r="E32" i="387"/>
  <c r="M29" i="387"/>
  <c r="E29" i="387"/>
  <c r="M26" i="387"/>
  <c r="E26" i="387"/>
  <c r="E17" i="387"/>
  <c r="O15" i="387"/>
  <c r="E14" i="387"/>
  <c r="N13" i="387"/>
  <c r="E11" i="387"/>
  <c r="L11" i="387" s="1"/>
  <c r="L5" i="387"/>
  <c r="K5" i="387"/>
  <c r="D1" i="387"/>
  <c r="M32" i="386"/>
  <c r="E32" i="386"/>
  <c r="M29" i="386"/>
  <c r="E29" i="386"/>
  <c r="M26" i="386"/>
  <c r="E26" i="386"/>
  <c r="E17" i="386"/>
  <c r="O15" i="386"/>
  <c r="E14" i="386"/>
  <c r="N13" i="386"/>
  <c r="L12" i="386"/>
  <c r="N12" i="386" s="1"/>
  <c r="E11" i="386"/>
  <c r="L5" i="386"/>
  <c r="K5" i="386"/>
  <c r="D1" i="386"/>
  <c r="M32" i="385"/>
  <c r="E32" i="385"/>
  <c r="M29" i="385"/>
  <c r="E29" i="385"/>
  <c r="M26" i="385"/>
  <c r="E26" i="385"/>
  <c r="E17" i="385"/>
  <c r="O15" i="385"/>
  <c r="E14" i="385"/>
  <c r="L12" i="385"/>
  <c r="N11" i="385"/>
  <c r="L11" i="385"/>
  <c r="E11" i="385"/>
  <c r="L5" i="385"/>
  <c r="K5" i="385"/>
  <c r="D1" i="385"/>
  <c r="M32" i="384"/>
  <c r="E32" i="384"/>
  <c r="M29" i="384"/>
  <c r="E29" i="384"/>
  <c r="M26" i="384"/>
  <c r="E26" i="384"/>
  <c r="E17" i="384"/>
  <c r="N13" i="384" s="1"/>
  <c r="O15" i="384"/>
  <c r="E14" i="384"/>
  <c r="L11" i="384"/>
  <c r="N11" i="384" s="1"/>
  <c r="E11" i="384"/>
  <c r="L5" i="384"/>
  <c r="K5" i="384"/>
  <c r="D1" i="384"/>
  <c r="M32" i="383"/>
  <c r="E32" i="383"/>
  <c r="M29" i="383"/>
  <c r="E29" i="383"/>
  <c r="M26" i="383"/>
  <c r="E26" i="383"/>
  <c r="E17" i="383"/>
  <c r="O15" i="383"/>
  <c r="E14" i="383"/>
  <c r="L12" i="383"/>
  <c r="N11" i="383"/>
  <c r="L11" i="383"/>
  <c r="E11" i="383"/>
  <c r="L5" i="383"/>
  <c r="K5" i="383"/>
  <c r="D1" i="383"/>
  <c r="M32" i="382"/>
  <c r="E32" i="382"/>
  <c r="M29" i="382"/>
  <c r="E29" i="382"/>
  <c r="M26" i="382"/>
  <c r="E26" i="382"/>
  <c r="E17" i="382"/>
  <c r="O15" i="382"/>
  <c r="E14" i="382"/>
  <c r="N13" i="382"/>
  <c r="L11" i="382"/>
  <c r="N11" i="382" s="1"/>
  <c r="E11" i="382"/>
  <c r="L5" i="382"/>
  <c r="K5" i="382"/>
  <c r="D1" i="382"/>
  <c r="M32" i="381"/>
  <c r="E32" i="381"/>
  <c r="M29" i="381"/>
  <c r="E29" i="381"/>
  <c r="M26" i="381"/>
  <c r="E26" i="381"/>
  <c r="E17" i="381"/>
  <c r="N13" i="381" s="1"/>
  <c r="O15" i="381"/>
  <c r="E14" i="381"/>
  <c r="L11" i="381"/>
  <c r="N11" i="381" s="1"/>
  <c r="E11" i="381"/>
  <c r="L5" i="381"/>
  <c r="K5" i="381"/>
  <c r="D1" i="381"/>
  <c r="M32" i="380"/>
  <c r="E32" i="380"/>
  <c r="M29" i="380"/>
  <c r="E29" i="380"/>
  <c r="M26" i="380"/>
  <c r="E26" i="380"/>
  <c r="E17" i="380"/>
  <c r="O15" i="380"/>
  <c r="E14" i="380"/>
  <c r="N13" i="380"/>
  <c r="L11" i="380"/>
  <c r="E11" i="380"/>
  <c r="L5" i="380"/>
  <c r="K5" i="380"/>
  <c r="D1" i="380"/>
  <c r="M32" i="379"/>
  <c r="E32" i="379"/>
  <c r="M29" i="379"/>
  <c r="E29" i="379"/>
  <c r="M26" i="379"/>
  <c r="E26" i="379"/>
  <c r="E17" i="379"/>
  <c r="O15" i="379"/>
  <c r="E14" i="379"/>
  <c r="N13" i="379"/>
  <c r="N12" i="379"/>
  <c r="L12" i="379"/>
  <c r="E11" i="379"/>
  <c r="L5" i="379"/>
  <c r="K5" i="379"/>
  <c r="D1" i="379"/>
  <c r="M32" i="378"/>
  <c r="E32" i="378"/>
  <c r="M29" i="378"/>
  <c r="E29" i="378"/>
  <c r="M26" i="378"/>
  <c r="E26" i="378"/>
  <c r="E17" i="378"/>
  <c r="O15" i="378"/>
  <c r="E14" i="378"/>
  <c r="L12" i="378"/>
  <c r="E11" i="378"/>
  <c r="L11" i="378" s="1"/>
  <c r="N11" i="378" s="1"/>
  <c r="L5" i="378"/>
  <c r="K5" i="378"/>
  <c r="D1" i="378"/>
  <c r="M32" i="377"/>
  <c r="E32" i="377"/>
  <c r="M29" i="377"/>
  <c r="E29" i="377"/>
  <c r="M26" i="377"/>
  <c r="E26" i="377"/>
  <c r="E17" i="377"/>
  <c r="O15" i="377"/>
  <c r="E14" i="377"/>
  <c r="N13" i="377"/>
  <c r="L11" i="377"/>
  <c r="N11" i="377" s="1"/>
  <c r="E11" i="377"/>
  <c r="L5" i="377"/>
  <c r="K5" i="377"/>
  <c r="D1" i="377"/>
  <c r="M32" i="376"/>
  <c r="E32" i="376"/>
  <c r="M29" i="376"/>
  <c r="E29" i="376"/>
  <c r="M26" i="376"/>
  <c r="E26" i="376"/>
  <c r="E17" i="376"/>
  <c r="O15" i="376"/>
  <c r="E14" i="376"/>
  <c r="L12" i="376" s="1"/>
  <c r="N13" i="376"/>
  <c r="N12" i="376"/>
  <c r="E11" i="376"/>
  <c r="L5" i="376"/>
  <c r="K5" i="376"/>
  <c r="D1" i="376"/>
  <c r="M32" i="375"/>
  <c r="E32" i="375"/>
  <c r="M29" i="375"/>
  <c r="E29" i="375"/>
  <c r="M26" i="375"/>
  <c r="E26" i="375"/>
  <c r="E17" i="375"/>
  <c r="O15" i="375"/>
  <c r="E14" i="375"/>
  <c r="N13" i="375"/>
  <c r="L12" i="375"/>
  <c r="L11" i="375"/>
  <c r="N11" i="375" s="1"/>
  <c r="E11" i="375"/>
  <c r="L5" i="375"/>
  <c r="K5" i="375"/>
  <c r="D1" i="375"/>
  <c r="M32" i="374"/>
  <c r="E32" i="374"/>
  <c r="M29" i="374"/>
  <c r="E29" i="374"/>
  <c r="M26" i="374"/>
  <c r="E26" i="374"/>
  <c r="N11" i="374" s="1"/>
  <c r="E17" i="374"/>
  <c r="O15" i="374"/>
  <c r="E14" i="374"/>
  <c r="L12" i="374"/>
  <c r="E11" i="374"/>
  <c r="L11" i="374" s="1"/>
  <c r="L5" i="374"/>
  <c r="K5" i="374"/>
  <c r="D1" i="374"/>
  <c r="M32" i="373"/>
  <c r="E32" i="373"/>
  <c r="M29" i="373"/>
  <c r="E29" i="373"/>
  <c r="M26" i="373"/>
  <c r="E26" i="373"/>
  <c r="E17" i="373"/>
  <c r="O15" i="373"/>
  <c r="E14" i="373"/>
  <c r="N13" i="373"/>
  <c r="L12" i="373"/>
  <c r="E11" i="373"/>
  <c r="L5" i="373"/>
  <c r="K5" i="373"/>
  <c r="D1" i="373"/>
  <c r="M32" i="372"/>
  <c r="E32" i="372"/>
  <c r="M29" i="372"/>
  <c r="E29" i="372"/>
  <c r="M26" i="372"/>
  <c r="E26" i="372"/>
  <c r="E17" i="372"/>
  <c r="O15" i="372"/>
  <c r="E14" i="372"/>
  <c r="L12" i="372"/>
  <c r="N12" i="372" s="1"/>
  <c r="E11" i="372"/>
  <c r="L5" i="372"/>
  <c r="K5" i="372"/>
  <c r="D1" i="372"/>
  <c r="M32" i="371"/>
  <c r="N13" i="371" s="1"/>
  <c r="E32" i="371"/>
  <c r="M29" i="371"/>
  <c r="E29" i="371"/>
  <c r="M26" i="371"/>
  <c r="E26" i="371"/>
  <c r="E17" i="371"/>
  <c r="O15" i="371"/>
  <c r="E14" i="371"/>
  <c r="L12" i="371"/>
  <c r="N11" i="371"/>
  <c r="E11" i="371"/>
  <c r="L11" i="371" s="1"/>
  <c r="L5" i="371"/>
  <c r="K5" i="371"/>
  <c r="D1" i="371"/>
  <c r="M32" i="370"/>
  <c r="E32" i="370"/>
  <c r="M29" i="370"/>
  <c r="E29" i="370"/>
  <c r="M26" i="370"/>
  <c r="E26" i="370"/>
  <c r="E17" i="370"/>
  <c r="O15" i="370"/>
  <c r="E14" i="370"/>
  <c r="N13" i="370"/>
  <c r="L12" i="370"/>
  <c r="N12" i="370" s="1"/>
  <c r="E11" i="370"/>
  <c r="L5" i="370"/>
  <c r="K5" i="370"/>
  <c r="D1" i="370"/>
  <c r="M32" i="369"/>
  <c r="E32" i="369"/>
  <c r="M29" i="369"/>
  <c r="E29" i="369"/>
  <c r="M26" i="369"/>
  <c r="E26" i="369"/>
  <c r="E17" i="369"/>
  <c r="N13" i="369" s="1"/>
  <c r="O15" i="369"/>
  <c r="E14" i="369"/>
  <c r="L12" i="369"/>
  <c r="E11" i="369"/>
  <c r="L11" i="369" s="1"/>
  <c r="N11" i="369" s="1"/>
  <c r="L5" i="369"/>
  <c r="K5" i="369"/>
  <c r="D1" i="369"/>
  <c r="M32" i="368"/>
  <c r="E32" i="368"/>
  <c r="M29" i="368"/>
  <c r="E29" i="368"/>
  <c r="M26" i="368"/>
  <c r="E26" i="368"/>
  <c r="N11" i="368" s="1"/>
  <c r="E17" i="368"/>
  <c r="O15" i="368"/>
  <c r="E14" i="368"/>
  <c r="L11" i="368"/>
  <c r="E11" i="368"/>
  <c r="L5" i="368"/>
  <c r="K5" i="368"/>
  <c r="D1" i="368"/>
  <c r="M32" i="367"/>
  <c r="E32" i="367"/>
  <c r="M29" i="367"/>
  <c r="E29" i="367"/>
  <c r="M26" i="367"/>
  <c r="E26" i="367"/>
  <c r="E17" i="367"/>
  <c r="O15" i="367"/>
  <c r="E14" i="367"/>
  <c r="N13" i="367"/>
  <c r="N11" i="367"/>
  <c r="L11" i="367"/>
  <c r="E11" i="367"/>
  <c r="L5" i="367"/>
  <c r="K5" i="367"/>
  <c r="D1" i="367"/>
  <c r="M32" i="366"/>
  <c r="E32" i="366"/>
  <c r="M29" i="366"/>
  <c r="E29" i="366"/>
  <c r="M26" i="366"/>
  <c r="E26" i="366"/>
  <c r="E17" i="366"/>
  <c r="O15" i="366"/>
  <c r="E14" i="366"/>
  <c r="L12" i="366" s="1"/>
  <c r="N13" i="366"/>
  <c r="N12" i="366"/>
  <c r="E11" i="366"/>
  <c r="L5" i="366"/>
  <c r="K5" i="366"/>
  <c r="D1" i="366"/>
  <c r="M32" i="365"/>
  <c r="E32" i="365"/>
  <c r="M29" i="365"/>
  <c r="E29" i="365"/>
  <c r="M26" i="365"/>
  <c r="E26" i="365"/>
  <c r="E17" i="365"/>
  <c r="O15" i="365"/>
  <c r="E14" i="365"/>
  <c r="N13" i="365"/>
  <c r="L11" i="365"/>
  <c r="E11" i="365"/>
  <c r="N11" i="365" s="1"/>
  <c r="L5" i="365"/>
  <c r="K5" i="365"/>
  <c r="D1" i="365"/>
  <c r="M32" i="364"/>
  <c r="E32" i="364"/>
  <c r="M29" i="364"/>
  <c r="E29" i="364"/>
  <c r="M26" i="364"/>
  <c r="E26" i="364"/>
  <c r="E17" i="364"/>
  <c r="O15" i="364"/>
  <c r="E14" i="364"/>
  <c r="N13" i="364"/>
  <c r="L12" i="364"/>
  <c r="N12" i="364" s="1"/>
  <c r="L11" i="364"/>
  <c r="E11" i="364"/>
  <c r="L5" i="364"/>
  <c r="K5" i="364"/>
  <c r="D1" i="364"/>
  <c r="M32" i="363"/>
  <c r="E32" i="363"/>
  <c r="M29" i="363"/>
  <c r="E29" i="363"/>
  <c r="M26" i="363"/>
  <c r="E26" i="363"/>
  <c r="E17" i="363"/>
  <c r="E14" i="363"/>
  <c r="N13" i="363"/>
  <c r="L12" i="363"/>
  <c r="N12" i="363" s="1"/>
  <c r="E11" i="363"/>
  <c r="L5" i="363"/>
  <c r="K5" i="363"/>
  <c r="D1" i="363"/>
  <c r="M32" i="362"/>
  <c r="E32" i="362"/>
  <c r="M29" i="362"/>
  <c r="E29" i="362"/>
  <c r="M26" i="362"/>
  <c r="E26" i="362"/>
  <c r="E17" i="362"/>
  <c r="N13" i="362" s="1"/>
  <c r="O15" i="362"/>
  <c r="E14" i="362"/>
  <c r="E11" i="362"/>
  <c r="L11" i="362" s="1"/>
  <c r="N11" i="362" s="1"/>
  <c r="L5" i="362"/>
  <c r="K5" i="362"/>
  <c r="D1" i="362"/>
  <c r="M32" i="361"/>
  <c r="E32" i="361"/>
  <c r="M29" i="361"/>
  <c r="E29" i="361"/>
  <c r="M26" i="361"/>
  <c r="E26" i="361"/>
  <c r="E17" i="361"/>
  <c r="O15" i="361"/>
  <c r="E14" i="361"/>
  <c r="N13" i="361"/>
  <c r="L11" i="361"/>
  <c r="E11" i="361"/>
  <c r="L5" i="361"/>
  <c r="K5" i="361"/>
  <c r="D1" i="361"/>
  <c r="M32" i="360"/>
  <c r="E32" i="360"/>
  <c r="M29" i="360"/>
  <c r="E29" i="360"/>
  <c r="M26" i="360"/>
  <c r="E26" i="360"/>
  <c r="E17" i="360"/>
  <c r="N13" i="360" s="1"/>
  <c r="O15" i="360"/>
  <c r="E14" i="360"/>
  <c r="L12" i="360"/>
  <c r="E11" i="360"/>
  <c r="L11" i="360" s="1"/>
  <c r="L5" i="360"/>
  <c r="K5" i="360"/>
  <c r="D1" i="360"/>
  <c r="M32" i="359"/>
  <c r="E32" i="359"/>
  <c r="M29" i="359"/>
  <c r="E29" i="359"/>
  <c r="M26" i="359"/>
  <c r="E26" i="359"/>
  <c r="E17" i="359"/>
  <c r="O15" i="359"/>
  <c r="E14" i="359"/>
  <c r="N13" i="359"/>
  <c r="N12" i="359"/>
  <c r="E11" i="359"/>
  <c r="L5" i="359"/>
  <c r="K5" i="359"/>
  <c r="D1" i="359"/>
  <c r="R37" i="206"/>
  <c r="R6" i="206"/>
  <c r="R7" i="206"/>
  <c r="R8" i="206"/>
  <c r="R9" i="206"/>
  <c r="R10" i="206"/>
  <c r="R11" i="206"/>
  <c r="R12" i="206"/>
  <c r="R13" i="206"/>
  <c r="R14" i="206"/>
  <c r="R15" i="206"/>
  <c r="R16" i="206"/>
  <c r="R17" i="206"/>
  <c r="R18" i="206"/>
  <c r="R19" i="206"/>
  <c r="R20" i="206"/>
  <c r="R21" i="206"/>
  <c r="R22" i="206"/>
  <c r="R23" i="206"/>
  <c r="R24" i="206"/>
  <c r="R25" i="206"/>
  <c r="R26" i="206"/>
  <c r="R27" i="206"/>
  <c r="R28" i="206"/>
  <c r="R29" i="206"/>
  <c r="R30" i="206"/>
  <c r="R31" i="206"/>
  <c r="R32" i="206"/>
  <c r="R33" i="206"/>
  <c r="R34" i="206"/>
  <c r="R35" i="206"/>
  <c r="R36" i="206"/>
  <c r="D66" i="328"/>
  <c r="C66" i="328"/>
  <c r="J65" i="328"/>
  <c r="J64" i="328"/>
  <c r="J63" i="328"/>
  <c r="J62" i="328"/>
  <c r="J61" i="328"/>
  <c r="J60" i="328"/>
  <c r="J59" i="328"/>
  <c r="J58" i="328"/>
  <c r="J57" i="328"/>
  <c r="J56" i="328"/>
  <c r="J55" i="328"/>
  <c r="J54" i="328"/>
  <c r="J53" i="328"/>
  <c r="J52" i="328"/>
  <c r="J66" i="328" s="1"/>
  <c r="J51" i="328"/>
  <c r="D50" i="328"/>
  <c r="C50" i="328"/>
  <c r="J49" i="328"/>
  <c r="J48" i="328"/>
  <c r="J47" i="328"/>
  <c r="J46" i="328"/>
  <c r="J45" i="328"/>
  <c r="J44" i="328"/>
  <c r="J43" i="328"/>
  <c r="J42" i="328"/>
  <c r="J41" i="328"/>
  <c r="J40" i="328"/>
  <c r="J39" i="328"/>
  <c r="J38" i="328"/>
  <c r="J37" i="328"/>
  <c r="J36" i="328"/>
  <c r="J50" i="328" s="1"/>
  <c r="J35" i="328"/>
  <c r="D34" i="328"/>
  <c r="C34" i="328"/>
  <c r="J33" i="328"/>
  <c r="J32" i="328"/>
  <c r="J31" i="328"/>
  <c r="J30" i="328"/>
  <c r="J29" i="328"/>
  <c r="J28" i="328"/>
  <c r="J27" i="328"/>
  <c r="J26" i="328"/>
  <c r="J25" i="328"/>
  <c r="J24" i="328"/>
  <c r="J23" i="328"/>
  <c r="J22" i="328"/>
  <c r="J21" i="328"/>
  <c r="J20" i="328"/>
  <c r="J19" i="328"/>
  <c r="R5" i="206"/>
  <c r="R4" i="206"/>
  <c r="D38" i="206"/>
  <c r="G38" i="206"/>
  <c r="H38" i="206"/>
  <c r="I38" i="206"/>
  <c r="J38" i="206"/>
  <c r="K38" i="206"/>
  <c r="L38" i="206"/>
  <c r="M38" i="206"/>
  <c r="N38" i="206"/>
  <c r="O38" i="206"/>
  <c r="P38" i="206"/>
  <c r="Q38" i="206"/>
  <c r="C38" i="206"/>
  <c r="D37" i="206"/>
  <c r="E37" i="206"/>
  <c r="E38" i="206" s="1"/>
  <c r="F37" i="206"/>
  <c r="F38" i="206" s="1"/>
  <c r="G37" i="206"/>
  <c r="H37" i="206"/>
  <c r="I37" i="206"/>
  <c r="J37" i="206"/>
  <c r="K37" i="206"/>
  <c r="L37" i="206"/>
  <c r="M37" i="206"/>
  <c r="N37" i="206"/>
  <c r="O37" i="206"/>
  <c r="P37" i="206"/>
  <c r="Q37" i="206"/>
  <c r="C37" i="206"/>
  <c r="U6" i="206"/>
  <c r="U7" i="206" s="1"/>
  <c r="U8" i="206" s="1"/>
  <c r="U9" i="206" s="1"/>
  <c r="I1" i="45"/>
  <c r="D18" i="328"/>
  <c r="C18" i="328"/>
  <c r="J17" i="328"/>
  <c r="J16" i="328"/>
  <c r="J15" i="328"/>
  <c r="J14" i="328"/>
  <c r="J13" i="328"/>
  <c r="J12" i="328"/>
  <c r="J11" i="328"/>
  <c r="J10" i="328"/>
  <c r="J9" i="328"/>
  <c r="J8" i="328"/>
  <c r="J7" i="328"/>
  <c r="J6" i="328"/>
  <c r="J5" i="328"/>
  <c r="J4" i="328"/>
  <c r="J3" i="328"/>
  <c r="M7" i="45"/>
  <c r="C16" i="45"/>
  <c r="C15" i="45"/>
  <c r="K5" i="207"/>
  <c r="L5" i="207"/>
  <c r="K5" i="45"/>
  <c r="L5" i="45"/>
  <c r="O15" i="207"/>
  <c r="N13" i="207"/>
  <c r="F34" i="269"/>
  <c r="G34" i="269"/>
  <c r="I34" i="269"/>
  <c r="J34" i="269"/>
  <c r="K34" i="269"/>
  <c r="L34" i="269"/>
  <c r="U34" i="269"/>
  <c r="V34" i="269"/>
  <c r="W34" i="269"/>
  <c r="X34" i="269"/>
  <c r="AB34" i="269"/>
  <c r="AC34" i="269"/>
  <c r="AD34" i="269"/>
  <c r="AE34" i="269"/>
  <c r="AF34" i="269"/>
  <c r="M98" i="203"/>
  <c r="N13" i="45"/>
  <c r="T37" i="206"/>
  <c r="M32" i="207"/>
  <c r="E32" i="207"/>
  <c r="M29" i="207"/>
  <c r="E29" i="207"/>
  <c r="M26" i="207"/>
  <c r="E26" i="207"/>
  <c r="E17" i="207"/>
  <c r="E14" i="207"/>
  <c r="E11" i="207"/>
  <c r="N11" i="207" s="1"/>
  <c r="D1" i="207"/>
  <c r="L11" i="207"/>
  <c r="L12" i="207"/>
  <c r="M5" i="45"/>
  <c r="N4" i="45"/>
  <c r="N6" i="45"/>
  <c r="N7" i="45"/>
  <c r="N3" i="45"/>
  <c r="J5" i="45"/>
  <c r="E17" i="45"/>
  <c r="O15" i="45"/>
  <c r="M32" i="45"/>
  <c r="M29" i="45"/>
  <c r="M26" i="45"/>
  <c r="B31" i="45"/>
  <c r="C31" i="45"/>
  <c r="J31" i="45"/>
  <c r="B30" i="45"/>
  <c r="C30" i="45"/>
  <c r="J30" i="45"/>
  <c r="B28" i="45"/>
  <c r="C28" i="45"/>
  <c r="J28" i="45"/>
  <c r="B27" i="45"/>
  <c r="C27" i="45"/>
  <c r="J27" i="45"/>
  <c r="B25" i="45"/>
  <c r="C25" i="45"/>
  <c r="J25" i="45"/>
  <c r="K25" i="45"/>
  <c r="B24" i="45"/>
  <c r="C24" i="45"/>
  <c r="J24" i="45"/>
  <c r="K24" i="45"/>
  <c r="B23" i="45"/>
  <c r="C23" i="45"/>
  <c r="J23" i="45"/>
  <c r="K23" i="45"/>
  <c r="B22" i="45"/>
  <c r="C22" i="45"/>
  <c r="J22" i="45"/>
  <c r="K22" i="45"/>
  <c r="B21" i="45"/>
  <c r="C21" i="45"/>
  <c r="J21" i="45"/>
  <c r="K21" i="45"/>
  <c r="B20" i="45"/>
  <c r="C20" i="45"/>
  <c r="J20" i="45"/>
  <c r="K20" i="45"/>
  <c r="B19" i="45"/>
  <c r="C19" i="45"/>
  <c r="J19" i="45"/>
  <c r="K19" i="45"/>
  <c r="B18" i="45"/>
  <c r="C18" i="45"/>
  <c r="J18" i="45"/>
  <c r="K18" i="45"/>
  <c r="N5" i="45"/>
  <c r="K31" i="45"/>
  <c r="K30" i="45"/>
  <c r="K28" i="45"/>
  <c r="L28" i="45"/>
  <c r="K27" i="45"/>
  <c r="L27" i="45"/>
  <c r="L29" i="45"/>
  <c r="L19" i="45"/>
  <c r="L20" i="45"/>
  <c r="L24" i="45"/>
  <c r="L23" i="45"/>
  <c r="L21" i="45"/>
  <c r="L25" i="45"/>
  <c r="L22" i="45"/>
  <c r="L18" i="45"/>
  <c r="N29" i="45"/>
  <c r="P29" i="45"/>
  <c r="N26" i="45"/>
  <c r="L26" i="45"/>
  <c r="L31" i="45"/>
  <c r="L30" i="45"/>
  <c r="P26" i="45"/>
  <c r="L32" i="45"/>
  <c r="N32" i="45"/>
  <c r="P32" i="45"/>
  <c r="D1" i="45"/>
  <c r="E32" i="45"/>
  <c r="D31" i="45"/>
  <c r="D30" i="45"/>
  <c r="E29" i="45"/>
  <c r="D28" i="45"/>
  <c r="D27" i="45"/>
  <c r="E26" i="45"/>
  <c r="D25" i="45"/>
  <c r="D24" i="45"/>
  <c r="D23" i="45"/>
  <c r="D22" i="45"/>
  <c r="D21" i="45"/>
  <c r="D20" i="45"/>
  <c r="D19" i="45"/>
  <c r="D18" i="45"/>
  <c r="D16" i="45"/>
  <c r="D15" i="45"/>
  <c r="E14" i="45"/>
  <c r="D13" i="45"/>
  <c r="D12" i="45"/>
  <c r="L12" i="45"/>
  <c r="N12" i="45"/>
  <c r="O7" i="45"/>
  <c r="O6" i="45"/>
  <c r="D17" i="45"/>
  <c r="F17" i="45"/>
  <c r="F32" i="45"/>
  <c r="H32" i="45"/>
  <c r="F29" i="45"/>
  <c r="D26" i="45"/>
  <c r="D29" i="45"/>
  <c r="F26" i="45"/>
  <c r="H26" i="45"/>
  <c r="D32" i="45"/>
  <c r="F14" i="45"/>
  <c r="H14" i="45"/>
  <c r="P12" i="45" s="1"/>
  <c r="D14" i="45"/>
  <c r="E11" i="45"/>
  <c r="D9" i="45"/>
  <c r="D10" i="45"/>
  <c r="D5" i="45"/>
  <c r="D4" i="45"/>
  <c r="D7" i="45"/>
  <c r="D6" i="45"/>
  <c r="D8" i="45"/>
  <c r="D3" i="45"/>
  <c r="O4" i="45"/>
  <c r="P7" i="45"/>
  <c r="P6" i="45"/>
  <c r="O3" i="45"/>
  <c r="P3" i="45"/>
  <c r="O5" i="45"/>
  <c r="P4" i="45"/>
  <c r="O13" i="45"/>
  <c r="O12" i="45"/>
  <c r="H17" i="45"/>
  <c r="P13" i="45"/>
  <c r="O5" i="204" s="1" a="1"/>
  <c r="O5" i="204" s="1"/>
  <c r="D11" i="45"/>
  <c r="F11" i="45"/>
  <c r="P5" i="45"/>
  <c r="H11" i="45"/>
  <c r="P11" i="45"/>
  <c r="O11" i="45"/>
  <c r="L11" i="373" l="1"/>
  <c r="N11" i="373" s="1"/>
  <c r="N11" i="372"/>
  <c r="N12" i="371"/>
  <c r="N12" i="362"/>
  <c r="N12" i="207"/>
  <c r="L11" i="45"/>
  <c r="N11" i="45"/>
  <c r="N12" i="374"/>
  <c r="N12" i="377"/>
  <c r="L12" i="377"/>
  <c r="N13" i="378"/>
  <c r="L11" i="379"/>
  <c r="N11" i="379" s="1"/>
  <c r="L12" i="380"/>
  <c r="N12" i="380" s="1"/>
  <c r="L11" i="376"/>
  <c r="N11" i="376" s="1"/>
  <c r="N13" i="374"/>
  <c r="N12" i="375"/>
  <c r="N12" i="378"/>
  <c r="N11" i="380"/>
  <c r="L12" i="381"/>
  <c r="N12" i="381" s="1"/>
  <c r="N12" i="382"/>
  <c r="L12" i="382"/>
  <c r="N13" i="383"/>
  <c r="N12" i="383"/>
  <c r="L12" i="384"/>
  <c r="N12" i="384" s="1"/>
  <c r="N13" i="385"/>
  <c r="N12" i="385"/>
  <c r="N11" i="386"/>
  <c r="L11" i="386"/>
  <c r="N12" i="387"/>
  <c r="L12" i="387"/>
  <c r="N11" i="387"/>
  <c r="N13" i="368"/>
  <c r="N12" i="369"/>
  <c r="L11" i="370"/>
  <c r="N11" i="370" s="1"/>
  <c r="N11" i="366"/>
  <c r="L12" i="367"/>
  <c r="N12" i="367" s="1"/>
  <c r="L12" i="368"/>
  <c r="N12" i="368" s="1"/>
  <c r="N13" i="372"/>
  <c r="N12" i="373"/>
  <c r="L11" i="363"/>
  <c r="N11" i="363" s="1"/>
  <c r="N11" i="364"/>
  <c r="N12" i="365"/>
  <c r="N12" i="360"/>
  <c r="N11" i="360"/>
  <c r="N11" i="361"/>
  <c r="N12" i="361"/>
  <c r="L11" i="359"/>
  <c r="N11" i="359" s="1"/>
  <c r="R38" i="206"/>
  <c r="O14" i="45"/>
  <c r="J34" i="328"/>
  <c r="J18" i="328"/>
  <c r="S37" i="206"/>
  <c r="U10" i="206"/>
  <c r="U11" i="206" s="1"/>
  <c r="U12" i="206" s="1"/>
  <c r="U13" i="206" s="1"/>
  <c r="U14" i="206" s="1"/>
  <c r="U15" i="206" s="1"/>
  <c r="U16" i="206" s="1"/>
  <c r="U17" i="206" s="1"/>
  <c r="U18" i="206" s="1"/>
  <c r="U19" i="206" s="1"/>
  <c r="U20" i="206" s="1"/>
  <c r="U21" i="206" s="1"/>
  <c r="U22" i="206" s="1"/>
  <c r="U23" i="206" s="1"/>
  <c r="U24" i="206" s="1"/>
  <c r="U25" i="206" s="1"/>
  <c r="U26" i="206" s="1"/>
  <c r="U27" i="206" s="1"/>
  <c r="U28" i="206" s="1"/>
  <c r="U29" i="206" s="1"/>
  <c r="U30" i="206" s="1"/>
  <c r="U31" i="206" s="1"/>
  <c r="U32" i="206" s="1"/>
  <c r="U33" i="206" s="1"/>
  <c r="U34" i="206" s="1"/>
  <c r="U35" i="206" s="1"/>
  <c r="U36" i="206" s="1"/>
  <c r="U37" i="206" s="1"/>
  <c r="I16" i="387" a="1"/>
  <c r="I16" i="386" a="1"/>
  <c r="I14" i="384" a="1"/>
  <c r="I15" i="384" a="1"/>
  <c r="I15" i="385" a="1"/>
  <c r="I12" i="383" a="1"/>
  <c r="I15" i="382" a="1"/>
  <c r="I16" i="385" a="1"/>
  <c r="I11" i="383" a="1"/>
  <c r="I13" i="380" a="1"/>
  <c r="I12" i="382" a="1"/>
  <c r="I16" i="380" a="1"/>
  <c r="I14" i="377" a="1"/>
  <c r="I16" i="375" a="1"/>
  <c r="I14" i="378" a="1"/>
  <c r="I16" i="376" a="1"/>
  <c r="I14" i="380" a="1"/>
  <c r="I13" i="378" a="1"/>
  <c r="I14" i="375" a="1"/>
  <c r="I12" i="380" a="1"/>
  <c r="I16" i="378" a="1"/>
  <c r="I14" i="373" a="1"/>
  <c r="I16" i="372" a="1"/>
  <c r="I14" i="371" a="1"/>
  <c r="I14" i="370" a="1"/>
  <c r="I11" i="371" a="1"/>
  <c r="I14" i="368" a="1"/>
  <c r="I15" i="368" a="1"/>
  <c r="I11" i="369" a="1"/>
  <c r="I11" i="366" a="1"/>
  <c r="I13" i="367" a="1"/>
  <c r="I16" i="370" a="1"/>
  <c r="I14" i="366" a="1"/>
  <c r="I14" i="365" a="1"/>
  <c r="I13" i="365" a="1"/>
  <c r="I12" i="364" a="1"/>
  <c r="I11" i="363" a="1"/>
  <c r="I12" i="363" a="1"/>
  <c r="I15" i="362" a="1"/>
  <c r="I14" i="361" a="1"/>
  <c r="I13" i="361" a="1"/>
  <c r="I15" i="360" a="1"/>
  <c r="I14" i="359" a="1"/>
  <c r="I11" i="359" a="1"/>
  <c r="N8" i="269" a="1"/>
  <c r="N16" i="269" a="1"/>
  <c r="N24" i="269" a="1"/>
  <c r="N32" i="269" a="1"/>
  <c r="N11" i="269" a="1"/>
  <c r="N19" i="269" a="1"/>
  <c r="N27" i="269" a="1"/>
  <c r="AA4" i="269" a="1"/>
  <c r="AA12" i="269" a="1"/>
  <c r="AA20" i="269" a="1"/>
  <c r="AA28" i="269" a="1"/>
  <c r="AA9" i="269" a="1"/>
  <c r="AA17" i="269" a="1"/>
  <c r="AA27" i="269" a="1"/>
  <c r="AA29" i="269" a="1"/>
  <c r="S8" i="269" a="1"/>
  <c r="S16" i="269" a="1"/>
  <c r="S24" i="269" a="1"/>
  <c r="S32" i="269" a="1"/>
  <c r="S13" i="269" a="1"/>
  <c r="S21" i="269" a="1"/>
  <c r="S31" i="269" a="1"/>
  <c r="M4" i="269" a="1"/>
  <c r="M12" i="269" a="1"/>
  <c r="M20" i="269" a="1"/>
  <c r="M28" i="269" a="1"/>
  <c r="M9" i="269" a="1"/>
  <c r="M17" i="269" a="1"/>
  <c r="M25" i="269" a="1"/>
  <c r="M29" i="269" a="1"/>
  <c r="C12" i="329" a="1"/>
  <c r="G12" i="204" a="1"/>
  <c r="G20" i="204" a="1"/>
  <c r="G28" i="204" a="1"/>
  <c r="G7" i="204" a="1"/>
  <c r="Z9" i="269" a="1"/>
  <c r="Z33" i="269" a="1"/>
  <c r="J74" i="203" a="1"/>
  <c r="G20" i="203" a="1"/>
  <c r="E14" i="269" a="1"/>
  <c r="K83" i="203" a="1"/>
  <c r="H32" i="203" a="1"/>
  <c r="AA32" i="205" a="1"/>
  <c r="R13" i="269" a="1"/>
  <c r="J29" i="203" a="1"/>
  <c r="Z32" i="205" a="1"/>
  <c r="W34" i="205" a="1"/>
  <c r="Q22" i="269" a="1"/>
  <c r="Z34" i="205" a="1"/>
  <c r="I11" i="207" a="1"/>
  <c r="G33" i="204" a="1"/>
  <c r="J5" i="203" a="1"/>
  <c r="F38" i="203" a="1"/>
  <c r="Y14" i="205" a="1"/>
  <c r="T19" i="269" a="1"/>
  <c r="J35" i="203" a="1"/>
  <c r="D21" i="269" a="1"/>
  <c r="F68" i="203" a="1"/>
  <c r="H16" i="269" a="1"/>
  <c r="Y27" i="205" a="1"/>
  <c r="I86" i="203" a="1"/>
  <c r="I92" i="203" a="1"/>
  <c r="I8" i="203" a="1"/>
  <c r="R8" i="269" a="1"/>
  <c r="AB12" i="205" a="1"/>
  <c r="X5" i="205" a="1"/>
  <c r="W9" i="205" a="1"/>
  <c r="G27" i="204" a="1"/>
  <c r="H23" i="203" a="1"/>
  <c r="Q29" i="269" a="1"/>
  <c r="C8" i="269" a="1"/>
  <c r="Y3" i="269" a="1"/>
  <c r="AB21" i="205" a="1"/>
  <c r="H18" i="269" a="1"/>
  <c r="I41" i="203" a="1"/>
  <c r="Z33" i="205" a="1"/>
  <c r="X6" i="205" a="1"/>
  <c r="I16" i="204" a="1"/>
  <c r="Z8" i="269" a="1"/>
  <c r="J86" i="203" a="1"/>
  <c r="H31" i="204" a="1"/>
  <c r="X24" i="205" a="1"/>
  <c r="X12" i="205" a="1"/>
  <c r="I14" i="387" a="1"/>
  <c r="I12" i="386" a="1"/>
  <c r="I15" i="386" a="1"/>
  <c r="I13" i="384" a="1"/>
  <c r="I13" i="385" a="1"/>
  <c r="I14" i="382" a="1"/>
  <c r="I13" i="382" a="1"/>
  <c r="I12" i="384" a="1"/>
  <c r="I16" i="382" a="1"/>
  <c r="I11" i="380" a="1"/>
  <c r="I15" i="381" a="1"/>
  <c r="I12" i="379" a="1"/>
  <c r="I15" i="376" a="1"/>
  <c r="I12" i="374" a="1"/>
  <c r="I15" i="377" a="1"/>
  <c r="I12" i="375" a="1"/>
  <c r="I15" i="379" a="1"/>
  <c r="I11" i="378" a="1"/>
  <c r="I15" i="374" a="1"/>
  <c r="I15" i="375" a="1"/>
  <c r="I13" i="375" a="1"/>
  <c r="I16" i="373" a="1"/>
  <c r="I11" i="373" a="1"/>
  <c r="I13" i="372" a="1"/>
  <c r="I14" i="372" a="1"/>
  <c r="I13" i="373" a="1"/>
  <c r="I15" i="373" a="1"/>
  <c r="I13" i="368" a="1"/>
  <c r="I14" i="367" a="1"/>
  <c r="I16" i="369" a="1"/>
  <c r="I11" i="367" a="1"/>
  <c r="I13" i="369" a="1"/>
  <c r="I12" i="366" a="1"/>
  <c r="I15" i="364" a="1"/>
  <c r="I11" i="365" a="1"/>
  <c r="I12" i="365" a="1"/>
  <c r="I14" i="364" a="1"/>
  <c r="I12" i="362" a="1"/>
  <c r="I13" i="362" a="1"/>
  <c r="I16" i="361" a="1"/>
  <c r="I16" i="360" a="1"/>
  <c r="I14" i="360" a="1"/>
  <c r="I16" i="359" a="1"/>
  <c r="I15" i="359" a="1"/>
  <c r="N10" i="269" a="1"/>
  <c r="N18" i="269" a="1"/>
  <c r="N26" i="269" a="1"/>
  <c r="N5" i="269" a="1"/>
  <c r="N13" i="269" a="1"/>
  <c r="N21" i="269" a="1"/>
  <c r="N29" i="269" a="1"/>
  <c r="AA6" i="269" a="1"/>
  <c r="AA14" i="269" a="1"/>
  <c r="AA22" i="269" a="1"/>
  <c r="AA30" i="269" a="1"/>
  <c r="AA11" i="269" a="1"/>
  <c r="AA19" i="269" a="1"/>
  <c r="AA31" i="269" a="1"/>
  <c r="AA33" i="269" a="1"/>
  <c r="S10" i="269" a="1"/>
  <c r="S18" i="269" a="1"/>
  <c r="S26" i="269" a="1"/>
  <c r="S7" i="269" a="1"/>
  <c r="S15" i="269" a="1"/>
  <c r="S23" i="269" a="1"/>
  <c r="S33" i="269" a="1"/>
  <c r="M6" i="269" a="1"/>
  <c r="M14" i="269" a="1"/>
  <c r="M22" i="269" a="1"/>
  <c r="M30" i="269" a="1"/>
  <c r="M11" i="269" a="1"/>
  <c r="M19" i="269" a="1"/>
  <c r="M27" i="269" a="1"/>
  <c r="C10" i="329" a="1"/>
  <c r="G6" i="204" a="1"/>
  <c r="G14" i="204" a="1"/>
  <c r="G22" i="204" a="1"/>
  <c r="G30" i="204" a="1"/>
  <c r="G15" i="204" a="1"/>
  <c r="R7" i="269" a="1"/>
  <c r="Z18" i="269" a="1"/>
  <c r="D6" i="269" a="1"/>
  <c r="Z7" i="269" a="1"/>
  <c r="X21" i="205" a="1"/>
  <c r="W19" i="205" a="1"/>
  <c r="X23" i="205" a="1"/>
  <c r="I15" i="45" a="1"/>
  <c r="T30" i="269" a="1"/>
  <c r="J77" i="203" a="1"/>
  <c r="W5" i="205" a="1"/>
  <c r="Z5" i="205" a="1"/>
  <c r="E10" i="269" a="1"/>
  <c r="H4" i="269" a="1"/>
  <c r="G9" i="204" a="1"/>
  <c r="H14" i="203" a="1"/>
  <c r="I71" i="203" a="1"/>
  <c r="K44" i="203" a="1"/>
  <c r="J47" i="203" a="1"/>
  <c r="X28" i="205" a="1"/>
  <c r="E19" i="269" a="1"/>
  <c r="R24" i="269" a="1"/>
  <c r="Z11" i="269" a="1"/>
  <c r="W16" i="205" a="1"/>
  <c r="G35" i="203" a="1"/>
  <c r="K53" i="203" a="1"/>
  <c r="K71" i="203" a="1"/>
  <c r="I16" i="45" a="1"/>
  <c r="E11" i="269" a="1"/>
  <c r="J80" i="203" a="1"/>
  <c r="AA33" i="205" a="1"/>
  <c r="I12" i="207" a="1"/>
  <c r="C17" i="269" a="1"/>
  <c r="T5" i="269" a="1"/>
  <c r="C6" i="269" a="1"/>
  <c r="Z15" i="205" a="1"/>
  <c r="Y15" i="205" a="1"/>
  <c r="H53" i="203" a="1"/>
  <c r="G65" i="203" a="1"/>
  <c r="I35" i="203" a="1"/>
  <c r="Z17" i="205" a="1"/>
  <c r="Z23" i="205" a="1"/>
  <c r="I23" i="204" a="1"/>
  <c r="G47" i="203" a="1"/>
  <c r="X13" i="205" a="1"/>
  <c r="H23" i="204" a="1"/>
  <c r="H8" i="269" a="1"/>
  <c r="I11" i="386" a="1"/>
  <c r="I11" i="384" a="1"/>
  <c r="I16" i="384" a="1"/>
  <c r="I15" i="383" a="1"/>
  <c r="I16" i="379" a="1"/>
  <c r="I13" i="379" a="1"/>
  <c r="I16" i="381" a="1"/>
  <c r="I14" i="374" a="1"/>
  <c r="I16" i="377" a="1"/>
  <c r="I11" i="375" a="1"/>
  <c r="I12" i="372" a="1"/>
  <c r="I15" i="371" a="1"/>
  <c r="I16" i="371" a="1"/>
  <c r="I11" i="368" a="1"/>
  <c r="I15" i="369" a="1"/>
  <c r="I12" i="368" a="1"/>
  <c r="I13" i="364" a="1"/>
  <c r="I15" i="363" a="1"/>
  <c r="I14" i="362" a="1"/>
  <c r="I12" i="360" a="1"/>
  <c r="I11" i="360" a="1"/>
  <c r="N4" i="269" a="1"/>
  <c r="N20" i="269" a="1"/>
  <c r="N7" i="269" a="1"/>
  <c r="N23" i="269" a="1"/>
  <c r="AA8" i="269" a="1"/>
  <c r="AA24" i="269" a="1"/>
  <c r="AA13" i="269" a="1"/>
  <c r="AA5" i="269" a="1"/>
  <c r="S12" i="269" a="1"/>
  <c r="S28" i="269" a="1"/>
  <c r="S17" i="269" a="1"/>
  <c r="S5" i="269" a="1"/>
  <c r="M16" i="269" a="1"/>
  <c r="M32" i="269" a="1"/>
  <c r="M21" i="269" a="1"/>
  <c r="F5" i="329" a="1"/>
  <c r="G16" i="204" a="1"/>
  <c r="G32" i="204" a="1"/>
  <c r="C28" i="269" a="1"/>
  <c r="I14" i="45" a="1"/>
  <c r="J26" i="203" a="1"/>
  <c r="R30" i="269" a="1"/>
  <c r="J38" i="203" a="1"/>
  <c r="E33" i="269" a="1"/>
  <c r="AA17" i="205" a="1"/>
  <c r="G17" i="204" a="1"/>
  <c r="R21" i="269" a="1"/>
  <c r="I12" i="45" a="1"/>
  <c r="Z27" i="205" a="1"/>
  <c r="H86" i="203" a="1"/>
  <c r="Z28" i="269" a="1"/>
  <c r="E25" i="269" a="1"/>
  <c r="B3" i="269" a="1"/>
  <c r="D9" i="269" a="1"/>
  <c r="G59" i="203" a="1"/>
  <c r="Y20" i="205" a="1"/>
  <c r="K95" i="203" a="1"/>
  <c r="AA23" i="205" a="1"/>
  <c r="H21" i="269" a="1"/>
  <c r="I20" i="203" a="1"/>
  <c r="D17" i="269" a="1"/>
  <c r="Q20" i="269" a="1"/>
  <c r="T24" i="269" a="1"/>
  <c r="D26" i="269" a="1"/>
  <c r="H35" i="203" a="1"/>
  <c r="F86" i="203" a="1"/>
  <c r="C30" i="269" a="1"/>
  <c r="I13" i="207" a="1"/>
  <c r="AA28" i="205" a="1"/>
  <c r="W32" i="205" a="1"/>
  <c r="T15" i="269" a="1"/>
  <c r="Z4" i="269" a="1"/>
  <c r="H6" i="204" a="1"/>
  <c r="D12" i="269" a="1"/>
  <c r="AB25" i="205" a="1"/>
  <c r="I14" i="207" a="1"/>
  <c r="H30" i="204" a="1"/>
  <c r="Q32" i="269" a="1"/>
  <c r="T4" i="269" a="1"/>
  <c r="R10" i="269" a="1"/>
  <c r="AB5" i="205" a="1"/>
  <c r="G26" i="203" a="1"/>
  <c r="Z10" i="269" a="1"/>
  <c r="G13" i="204" a="1"/>
  <c r="K50" i="203" a="1"/>
  <c r="Z17" i="269" a="1"/>
  <c r="Z31" i="269" a="1"/>
  <c r="E8" i="269" a="1"/>
  <c r="Z16" i="269" a="1"/>
  <c r="J59" i="203" a="1"/>
  <c r="E32" i="269" a="1"/>
  <c r="W22" i="205" a="1"/>
  <c r="C3" i="269" a="1"/>
  <c r="H8" i="204" a="1"/>
  <c r="I44" i="203" a="1"/>
  <c r="F11" i="203" a="1"/>
  <c r="C27" i="269" a="1"/>
  <c r="Q18" i="269" a="1"/>
  <c r="Y35" i="205" a="1"/>
  <c r="T6" i="269" a="1"/>
  <c r="Y28" i="205" a="1"/>
  <c r="H33" i="269" a="1"/>
  <c r="H21" i="204" a="1"/>
  <c r="H27" i="269" a="1"/>
  <c r="I11" i="45" a="1"/>
  <c r="T8" i="269" a="1"/>
  <c r="AB35" i="205" a="1"/>
  <c r="T32" i="269" a="1"/>
  <c r="Y16" i="205" a="1"/>
  <c r="H29" i="269" a="1"/>
  <c r="X10" i="205" a="1"/>
  <c r="W12" i="205" a="1"/>
  <c r="I80" i="203" a="1"/>
  <c r="I18" i="204" a="1"/>
  <c r="Q28" i="269" a="1"/>
  <c r="H24" i="269" a="1"/>
  <c r="Q14" i="269" a="1"/>
  <c r="X7" i="205" a="1"/>
  <c r="Y19" i="205" a="1"/>
  <c r="H10" i="269" a="1"/>
  <c r="G19" i="204" a="1"/>
  <c r="C13" i="269" a="1"/>
  <c r="T9" i="269" a="1"/>
  <c r="F29" i="203" a="1"/>
  <c r="F89" i="203" a="1"/>
  <c r="AA6" i="205" a="1"/>
  <c r="T18" i="269" a="1"/>
  <c r="J83" i="203" a="1"/>
  <c r="I12" i="385" a="1"/>
  <c r="I14" i="386" a="1"/>
  <c r="I14" i="383" a="1"/>
  <c r="I13" i="383" a="1"/>
  <c r="I16" i="383" a="1"/>
  <c r="I12" i="378" a="1"/>
  <c r="I14" i="379" a="1"/>
  <c r="I12" i="381" a="1"/>
  <c r="I12" i="376" a="1"/>
  <c r="I16" i="374" a="1"/>
  <c r="I12" i="373" a="1"/>
  <c r="I12" i="371" a="1"/>
  <c r="I12" i="369" a="1"/>
  <c r="I13" i="370" a="1"/>
  <c r="I15" i="367" a="1"/>
  <c r="I12" i="367" a="1"/>
  <c r="I15" i="365" a="1"/>
  <c r="I13" i="363" a="1"/>
  <c r="I16" i="362" a="1"/>
  <c r="I15" i="361" a="1"/>
  <c r="I13" i="360" a="1"/>
  <c r="N6" i="269" a="1"/>
  <c r="N22" i="269" a="1"/>
  <c r="N9" i="269" a="1"/>
  <c r="N25" i="269" a="1"/>
  <c r="AA10" i="269" a="1"/>
  <c r="AA26" i="269" a="1"/>
  <c r="AA15" i="269" a="1"/>
  <c r="AA21" i="269" a="1"/>
  <c r="S14" i="269" a="1"/>
  <c r="S30" i="269" a="1"/>
  <c r="S19" i="269" a="1"/>
  <c r="S27" i="269" a="1"/>
  <c r="M18" i="269" a="1"/>
  <c r="M7" i="269" a="1"/>
  <c r="M23" i="269" a="1"/>
  <c r="C11" i="329" a="1"/>
  <c r="G18" i="204" a="1"/>
  <c r="G34" i="204" a="1"/>
  <c r="D33" i="269" a="1"/>
  <c r="AB9" i="205" a="1"/>
  <c r="W8" i="205" a="1"/>
  <c r="R26" i="269" a="1"/>
  <c r="Z27" i="269" a="1"/>
  <c r="I15" i="207" a="1"/>
  <c r="Q10" i="269" a="1"/>
  <c r="G25" i="204" a="1"/>
  <c r="C20" i="269" a="1"/>
  <c r="E15" i="269" a="1"/>
  <c r="D18" i="269" a="1"/>
  <c r="J32" i="203" a="1"/>
  <c r="H56" i="203" a="1"/>
  <c r="C16" i="269" a="1"/>
  <c r="R22" i="269" a="1"/>
  <c r="J44" i="203" a="1"/>
  <c r="Q3" i="269" a="1"/>
  <c r="W24" i="205" a="1"/>
  <c r="F80" i="203" a="1"/>
  <c r="X35" i="205" a="1"/>
  <c r="AB15" i="205" a="1"/>
  <c r="AA16" i="205" a="1"/>
  <c r="H32" i="204" a="1"/>
  <c r="E30" i="269" a="1"/>
  <c r="G71" i="203" a="1"/>
  <c r="C21" i="269" a="1"/>
  <c r="C23" i="269" a="1"/>
  <c r="I34" i="204" a="1"/>
  <c r="Q7" i="269" a="1"/>
  <c r="E29" i="269" a="1"/>
  <c r="F23" i="203" a="1"/>
  <c r="H20" i="204" a="1"/>
  <c r="F32" i="203" a="1"/>
  <c r="AA14" i="205" a="1"/>
  <c r="I26" i="204" a="1"/>
  <c r="Z14" i="269" a="1"/>
  <c r="C29" i="269" a="1"/>
  <c r="G32" i="203" a="1"/>
  <c r="K56" i="203" a="1"/>
  <c r="E5" i="269" a="1"/>
  <c r="Y24" i="205" a="1"/>
  <c r="Y25" i="205" a="1"/>
  <c r="H27" i="204" a="1"/>
  <c r="C14" i="269" a="1"/>
  <c r="G11" i="203" a="1"/>
  <c r="G29" i="204" a="1"/>
  <c r="H19" i="269" a="1"/>
  <c r="T12" i="269" a="1"/>
  <c r="Z21" i="205" a="1"/>
  <c r="R29" i="269" a="1"/>
  <c r="G74" i="203" a="1"/>
  <c r="X9" i="205" a="1"/>
  <c r="H17" i="269" a="1"/>
  <c r="W28" i="205" a="1"/>
  <c r="H22" i="204" a="1"/>
  <c r="K17" i="203" a="1"/>
  <c r="I13" i="45" a="1"/>
  <c r="E13" i="269" a="1"/>
  <c r="H89" i="203" a="1"/>
  <c r="D5" i="269" a="1"/>
  <c r="I56" i="203" a="1"/>
  <c r="AA26" i="205" a="1"/>
  <c r="H32" i="269" a="1"/>
  <c r="W20" i="205" a="1"/>
  <c r="I65" i="203" a="1"/>
  <c r="H44" i="203" a="1"/>
  <c r="Z26" i="205" a="1"/>
  <c r="T17" i="269" a="1"/>
  <c r="B5" i="204" a="1"/>
  <c r="J56" i="203" a="1"/>
  <c r="E24" i="269" a="1"/>
  <c r="X25" i="205" a="1"/>
  <c r="Q31" i="269" a="1"/>
  <c r="H20" i="269" a="1"/>
  <c r="AA22" i="205" a="1"/>
  <c r="I30" i="204" a="1"/>
  <c r="Y13" i="205" a="1"/>
  <c r="Z18" i="205" a="1"/>
  <c r="Q24" i="269" a="1"/>
  <c r="X27" i="205" a="1"/>
  <c r="K20" i="203" a="1"/>
  <c r="F71" i="203" a="1"/>
  <c r="Z3" i="269" a="1"/>
  <c r="T21" i="269" a="1"/>
  <c r="I62" i="203" a="1"/>
  <c r="Z22" i="205" a="1"/>
  <c r="Z8" i="205" a="1"/>
  <c r="Q17" i="269" a="1"/>
  <c r="I15" i="387" a="1"/>
  <c r="I11" i="385" a="1"/>
  <c r="I14" i="381" a="1"/>
  <c r="I13" i="376" a="1"/>
  <c r="I11" i="379" a="1"/>
  <c r="I12" i="377" a="1"/>
  <c r="I15" i="370" a="1"/>
  <c r="I15" i="366" a="1"/>
  <c r="I16" i="368" a="1"/>
  <c r="I11" i="364" a="1"/>
  <c r="I12" i="361" a="1"/>
  <c r="N12" i="269" a="1"/>
  <c r="N15" i="269" a="1"/>
  <c r="AA16" i="269" a="1"/>
  <c r="AA23" i="269" a="1"/>
  <c r="S20" i="269" a="1"/>
  <c r="S25" i="269" a="1"/>
  <c r="M24" i="269" a="1"/>
  <c r="M31" i="269" a="1"/>
  <c r="G24" i="204" a="1"/>
  <c r="T13" i="269" a="1"/>
  <c r="D32" i="269" a="1"/>
  <c r="I29" i="203" a="1"/>
  <c r="D31" i="269" a="1"/>
  <c r="K62" i="203" a="1"/>
  <c r="T11" i="269" a="1"/>
  <c r="C4" i="269" a="1"/>
  <c r="Y18" i="205" a="1"/>
  <c r="Z5" i="269" a="1"/>
  <c r="AA27" i="205" a="1"/>
  <c r="I35" i="204" a="1"/>
  <c r="AB22" i="205" a="1"/>
  <c r="Z12" i="205" a="1"/>
  <c r="Y23" i="205" a="1"/>
  <c r="R23" i="269" a="1"/>
  <c r="H11" i="269" a="1"/>
  <c r="AB16" i="205" a="1"/>
  <c r="H59" i="203" a="1"/>
  <c r="AA25" i="205" a="1"/>
  <c r="J53" i="203" a="1"/>
  <c r="I5" i="203" a="1"/>
  <c r="Y29" i="205" a="1"/>
  <c r="Z19" i="205" a="1"/>
  <c r="J62" i="203" a="1"/>
  <c r="R18" i="269" a="1"/>
  <c r="J95" i="203" a="1"/>
  <c r="H17" i="203" a="1"/>
  <c r="I28" i="204" a="1"/>
  <c r="AB27" i="205" a="1"/>
  <c r="E17" i="269" a="1"/>
  <c r="G38" i="203" a="1"/>
  <c r="Z30" i="269" a="1"/>
  <c r="J14" i="203" a="1"/>
  <c r="R6" i="269" a="1"/>
  <c r="H11" i="204" a="1"/>
  <c r="I17" i="204" a="1"/>
  <c r="D8" i="269" a="1"/>
  <c r="W23" i="205" a="1"/>
  <c r="X14" i="205" a="1"/>
  <c r="G41" i="203" a="1"/>
  <c r="AB28" i="205" a="1"/>
  <c r="Z35" i="205" a="1"/>
  <c r="E31" i="269" a="1"/>
  <c r="R16" i="269" a="1"/>
  <c r="R11" i="269" a="1"/>
  <c r="H15" i="269" a="1"/>
  <c r="H22" i="269" a="1"/>
  <c r="C12" i="269" a="1"/>
  <c r="AB7" i="205" a="1"/>
  <c r="Z10" i="205" a="1"/>
  <c r="T10" i="269" a="1"/>
  <c r="E18" i="269" a="1"/>
  <c r="E12" i="269" a="1"/>
  <c r="Z6" i="205" a="1"/>
  <c r="D30" i="269" a="1"/>
  <c r="E3" i="269" a="1"/>
  <c r="R14" i="269" a="1"/>
  <c r="G21" i="204" a="1"/>
  <c r="W7" i="205" a="1"/>
  <c r="F14" i="203" a="1"/>
  <c r="B6" i="206" a="1"/>
  <c r="H28" i="204" a="1"/>
  <c r="K29" i="203" a="1"/>
  <c r="Q19" i="269" a="1"/>
  <c r="G5" i="203" a="1"/>
  <c r="D28" i="269" a="1"/>
  <c r="F95" i="203" a="1"/>
  <c r="H26" i="203" a="1"/>
  <c r="W14" i="205" a="1"/>
  <c r="AB17" i="205" a="1"/>
  <c r="D22" i="269" a="1"/>
  <c r="T25" i="269" a="1"/>
  <c r="Q23" i="269" a="1"/>
  <c r="I32" i="204" a="1"/>
  <c r="H5" i="204" a="1"/>
  <c r="H74" i="203" a="1"/>
  <c r="C9" i="269" a="1"/>
  <c r="H24" i="204" a="1"/>
  <c r="H47" i="203" a="1"/>
  <c r="G44" i="203" a="1"/>
  <c r="I14" i="203" a="1"/>
  <c r="J7" i="207" a="1"/>
  <c r="B6" i="207" a="1"/>
  <c r="J5" i="205" a="1"/>
  <c r="T27" i="269" a="1"/>
  <c r="AA19" i="205" a="1"/>
  <c r="X18" i="205" a="1"/>
  <c r="F41" i="203" a="1"/>
  <c r="W29" i="205" a="1"/>
  <c r="I17" i="203" a="1"/>
  <c r="I59" i="203" a="1"/>
  <c r="E4" i="205" a="1"/>
  <c r="H5" i="205" a="1"/>
  <c r="Z21" i="269" a="1"/>
  <c r="H12" i="204" a="1"/>
  <c r="K68" i="203" a="1"/>
  <c r="I23" i="203" a="1"/>
  <c r="AA15" i="205" a="1"/>
  <c r="H11" i="203" a="1"/>
  <c r="T23" i="269" a="1"/>
  <c r="W15" i="205" a="1"/>
  <c r="B10" i="207" a="1"/>
  <c r="X31" i="205" a="1"/>
  <c r="I89" i="203" a="1"/>
  <c r="I27" i="204" a="1"/>
  <c r="H8" i="203" a="1"/>
  <c r="J11" i="203" a="1"/>
  <c r="J8" i="203" a="1"/>
  <c r="W31" i="205" a="1"/>
  <c r="I15" i="204" a="1"/>
  <c r="T5" i="205" a="1"/>
  <c r="Q33" i="269" a="1"/>
  <c r="F17" i="203" a="1"/>
  <c r="H13" i="269" a="1"/>
  <c r="E9" i="269" a="1"/>
  <c r="E5" i="204" a="1"/>
  <c r="T33" i="269" a="1"/>
  <c r="N5" i="204" a="1"/>
  <c r="C11" i="269" a="1"/>
  <c r="D15" i="269" a="1"/>
  <c r="C5" i="269" a="1"/>
  <c r="J71" i="203" a="1"/>
  <c r="G95" i="203" a="1"/>
  <c r="Q30" i="269" a="1"/>
  <c r="D20" i="269" a="1"/>
  <c r="I25" i="204" a="1"/>
  <c r="C19" i="269" a="1"/>
  <c r="F44" i="203" a="1"/>
  <c r="F83" i="203" a="1"/>
  <c r="K41" i="203" a="1"/>
  <c r="Q15" i="269" a="1"/>
  <c r="W11" i="205" a="1"/>
  <c r="H25" i="204" a="1"/>
  <c r="E23" i="269" a="1"/>
  <c r="I26" i="203" a="1"/>
  <c r="R15" i="269" a="1"/>
  <c r="Y12" i="205" a="1"/>
  <c r="Z20" i="205" a="1"/>
  <c r="I68" i="203" a="1"/>
  <c r="AB20" i="205" a="1"/>
  <c r="AA5" i="205" a="1"/>
  <c r="G4" i="205" a="1"/>
  <c r="T7" i="269" a="1"/>
  <c r="R31" i="269" a="1"/>
  <c r="AB14" i="205" a="1"/>
  <c r="I24" i="204" a="1"/>
  <c r="H26" i="204" a="1"/>
  <c r="H83" i="203" a="1"/>
  <c r="Z30" i="205" a="1"/>
  <c r="F59" i="203" a="1"/>
  <c r="Q16" i="269" a="1"/>
  <c r="G29" i="203" a="1"/>
  <c r="H35" i="204" a="1"/>
  <c r="K8" i="203" a="1"/>
  <c r="H1" i="207" a="1"/>
  <c r="C7" i="269" a="1"/>
  <c r="J23" i="203" a="1"/>
  <c r="Q26" i="269" a="1"/>
  <c r="Y5" i="205" a="1"/>
  <c r="G92" i="203" a="1"/>
  <c r="L5" i="205" a="1"/>
  <c r="H18" i="204" a="1"/>
  <c r="AB34" i="205" a="1"/>
  <c r="Z14" i="205" a="1"/>
  <c r="Y9" i="205" a="1"/>
  <c r="J4" i="207" a="1"/>
  <c r="C5" i="204" a="1"/>
  <c r="E16" i="269" a="1"/>
  <c r="Q13" i="269" a="1"/>
  <c r="AB13" i="205" a="1"/>
  <c r="D10" i="269" a="1"/>
  <c r="K5" i="204" a="1"/>
  <c r="Z24" i="269" a="1"/>
  <c r="B8" i="207" a="1"/>
  <c r="G89" i="203" a="1"/>
  <c r="H34" i="204" a="1"/>
  <c r="AB6" i="205" a="1"/>
  <c r="M3" i="269" a="1"/>
  <c r="AA30" i="205" a="1"/>
  <c r="K5" i="203" a="1"/>
  <c r="AA34" i="205" a="1"/>
  <c r="I12" i="387" a="1"/>
  <c r="I11" i="374" a="1"/>
  <c r="I14" i="369" a="1"/>
  <c r="I16" i="365" a="1"/>
  <c r="I13" i="359" a="1"/>
  <c r="N33" i="269" a="1"/>
  <c r="S11" i="269" a="1"/>
  <c r="M15" i="269" a="1"/>
  <c r="G31" i="204" a="1"/>
  <c r="N3" i="269" a="1"/>
  <c r="Q6" i="269" a="1"/>
  <c r="F53" i="203" a="1"/>
  <c r="H20" i="203" a="1"/>
  <c r="AA31" i="205" a="1"/>
  <c r="H50" i="203" a="1"/>
  <c r="F65" i="203" a="1"/>
  <c r="F26" i="203" a="1"/>
  <c r="Z13" i="269" a="1"/>
  <c r="D16" i="269" a="1"/>
  <c r="AB18" i="205" a="1"/>
  <c r="R20" i="269" a="1"/>
  <c r="X15" i="205" a="1"/>
  <c r="C24" i="269" a="1"/>
  <c r="Z23" i="269" a="1"/>
  <c r="Z15" i="269" a="1"/>
  <c r="D7" i="269" a="1"/>
  <c r="H25" i="269" a="1"/>
  <c r="Z20" i="269" a="1"/>
  <c r="D14" i="269" a="1"/>
  <c r="C22" i="269" a="1"/>
  <c r="H10" i="204" a="1"/>
  <c r="X17" i="205" a="1"/>
  <c r="I31" i="204" a="1"/>
  <c r="I47" i="203" a="1"/>
  <c r="I13" i="387" a="1"/>
  <c r="I11" i="387" a="1"/>
  <c r="I15" i="380" a="1"/>
  <c r="I11" i="376" a="1"/>
  <c r="I15" i="378" a="1"/>
  <c r="I14" i="376" a="1"/>
  <c r="I13" i="371" a="1"/>
  <c r="I13" i="366" a="1"/>
  <c r="I16" i="367" a="1"/>
  <c r="I16" i="363" a="1"/>
  <c r="I11" i="361" a="1"/>
  <c r="N14" i="269" a="1"/>
  <c r="N17" i="269" a="1"/>
  <c r="AA18" i="269" a="1"/>
  <c r="AA25" i="269" a="1"/>
  <c r="S22" i="269" a="1"/>
  <c r="S29" i="269" a="1"/>
  <c r="M26" i="269" a="1"/>
  <c r="M5" i="269" a="1"/>
  <c r="G26" i="204" a="1"/>
  <c r="G83" i="203" a="1"/>
  <c r="W27" i="205" a="1"/>
  <c r="G53" i="203" a="1"/>
  <c r="X29" i="205" a="1"/>
  <c r="Z22" i="269" a="1"/>
  <c r="I95" i="203" a="1"/>
  <c r="AB23" i="205" a="1"/>
  <c r="H41" i="203" a="1"/>
  <c r="Z7" i="205" a="1"/>
  <c r="T26" i="269" a="1"/>
  <c r="I8" i="204" a="1"/>
  <c r="D13" i="269" a="1"/>
  <c r="K47" i="203" a="1"/>
  <c r="E27" i="269" a="1"/>
  <c r="AB32" i="205" a="1"/>
  <c r="AB24" i="205" a="1"/>
  <c r="Q8" i="269" a="1"/>
  <c r="F5" i="203" a="1"/>
  <c r="H14" i="269" a="1"/>
  <c r="J50" i="203" a="1"/>
  <c r="H29" i="203" a="1"/>
  <c r="K35" i="203" a="1"/>
  <c r="I6" i="204" a="1"/>
  <c r="AA13" i="205" a="1"/>
  <c r="H5" i="269" a="1"/>
  <c r="G77" i="203" a="1"/>
  <c r="H92" i="203" a="1"/>
  <c r="I29" i="204" a="1"/>
  <c r="Z9" i="205" a="1"/>
  <c r="H6" i="269" a="1"/>
  <c r="H80" i="203" a="1"/>
  <c r="X19" i="205" a="1"/>
  <c r="K14" i="203" a="1"/>
  <c r="H9" i="269" a="1"/>
  <c r="H13" i="204" a="1"/>
  <c r="I32" i="203" a="1"/>
  <c r="D19" i="269" a="1"/>
  <c r="H16" i="204" a="1"/>
  <c r="F8" i="203" a="1"/>
  <c r="Z11" i="205" a="1"/>
  <c r="Z28" i="205" a="1"/>
  <c r="G17" i="203" a="1"/>
  <c r="H95" i="203" a="1"/>
  <c r="K74" i="203" a="1"/>
  <c r="H7" i="269" a="1"/>
  <c r="G8" i="203" a="1"/>
  <c r="F47" i="203" a="1"/>
  <c r="AB26" i="205" a="1"/>
  <c r="I7" i="204" a="1"/>
  <c r="K23" i="203" a="1"/>
  <c r="H7" i="204" a="1"/>
  <c r="X34" i="205" a="1"/>
  <c r="I50" i="203" a="1"/>
  <c r="I12" i="204" a="1"/>
  <c r="D3" i="269" a="1"/>
  <c r="T28" i="269" a="1"/>
  <c r="I77" i="203" a="1"/>
  <c r="W30" i="205" a="1"/>
  <c r="X8" i="205" a="1"/>
  <c r="K38" i="203" a="1"/>
  <c r="R32" i="269" a="1"/>
  <c r="Y34" i="205" a="1"/>
  <c r="Z19" i="269" a="1"/>
  <c r="F74" i="203" a="1"/>
  <c r="F92" i="203" a="1"/>
  <c r="H29" i="204" a="1"/>
  <c r="X30" i="205" a="1"/>
  <c r="Y7" i="205" a="1"/>
  <c r="I9" i="204" a="1"/>
  <c r="Y8" i="205" a="1"/>
  <c r="H17" i="204" a="1"/>
  <c r="K11" i="203" a="1"/>
  <c r="E21" i="269" a="1"/>
  <c r="I22" i="204" a="1"/>
  <c r="J20" i="203" a="1"/>
  <c r="AA11" i="205" a="1"/>
  <c r="R33" i="269" a="1"/>
  <c r="R12" i="269" a="1"/>
  <c r="Q12" i="269" a="1"/>
  <c r="E22" i="269" a="1"/>
  <c r="Y31" i="205" a="1"/>
  <c r="J3" i="207" a="1"/>
  <c r="B13" i="207" a="1"/>
  <c r="K32" i="203" a="1"/>
  <c r="T14" i="269" a="1"/>
  <c r="H14" i="204" a="1"/>
  <c r="Y11" i="205" a="1"/>
  <c r="Y26" i="205" a="1"/>
  <c r="X33" i="205" a="1"/>
  <c r="R9" i="269" a="1"/>
  <c r="AA7" i="205" a="1"/>
  <c r="B12" i="207" a="1"/>
  <c r="Z24" i="205" a="1"/>
  <c r="AA8" i="205" a="1"/>
  <c r="J92" i="203" a="1"/>
  <c r="F4" i="205" a="1"/>
  <c r="F35" i="203" a="1"/>
  <c r="W21" i="205" a="1"/>
  <c r="R19" i="269" a="1"/>
  <c r="J6" i="207" a="1"/>
  <c r="R3" i="269" a="1"/>
  <c r="J65" i="203" a="1"/>
  <c r="R5" i="269" a="1"/>
  <c r="Z16" i="205" a="1"/>
  <c r="W10" i="205" a="1"/>
  <c r="F77" i="203" a="1"/>
  <c r="X32" i="205" a="1"/>
  <c r="Z25" i="205" a="1"/>
  <c r="I11" i="203" a="1"/>
  <c r="B5" i="207" a="1"/>
  <c r="D11" i="269" a="1"/>
  <c r="AB30" i="205" a="1"/>
  <c r="H62" i="203" a="1"/>
  <c r="H3" i="269" a="1"/>
  <c r="M5" i="204" a="1"/>
  <c r="H68" i="203" a="1"/>
  <c r="C15" i="269" a="1"/>
  <c r="I33" i="204" a="1"/>
  <c r="R17" i="269" a="1"/>
  <c r="G5" i="204" a="1"/>
  <c r="I13" i="386" a="1"/>
  <c r="I11" i="382" a="1"/>
  <c r="I13" i="381" a="1"/>
  <c r="I13" i="377" a="1"/>
  <c r="I13" i="374" a="1"/>
  <c r="I15" i="372" a="1"/>
  <c r="I12" i="370" a="1"/>
  <c r="I16" i="366" a="1"/>
  <c r="I16" i="364" a="1"/>
  <c r="I11" i="362" a="1"/>
  <c r="I12" i="359" a="1"/>
  <c r="N28" i="269" a="1"/>
  <c r="N31" i="269" a="1"/>
  <c r="AA32" i="269" a="1"/>
  <c r="S4" i="269" a="1"/>
  <c r="S9" i="269" a="1"/>
  <c r="M8" i="269" a="1"/>
  <c r="M13" i="269" a="1"/>
  <c r="G8" i="204" a="1"/>
  <c r="G23" i="204" a="1"/>
  <c r="F50" i="203" a="1"/>
  <c r="F56" i="203" a="1"/>
  <c r="Z29" i="269" a="1"/>
  <c r="G62" i="203" a="1"/>
  <c r="J89" i="203" a="1"/>
  <c r="E28" i="269" a="1"/>
  <c r="G86" i="203" a="1"/>
  <c r="I16" i="207" a="1"/>
  <c r="Y10" i="205" a="1"/>
  <c r="J68" i="203" a="1"/>
  <c r="H77" i="203" a="1"/>
  <c r="D25" i="269" a="1"/>
  <c r="D29" i="269" a="1"/>
  <c r="X22" i="205" a="1"/>
  <c r="Z32" i="269" a="1"/>
  <c r="C32" i="269" a="1"/>
  <c r="K80" i="203" a="1"/>
  <c r="AB11" i="205" a="1"/>
  <c r="W18" i="205" a="1"/>
  <c r="K26" i="203" a="1"/>
  <c r="G50" i="203" a="1"/>
  <c r="I5" i="204" a="1"/>
  <c r="H12" i="269" a="1"/>
  <c r="H31" i="269" a="1"/>
  <c r="H28" i="269" a="1"/>
  <c r="K86" i="203" a="1"/>
  <c r="H33" i="204" a="1"/>
  <c r="C31" i="269" a="1"/>
  <c r="AA24" i="205" a="1"/>
  <c r="T20" i="269" a="1"/>
  <c r="T22" i="269" a="1"/>
  <c r="Y22" i="205" a="1"/>
  <c r="AA29" i="205" a="1"/>
  <c r="Y17" i="205" a="1"/>
  <c r="I20" i="204" a="1"/>
  <c r="AB19" i="205" a="1"/>
  <c r="W35" i="205" a="1"/>
  <c r="I53" i="203" a="1"/>
  <c r="G14" i="203" a="1"/>
  <c r="Z29" i="205" a="1"/>
  <c r="C18" i="269" a="1"/>
  <c r="I74" i="203" a="1"/>
  <c r="U5" i="205" a="1"/>
  <c r="F20" i="203" a="1"/>
  <c r="E20" i="269" a="1"/>
  <c r="H38" i="203" a="1"/>
  <c r="S3" i="269" a="1"/>
  <c r="AB31" i="205" a="1"/>
  <c r="E26" i="269" a="1"/>
  <c r="AA10" i="205" a="1"/>
  <c r="R4" i="269" a="1"/>
  <c r="W6" i="205" a="1"/>
  <c r="AB8" i="205" a="1"/>
  <c r="J41" i="203" a="1"/>
  <c r="K59" i="203" a="1"/>
  <c r="K5" i="205" a="1"/>
  <c r="Z12" i="269" a="1"/>
  <c r="B3" i="207" a="1"/>
  <c r="G1" i="207" a="1"/>
  <c r="T16" i="269" a="1"/>
  <c r="H65" i="203" a="1"/>
  <c r="I14" i="385" a="1"/>
  <c r="I11" i="381" a="1"/>
  <c r="I11" i="377" a="1"/>
  <c r="I11" i="372" a="1"/>
  <c r="I11" i="370" a="1"/>
  <c r="I14" i="363" a="1"/>
  <c r="N30" i="269" a="1"/>
  <c r="AA7" i="269" a="1"/>
  <c r="S6" i="269" a="1"/>
  <c r="M10" i="269" a="1"/>
  <c r="G10" i="204" a="1"/>
  <c r="I38" i="203" a="1"/>
  <c r="AA3" i="269" a="1"/>
  <c r="R27" i="269" a="1"/>
  <c r="C26" i="269" a="1"/>
  <c r="G11" i="204" a="1"/>
  <c r="H30" i="269" a="1"/>
  <c r="W13" i="205" a="1"/>
  <c r="AB33" i="205" a="1"/>
  <c r="Z26" i="269" a="1"/>
  <c r="H15" i="204" a="1"/>
  <c r="Y32" i="205" a="1"/>
  <c r="D23" i="269" a="1"/>
  <c r="K89" i="203" a="1"/>
  <c r="Y33" i="205" a="1"/>
  <c r="I14" i="204" a="1"/>
  <c r="Z31" i="205" a="1"/>
  <c r="T29" i="269" a="1"/>
  <c r="H23" i="269" a="1"/>
  <c r="Z6" i="269" a="1"/>
  <c r="Y21" i="205" a="1"/>
  <c r="C4" i="205" a="1"/>
  <c r="D24" i="269" a="1"/>
  <c r="H26" i="269" a="1"/>
  <c r="AA18" i="205" a="1"/>
  <c r="H5" i="203" a="1"/>
  <c r="I21" i="204" a="1"/>
  <c r="W17" i="205" a="1"/>
  <c r="Q25" i="269" a="1"/>
  <c r="Z25" i="269" a="1"/>
  <c r="X20" i="205" a="1"/>
  <c r="W33" i="205" a="1"/>
  <c r="P3" i="269" a="1"/>
  <c r="B5" i="203" a="1"/>
  <c r="L5" i="204" a="1"/>
  <c r="G80" i="203" a="1"/>
  <c r="C25" i="269" a="1"/>
  <c r="Q9" i="269" a="1"/>
  <c r="G23" i="203" a="1"/>
  <c r="H9" i="204" a="1"/>
  <c r="E7" i="269" a="1"/>
  <c r="B15" i="207" a="1"/>
  <c r="E4" i="269" a="1"/>
  <c r="Q11" i="269" a="1"/>
  <c r="AA9" i="205" a="1"/>
  <c r="AA21" i="205" a="1"/>
  <c r="X16" i="205" a="1"/>
  <c r="Y6" i="205" a="1"/>
  <c r="AA20" i="205" a="1"/>
  <c r="Z13" i="205" a="1"/>
  <c r="Q4" i="269" a="1"/>
  <c r="X26" i="205" a="1"/>
  <c r="H71" i="203" a="1"/>
  <c r="G56" i="203" a="1"/>
  <c r="W26" i="205" a="1"/>
  <c r="B7" i="207" a="1"/>
  <c r="K65" i="203" a="1"/>
  <c r="AB10" i="205" a="1"/>
  <c r="R25" i="269" a="1"/>
  <c r="F5" i="204" a="1"/>
  <c r="S5" i="205" a="1"/>
  <c r="K77" i="203" a="1"/>
  <c r="D27" i="269" a="1"/>
  <c r="Q21" i="269" a="1"/>
  <c r="Q5" i="269" a="1"/>
  <c r="Y30" i="205" a="1"/>
  <c r="I83" i="203" a="1"/>
  <c r="T31" i="269" a="1"/>
  <c r="G68" i="203" a="1"/>
  <c r="B4" i="207" a="1"/>
  <c r="J17" i="203" a="1"/>
  <c r="Q27" i="269" a="1"/>
  <c r="AA12" i="205" a="1"/>
  <c r="I11" i="204" a="1"/>
  <c r="R28" i="269" a="1"/>
  <c r="E6" i="269" a="1"/>
  <c r="I19" i="204" a="1"/>
  <c r="I10" i="204" a="1"/>
  <c r="B9" i="207" a="1"/>
  <c r="X11" i="205" a="1"/>
  <c r="AA35" i="205" a="1"/>
  <c r="C33" i="269" a="1"/>
  <c r="W25" i="205" a="1"/>
  <c r="T3" i="269" a="1"/>
  <c r="G35" i="204" a="1"/>
  <c r="C10" i="269" a="1"/>
  <c r="AB29" i="205" a="1"/>
  <c r="I5" i="205" a="1"/>
  <c r="K92" i="203" a="1"/>
  <c r="D4" i="269" a="1"/>
  <c r="D4" i="205" a="1"/>
  <c r="B5" i="205" a="1"/>
  <c r="I13" i="204" a="1"/>
  <c r="H19" i="204" a="1"/>
  <c r="F62" i="203" a="1"/>
  <c r="B16" i="207" a="1"/>
  <c r="J5" i="204" a="1"/>
  <c r="M33" i="269" a="1"/>
  <c r="C5" i="203" a="1"/>
  <c r="J5" i="204" l="1"/>
  <c r="B16" i="207"/>
  <c r="F62" i="203"/>
  <c r="H19" i="204"/>
  <c r="I13" i="204"/>
  <c r="B5" i="205"/>
  <c r="D4" i="205"/>
  <c r="D4" i="269"/>
  <c r="K92" i="203"/>
  <c r="I5" i="205"/>
  <c r="AB29" i="205"/>
  <c r="C10" i="269"/>
  <c r="G35" i="204"/>
  <c r="T3" i="269"/>
  <c r="W25" i="205"/>
  <c r="C33" i="269"/>
  <c r="AA35" i="205"/>
  <c r="X11" i="205"/>
  <c r="B9" i="207"/>
  <c r="I10" i="204"/>
  <c r="I19" i="204"/>
  <c r="E6" i="269"/>
  <c r="R28" i="269"/>
  <c r="I11" i="204"/>
  <c r="AA12" i="205"/>
  <c r="Q27" i="269"/>
  <c r="J17" i="203"/>
  <c r="B4" i="207"/>
  <c r="G68" i="203"/>
  <c r="T31" i="269"/>
  <c r="I83" i="203"/>
  <c r="Y30" i="205"/>
  <c r="Q5" i="269"/>
  <c r="Q21" i="269"/>
  <c r="D27" i="269"/>
  <c r="K77" i="203"/>
  <c r="S5" i="205"/>
  <c r="F5" i="204"/>
  <c r="R25" i="269"/>
  <c r="AB10" i="205"/>
  <c r="K65" i="203"/>
  <c r="B7" i="207"/>
  <c r="W26" i="205"/>
  <c r="G56" i="203"/>
  <c r="H71" i="203"/>
  <c r="X26" i="205"/>
  <c r="Q4" i="269"/>
  <c r="Z13" i="205"/>
  <c r="AA20" i="205"/>
  <c r="Y6" i="205"/>
  <c r="X16" i="205"/>
  <c r="AA21" i="205"/>
  <c r="AA9" i="205"/>
  <c r="Q11" i="269"/>
  <c r="E4" i="269"/>
  <c r="B15" i="207"/>
  <c r="E7" i="269"/>
  <c r="H9" i="204"/>
  <c r="G23" i="203"/>
  <c r="Q9" i="269"/>
  <c r="C25" i="269"/>
  <c r="G80" i="203"/>
  <c r="L5" i="204"/>
  <c r="B5" i="203"/>
  <c r="P3" i="269"/>
  <c r="W33" i="205"/>
  <c r="X20" i="205"/>
  <c r="Z25" i="269"/>
  <c r="Q25" i="269"/>
  <c r="W17" i="205"/>
  <c r="I21" i="204"/>
  <c r="H5" i="203"/>
  <c r="AA18" i="205"/>
  <c r="H26" i="269"/>
  <c r="D24" i="269"/>
  <c r="C4" i="205"/>
  <c r="Y21" i="205"/>
  <c r="Z6" i="269"/>
  <c r="H23" i="269"/>
  <c r="T29" i="269"/>
  <c r="Z31" i="205"/>
  <c r="I14" i="204"/>
  <c r="Y33" i="205"/>
  <c r="K89" i="203"/>
  <c r="D23" i="269"/>
  <c r="Y32" i="205"/>
  <c r="H15" i="204"/>
  <c r="Z26" i="269"/>
  <c r="AB33" i="205"/>
  <c r="W13" i="205"/>
  <c r="H30" i="269"/>
  <c r="G11" i="204"/>
  <c r="C26" i="269"/>
  <c r="R27" i="269"/>
  <c r="AA3" i="269"/>
  <c r="I38" i="203"/>
  <c r="G10" i="204"/>
  <c r="M10" i="269"/>
  <c r="S6" i="269"/>
  <c r="AA7" i="269"/>
  <c r="N30" i="269"/>
  <c r="I14" i="363"/>
  <c r="I11" i="370"/>
  <c r="I11" i="372"/>
  <c r="I11" i="377"/>
  <c r="I11" i="381"/>
  <c r="I14" i="385"/>
  <c r="H65" i="203"/>
  <c r="T16" i="269"/>
  <c r="G1" i="207"/>
  <c r="B3" i="207"/>
  <c r="Z12" i="269"/>
  <c r="K5" i="205"/>
  <c r="K59" i="203"/>
  <c r="J41" i="203"/>
  <c r="AB8" i="205"/>
  <c r="W6" i="205"/>
  <c r="R4" i="269"/>
  <c r="AA10" i="205"/>
  <c r="E26" i="269"/>
  <c r="AB31" i="205"/>
  <c r="S3" i="269"/>
  <c r="H38" i="203"/>
  <c r="E20" i="269"/>
  <c r="F20" i="203"/>
  <c r="U5" i="205"/>
  <c r="I74" i="203"/>
  <c r="C18" i="269"/>
  <c r="Z29" i="205"/>
  <c r="G14" i="203"/>
  <c r="I53" i="203"/>
  <c r="W35" i="205"/>
  <c r="AB19" i="205"/>
  <c r="I20" i="204"/>
  <c r="Y17" i="205"/>
  <c r="AA29" i="205"/>
  <c r="Y22" i="205"/>
  <c r="T22" i="269"/>
  <c r="T20" i="269"/>
  <c r="AA24" i="205"/>
  <c r="C31" i="269"/>
  <c r="H33" i="204"/>
  <c r="K86" i="203"/>
  <c r="H28" i="269"/>
  <c r="H31" i="269"/>
  <c r="H12" i="269"/>
  <c r="I5" i="204"/>
  <c r="G50" i="203"/>
  <c r="K26" i="203"/>
  <c r="W18" i="205"/>
  <c r="AB11" i="205"/>
  <c r="K80" i="203"/>
  <c r="C32" i="269"/>
  <c r="Z32" i="269"/>
  <c r="X22" i="205"/>
  <c r="D29" i="269"/>
  <c r="D25" i="269"/>
  <c r="H77" i="203"/>
  <c r="J68" i="203"/>
  <c r="Y10" i="205"/>
  <c r="I16" i="207"/>
  <c r="G86" i="203"/>
  <c r="E28" i="269"/>
  <c r="J89" i="203"/>
  <c r="G62" i="203"/>
  <c r="Z29" i="269"/>
  <c r="F56" i="203"/>
  <c r="F50" i="203"/>
  <c r="G23" i="204"/>
  <c r="G8" i="204"/>
  <c r="M13" i="269"/>
  <c r="M8" i="269"/>
  <c r="S9" i="269"/>
  <c r="S4" i="269"/>
  <c r="AA32" i="269"/>
  <c r="N31" i="269"/>
  <c r="N28" i="269"/>
  <c r="I12" i="359"/>
  <c r="I11" i="362"/>
  <c r="I16" i="364"/>
  <c r="I16" i="366"/>
  <c r="I12" i="370"/>
  <c r="I15" i="372"/>
  <c r="I13" i="374"/>
  <c r="I13" i="377"/>
  <c r="I13" i="381"/>
  <c r="I11" i="382"/>
  <c r="I13" i="386"/>
  <c r="G5" i="204"/>
  <c r="R17" i="269"/>
  <c r="I33" i="204"/>
  <c r="C15" i="269"/>
  <c r="H68" i="203"/>
  <c r="M5" i="204"/>
  <c r="H3" i="269"/>
  <c r="H62" i="203"/>
  <c r="AB30" i="205"/>
  <c r="D11" i="269"/>
  <c r="B5" i="207"/>
  <c r="I11" i="203"/>
  <c r="Z25" i="205"/>
  <c r="X32" i="205"/>
  <c r="F77" i="203"/>
  <c r="W10" i="205"/>
  <c r="Z16" i="205"/>
  <c r="R5" i="269"/>
  <c r="J65" i="203"/>
  <c r="R3" i="269"/>
  <c r="J6" i="207"/>
  <c r="R19" i="269"/>
  <c r="W21" i="205"/>
  <c r="F35" i="203"/>
  <c r="F4" i="205"/>
  <c r="J92" i="203"/>
  <c r="AA8" i="205"/>
  <c r="Z24" i="205"/>
  <c r="B12" i="207"/>
  <c r="AA7" i="205"/>
  <c r="R9" i="269"/>
  <c r="X33" i="205"/>
  <c r="Y26" i="205"/>
  <c r="Y11" i="205"/>
  <c r="H14" i="204"/>
  <c r="T14" i="269"/>
  <c r="K32" i="203"/>
  <c r="B13" i="207"/>
  <c r="J3" i="207"/>
  <c r="Y31" i="205"/>
  <c r="E22" i="269"/>
  <c r="Q12" i="269"/>
  <c r="R12" i="269"/>
  <c r="R33" i="269"/>
  <c r="AA11" i="205"/>
  <c r="J20" i="203"/>
  <c r="I22" i="204"/>
  <c r="E21" i="269"/>
  <c r="K11" i="203"/>
  <c r="H17" i="204"/>
  <c r="Y8" i="205"/>
  <c r="I9" i="204"/>
  <c r="Y7" i="205"/>
  <c r="X30" i="205"/>
  <c r="H29" i="204"/>
  <c r="F92" i="203"/>
  <c r="F74" i="203"/>
  <c r="Z19" i="269"/>
  <c r="Y34" i="205"/>
  <c r="R32" i="269"/>
  <c r="K38" i="203"/>
  <c r="X8" i="205"/>
  <c r="W30" i="205"/>
  <c r="I77" i="203"/>
  <c r="T28" i="269"/>
  <c r="D3" i="269"/>
  <c r="I12" i="204"/>
  <c r="I50" i="203"/>
  <c r="X34" i="205"/>
  <c r="H7" i="204"/>
  <c r="K23" i="203"/>
  <c r="I7" i="204"/>
  <c r="AB26" i="205"/>
  <c r="F47" i="203"/>
  <c r="G8" i="203"/>
  <c r="H7" i="269"/>
  <c r="K74" i="203"/>
  <c r="H95" i="203"/>
  <c r="G17" i="203"/>
  <c r="Z28" i="205"/>
  <c r="Z11" i="205"/>
  <c r="F8" i="203"/>
  <c r="H16" i="204"/>
  <c r="D19" i="269"/>
  <c r="I32" i="203"/>
  <c r="H13" i="204"/>
  <c r="H9" i="269"/>
  <c r="K14" i="203"/>
  <c r="X19" i="205"/>
  <c r="H80" i="203"/>
  <c r="H6" i="269"/>
  <c r="Z9" i="205"/>
  <c r="I29" i="204"/>
  <c r="H92" i="203"/>
  <c r="G77" i="203"/>
  <c r="H5" i="269"/>
  <c r="AA13" i="205"/>
  <c r="I6" i="204"/>
  <c r="K35" i="203"/>
  <c r="H29" i="203"/>
  <c r="J50" i="203"/>
  <c r="H14" i="269"/>
  <c r="F5" i="203"/>
  <c r="Q8" i="269"/>
  <c r="AB24" i="205"/>
  <c r="AB32" i="205"/>
  <c r="E27" i="269"/>
  <c r="K47" i="203"/>
  <c r="D13" i="269"/>
  <c r="I8" i="204"/>
  <c r="T26" i="269"/>
  <c r="Z7" i="205"/>
  <c r="H41" i="203"/>
  <c r="AB23" i="205"/>
  <c r="I95" i="203"/>
  <c r="Z22" i="269"/>
  <c r="X29" i="205"/>
  <c r="G53" i="203"/>
  <c r="W27" i="205"/>
  <c r="G83" i="203"/>
  <c r="G26" i="204"/>
  <c r="M5" i="269"/>
  <c r="M26" i="269"/>
  <c r="S29" i="269"/>
  <c r="S22" i="269"/>
  <c r="AA25" i="269"/>
  <c r="AA18" i="269"/>
  <c r="N17" i="269"/>
  <c r="N14" i="269"/>
  <c r="I11" i="361"/>
  <c r="I16" i="363"/>
  <c r="I16" i="367"/>
  <c r="I13" i="366"/>
  <c r="I13" i="371"/>
  <c r="I14" i="376"/>
  <c r="I15" i="378"/>
  <c r="I11" i="376"/>
  <c r="I15" i="380"/>
  <c r="I11" i="387"/>
  <c r="I13" i="387"/>
  <c r="I47" i="203"/>
  <c r="I31" i="204"/>
  <c r="X17" i="205"/>
  <c r="H10" i="204"/>
  <c r="C22" i="269"/>
  <c r="D14" i="269"/>
  <c r="Z20" i="269"/>
  <c r="H25" i="269"/>
  <c r="D7" i="269"/>
  <c r="Z15" i="269"/>
  <c r="Z23" i="269"/>
  <c r="C24" i="269"/>
  <c r="X15" i="205"/>
  <c r="R20" i="269"/>
  <c r="AB18" i="205"/>
  <c r="D16" i="269"/>
  <c r="Z13" i="269"/>
  <c r="F26" i="203"/>
  <c r="F65" i="203"/>
  <c r="H50" i="203"/>
  <c r="AA31" i="205"/>
  <c r="H20" i="203"/>
  <c r="F53" i="203"/>
  <c r="Q6" i="269"/>
  <c r="N3" i="269"/>
  <c r="G31" i="204"/>
  <c r="M15" i="269"/>
  <c r="S11" i="269"/>
  <c r="N33" i="269"/>
  <c r="I13" i="359"/>
  <c r="I16" i="365"/>
  <c r="I14" i="369"/>
  <c r="I11" i="374"/>
  <c r="I12" i="387"/>
  <c r="AA34" i="205"/>
  <c r="K5" i="203"/>
  <c r="AA30" i="205"/>
  <c r="M3" i="269"/>
  <c r="AB6" i="205"/>
  <c r="H34" i="204"/>
  <c r="G89" i="203"/>
  <c r="B8" i="207"/>
  <c r="Z24" i="269"/>
  <c r="K5" i="204"/>
  <c r="D10" i="269"/>
  <c r="AB13" i="205"/>
  <c r="Q13" i="269"/>
  <c r="E16" i="269"/>
  <c r="C5" i="204"/>
  <c r="J4" i="207"/>
  <c r="Y9" i="205"/>
  <c r="Z14" i="205"/>
  <c r="AB34" i="205"/>
  <c r="H18" i="204"/>
  <c r="L5" i="205"/>
  <c r="G92" i="203"/>
  <c r="Y5" i="205"/>
  <c r="Q26" i="269"/>
  <c r="J23" i="203"/>
  <c r="C7" i="269"/>
  <c r="H1" i="207"/>
  <c r="K8" i="203"/>
  <c r="H35" i="204"/>
  <c r="G29" i="203"/>
  <c r="Q16" i="269"/>
  <c r="F59" i="203"/>
  <c r="Z30" i="205"/>
  <c r="H83" i="203"/>
  <c r="H26" i="204"/>
  <c r="I24" i="204"/>
  <c r="AB14" i="205"/>
  <c r="R31" i="269"/>
  <c r="T7" i="269"/>
  <c r="G4" i="205"/>
  <c r="AA5" i="205"/>
  <c r="AB20" i="205"/>
  <c r="I68" i="203"/>
  <c r="Z20" i="205"/>
  <c r="Y12" i="205"/>
  <c r="R15" i="269"/>
  <c r="I26" i="203"/>
  <c r="E23" i="269"/>
  <c r="H25" i="204"/>
  <c r="W11" i="205"/>
  <c r="Q15" i="269"/>
  <c r="K41" i="203"/>
  <c r="F83" i="203"/>
  <c r="F44" i="203"/>
  <c r="C19" i="269"/>
  <c r="I25" i="204"/>
  <c r="D20" i="269"/>
  <c r="Q30" i="269"/>
  <c r="G95" i="203"/>
  <c r="J71" i="203"/>
  <c r="C5" i="269"/>
  <c r="D15" i="269"/>
  <c r="C11" i="269"/>
  <c r="N5" i="204"/>
  <c r="T33" i="269"/>
  <c r="E5" i="204"/>
  <c r="E9" i="269"/>
  <c r="H13" i="269"/>
  <c r="F17" i="203"/>
  <c r="Q33" i="269"/>
  <c r="T5" i="205"/>
  <c r="I15" i="204"/>
  <c r="W31" i="205"/>
  <c r="J8" i="203"/>
  <c r="J11" i="203"/>
  <c r="H8" i="203"/>
  <c r="I27" i="204"/>
  <c r="I89" i="203"/>
  <c r="X31" i="205"/>
  <c r="B10" i="207"/>
  <c r="W15" i="205"/>
  <c r="T23" i="269"/>
  <c r="H11" i="203"/>
  <c r="AA15" i="205"/>
  <c r="AD15" i="205" s="1"/>
  <c r="I23" i="203"/>
  <c r="K68" i="203"/>
  <c r="H12" i="204"/>
  <c r="Z21" i="269"/>
  <c r="H5" i="205"/>
  <c r="E4" i="205"/>
  <c r="I59" i="203"/>
  <c r="I17" i="203"/>
  <c r="W29" i="205"/>
  <c r="F41" i="203"/>
  <c r="X18" i="205"/>
  <c r="AA19" i="205"/>
  <c r="T27" i="269"/>
  <c r="J5" i="205"/>
  <c r="B6" i="207"/>
  <c r="J7" i="207"/>
  <c r="M7" i="207" s="1"/>
  <c r="I14" i="203"/>
  <c r="G44" i="203"/>
  <c r="H47" i="203"/>
  <c r="H24" i="204"/>
  <c r="C9" i="269"/>
  <c r="H74" i="203"/>
  <c r="H5" i="204"/>
  <c r="I32" i="204"/>
  <c r="Q23" i="269"/>
  <c r="T25" i="269"/>
  <c r="D22" i="269"/>
  <c r="AB17" i="205"/>
  <c r="W14" i="205"/>
  <c r="H26" i="203"/>
  <c r="F95" i="203"/>
  <c r="D28" i="269"/>
  <c r="G5" i="203"/>
  <c r="Q19" i="269"/>
  <c r="K29" i="203"/>
  <c r="H28" i="204"/>
  <c r="B6" i="206"/>
  <c r="F14" i="203"/>
  <c r="W7" i="205"/>
  <c r="G21" i="204"/>
  <c r="R14" i="269"/>
  <c r="E3" i="269"/>
  <c r="D30" i="269"/>
  <c r="Z6" i="205"/>
  <c r="E12" i="269"/>
  <c r="E18" i="269"/>
  <c r="T10" i="269"/>
  <c r="Z10" i="205"/>
  <c r="AB7" i="205"/>
  <c r="C12" i="269"/>
  <c r="H22" i="269"/>
  <c r="H15" i="269"/>
  <c r="R11" i="269"/>
  <c r="R16" i="269"/>
  <c r="E31" i="269"/>
  <c r="Z35" i="205"/>
  <c r="AB28" i="205"/>
  <c r="G41" i="203"/>
  <c r="X14" i="205"/>
  <c r="W23" i="205"/>
  <c r="D8" i="269"/>
  <c r="I17" i="204"/>
  <c r="H11" i="204"/>
  <c r="R6" i="269"/>
  <c r="J14" i="203"/>
  <c r="Z30" i="269"/>
  <c r="G38" i="203"/>
  <c r="E17" i="269"/>
  <c r="AB27" i="205"/>
  <c r="I28" i="204"/>
  <c r="H17" i="203"/>
  <c r="J95" i="203"/>
  <c r="R18" i="269"/>
  <c r="J62" i="203"/>
  <c r="Z19" i="205"/>
  <c r="Y29" i="205"/>
  <c r="I5" i="203"/>
  <c r="J53" i="203"/>
  <c r="AA25" i="205"/>
  <c r="H59" i="203"/>
  <c r="AB16" i="205"/>
  <c r="H11" i="269"/>
  <c r="R23" i="269"/>
  <c r="Y23" i="205"/>
  <c r="Z12" i="205"/>
  <c r="AB22" i="205"/>
  <c r="I35" i="204"/>
  <c r="AA27" i="205"/>
  <c r="Z5" i="269"/>
  <c r="Y18" i="205"/>
  <c r="C4" i="269"/>
  <c r="T11" i="269"/>
  <c r="K62" i="203"/>
  <c r="D31" i="269"/>
  <c r="I29" i="203"/>
  <c r="D32" i="269"/>
  <c r="T13" i="269"/>
  <c r="G24" i="204"/>
  <c r="M31" i="269"/>
  <c r="M24" i="269"/>
  <c r="S25" i="269"/>
  <c r="S20" i="269"/>
  <c r="AA23" i="269"/>
  <c r="AA16" i="269"/>
  <c r="N15" i="269"/>
  <c r="N12" i="269"/>
  <c r="I12" i="361"/>
  <c r="I11" i="364"/>
  <c r="I16" i="368"/>
  <c r="I15" i="366"/>
  <c r="I15" i="370"/>
  <c r="I12" i="377"/>
  <c r="I11" i="379"/>
  <c r="I13" i="376"/>
  <c r="I14" i="381"/>
  <c r="I11" i="385"/>
  <c r="I15" i="387"/>
  <c r="Q17" i="269"/>
  <c r="Z8" i="205"/>
  <c r="Z22" i="205"/>
  <c r="I62" i="203"/>
  <c r="T21" i="269"/>
  <c r="Z3" i="269"/>
  <c r="F71" i="203"/>
  <c r="K20" i="203"/>
  <c r="X27" i="205"/>
  <c r="AD27" i="205" s="1"/>
  <c r="Q24" i="269"/>
  <c r="Z18" i="205"/>
  <c r="Y13" i="205"/>
  <c r="I30" i="204"/>
  <c r="AA22" i="205"/>
  <c r="AD22" i="205" s="1"/>
  <c r="H20" i="269"/>
  <c r="Q31" i="269"/>
  <c r="X25" i="205"/>
  <c r="E24" i="269"/>
  <c r="J56" i="203"/>
  <c r="B5" i="204"/>
  <c r="T17" i="269"/>
  <c r="Z26" i="205"/>
  <c r="H44" i="203"/>
  <c r="I65" i="203"/>
  <c r="W20" i="205"/>
  <c r="AC20" i="205" s="1"/>
  <c r="H32" i="269"/>
  <c r="AA26" i="205"/>
  <c r="I56" i="203"/>
  <c r="D5" i="269"/>
  <c r="H89" i="203"/>
  <c r="E13" i="269"/>
  <c r="I13" i="45"/>
  <c r="K17" i="203"/>
  <c r="L17" i="203" s="1"/>
  <c r="H22" i="204"/>
  <c r="W28" i="205"/>
  <c r="AC28" i="205" s="1"/>
  <c r="H17" i="269"/>
  <c r="X9" i="205"/>
  <c r="AD9" i="205" s="1"/>
  <c r="G74" i="203"/>
  <c r="R29" i="269"/>
  <c r="Z21" i="205"/>
  <c r="T12" i="269"/>
  <c r="H19" i="269"/>
  <c r="G29" i="204"/>
  <c r="G11" i="203"/>
  <c r="C14" i="269"/>
  <c r="H27" i="204"/>
  <c r="Y25" i="205"/>
  <c r="Y24" i="205"/>
  <c r="E5" i="269"/>
  <c r="K56" i="203"/>
  <c r="G32" i="203"/>
  <c r="C29" i="269"/>
  <c r="Z14" i="269"/>
  <c r="I26" i="204"/>
  <c r="AA14" i="205"/>
  <c r="F32" i="203"/>
  <c r="H20" i="204"/>
  <c r="F23" i="203"/>
  <c r="E29" i="269"/>
  <c r="Q7" i="269"/>
  <c r="I34" i="204"/>
  <c r="C23" i="269"/>
  <c r="C21" i="269"/>
  <c r="G71" i="203"/>
  <c r="E30" i="269"/>
  <c r="H32" i="204"/>
  <c r="AA16" i="205"/>
  <c r="AB15" i="205"/>
  <c r="X35" i="205"/>
  <c r="F80" i="203"/>
  <c r="W24" i="205"/>
  <c r="Q3" i="269"/>
  <c r="J44" i="203"/>
  <c r="R22" i="269"/>
  <c r="C16" i="269"/>
  <c r="H56" i="203"/>
  <c r="J32" i="203"/>
  <c r="D18" i="269"/>
  <c r="E15" i="269"/>
  <c r="C20" i="269"/>
  <c r="G25" i="204"/>
  <c r="Q10" i="269"/>
  <c r="I15" i="207"/>
  <c r="Z27" i="269"/>
  <c r="R26" i="269"/>
  <c r="W8" i="205"/>
  <c r="AC8" i="205" s="1"/>
  <c r="AB9" i="205"/>
  <c r="D33" i="269"/>
  <c r="G34" i="204"/>
  <c r="G18" i="204"/>
  <c r="C11" i="329"/>
  <c r="M23" i="269"/>
  <c r="M7" i="269"/>
  <c r="M18" i="269"/>
  <c r="S27" i="269"/>
  <c r="S19" i="269"/>
  <c r="S30" i="269"/>
  <c r="S14" i="269"/>
  <c r="AA21" i="269"/>
  <c r="AA15" i="269"/>
  <c r="AA26" i="269"/>
  <c r="AA10" i="269"/>
  <c r="N25" i="269"/>
  <c r="N9" i="269"/>
  <c r="N22" i="269"/>
  <c r="N6" i="269"/>
  <c r="I13" i="360"/>
  <c r="I15" i="361"/>
  <c r="I16" i="362"/>
  <c r="I13" i="363"/>
  <c r="I15" i="365"/>
  <c r="I12" i="367"/>
  <c r="I15" i="367"/>
  <c r="I13" i="370"/>
  <c r="I12" i="369"/>
  <c r="I12" i="371"/>
  <c r="I12" i="373"/>
  <c r="I16" i="374"/>
  <c r="I12" i="376"/>
  <c r="I12" i="381"/>
  <c r="I14" i="379"/>
  <c r="I12" i="378"/>
  <c r="I16" i="383"/>
  <c r="I13" i="383"/>
  <c r="I14" i="383"/>
  <c r="I14" i="386"/>
  <c r="I12" i="385"/>
  <c r="J83" i="203"/>
  <c r="T18" i="269"/>
  <c r="AA6" i="205"/>
  <c r="F89" i="203"/>
  <c r="F29" i="203"/>
  <c r="T9" i="269"/>
  <c r="C13" i="269"/>
  <c r="G19" i="204"/>
  <c r="H10" i="269"/>
  <c r="Y19" i="205"/>
  <c r="AE19" i="205" s="1"/>
  <c r="X7" i="205"/>
  <c r="Q14" i="269"/>
  <c r="H24" i="269"/>
  <c r="Q28" i="269"/>
  <c r="I18" i="204"/>
  <c r="I80" i="203"/>
  <c r="W12" i="205"/>
  <c r="X10" i="205"/>
  <c r="H29" i="269"/>
  <c r="Y16" i="205"/>
  <c r="T32" i="269"/>
  <c r="AB35" i="205"/>
  <c r="T8" i="269"/>
  <c r="I11" i="45"/>
  <c r="H27" i="269"/>
  <c r="H21" i="204"/>
  <c r="H33" i="269"/>
  <c r="Y28" i="205"/>
  <c r="T6" i="269"/>
  <c r="Y35" i="205"/>
  <c r="AE35" i="205" s="1"/>
  <c r="Q18" i="269"/>
  <c r="C27" i="269"/>
  <c r="F11" i="203"/>
  <c r="I44" i="203"/>
  <c r="H8" i="204"/>
  <c r="C3" i="269"/>
  <c r="W22" i="205"/>
  <c r="E32" i="269"/>
  <c r="J59" i="203"/>
  <c r="Z16" i="269"/>
  <c r="E8" i="269"/>
  <c r="Z31" i="269"/>
  <c r="Z17" i="269"/>
  <c r="K50" i="203"/>
  <c r="L50" i="203" s="1"/>
  <c r="G13" i="204"/>
  <c r="Z10" i="269"/>
  <c r="G26" i="203"/>
  <c r="AB5" i="205"/>
  <c r="R10" i="269"/>
  <c r="T4" i="269"/>
  <c r="Q32" i="269"/>
  <c r="H30" i="204"/>
  <c r="I14" i="207"/>
  <c r="AB25" i="205"/>
  <c r="D12" i="269"/>
  <c r="H6" i="204"/>
  <c r="Z4" i="269"/>
  <c r="T15" i="269"/>
  <c r="W32" i="205"/>
  <c r="AA28" i="205"/>
  <c r="I13" i="207"/>
  <c r="C30" i="269"/>
  <c r="F86" i="203"/>
  <c r="H35" i="203"/>
  <c r="D26" i="269"/>
  <c r="T24" i="269"/>
  <c r="Q20" i="269"/>
  <c r="D17" i="269"/>
  <c r="I20" i="203"/>
  <c r="H21" i="269"/>
  <c r="AA23" i="205"/>
  <c r="K95" i="203"/>
  <c r="Y20" i="205"/>
  <c r="G59" i="203"/>
  <c r="D9" i="269"/>
  <c r="B3" i="269"/>
  <c r="E25" i="269"/>
  <c r="Z28" i="269"/>
  <c r="H86" i="203"/>
  <c r="Z27" i="205"/>
  <c r="AC27" i="205" s="1"/>
  <c r="I12" i="45"/>
  <c r="R21" i="269"/>
  <c r="G17" i="204"/>
  <c r="AA17" i="205"/>
  <c r="E33" i="269"/>
  <c r="J38" i="203"/>
  <c r="R30" i="269"/>
  <c r="J26" i="203"/>
  <c r="I14" i="45"/>
  <c r="C28" i="269"/>
  <c r="G32" i="204"/>
  <c r="G16" i="204"/>
  <c r="F5" i="329"/>
  <c r="M21" i="269"/>
  <c r="M32" i="269"/>
  <c r="M16" i="269"/>
  <c r="S5" i="269"/>
  <c r="S17" i="269"/>
  <c r="S28" i="269"/>
  <c r="S12" i="269"/>
  <c r="AA5" i="269"/>
  <c r="AA13" i="269"/>
  <c r="AA24" i="269"/>
  <c r="AA8" i="269"/>
  <c r="N23" i="269"/>
  <c r="N7" i="269"/>
  <c r="N20" i="269"/>
  <c r="N4" i="269"/>
  <c r="I11" i="360"/>
  <c r="I12" i="360"/>
  <c r="I14" i="362"/>
  <c r="I15" i="363"/>
  <c r="I13" i="364"/>
  <c r="I12" i="368"/>
  <c r="I15" i="369"/>
  <c r="I11" i="368"/>
  <c r="I16" i="371"/>
  <c r="I15" i="371"/>
  <c r="I12" i="372"/>
  <c r="I11" i="375"/>
  <c r="I16" i="377"/>
  <c r="I14" i="374"/>
  <c r="I16" i="381"/>
  <c r="I13" i="379"/>
  <c r="I16" i="379"/>
  <c r="I15" i="383"/>
  <c r="I16" i="384"/>
  <c r="I11" i="384"/>
  <c r="I11" i="386"/>
  <c r="H8" i="269"/>
  <c r="H23" i="204"/>
  <c r="X13" i="205"/>
  <c r="G47" i="203"/>
  <c r="I23" i="204"/>
  <c r="Z23" i="205"/>
  <c r="AC23" i="205" s="1"/>
  <c r="Z17" i="205"/>
  <c r="AC17" i="205" s="1"/>
  <c r="I35" i="203"/>
  <c r="G65" i="203"/>
  <c r="H53" i="203"/>
  <c r="Y15" i="205"/>
  <c r="Z15" i="205"/>
  <c r="C6" i="269"/>
  <c r="T5" i="269"/>
  <c r="C17" i="269"/>
  <c r="I12" i="207"/>
  <c r="AA33" i="205"/>
  <c r="AD33" i="205" s="1"/>
  <c r="J80" i="203"/>
  <c r="E11" i="269"/>
  <c r="I16" i="45"/>
  <c r="K71" i="203"/>
  <c r="K53" i="203"/>
  <c r="G35" i="203"/>
  <c r="W16" i="205"/>
  <c r="Z11" i="269"/>
  <c r="R24" i="269"/>
  <c r="E19" i="269"/>
  <c r="X28" i="205"/>
  <c r="J47" i="203"/>
  <c r="K44" i="203"/>
  <c r="I71" i="203"/>
  <c r="H14" i="203"/>
  <c r="G9" i="204"/>
  <c r="H4" i="269"/>
  <c r="E10" i="269"/>
  <c r="Z5" i="205"/>
  <c r="W5" i="205"/>
  <c r="J77" i="203"/>
  <c r="L77" i="203" s="1"/>
  <c r="T30" i="269"/>
  <c r="I15" i="45"/>
  <c r="X23" i="205"/>
  <c r="W19" i="205"/>
  <c r="X21" i="205"/>
  <c r="Z7" i="269"/>
  <c r="D6" i="269"/>
  <c r="Z18" i="269"/>
  <c r="R7" i="269"/>
  <c r="G15" i="204"/>
  <c r="G30" i="204"/>
  <c r="G22" i="204"/>
  <c r="G14" i="204"/>
  <c r="G6" i="204"/>
  <c r="C10" i="329"/>
  <c r="M27" i="269"/>
  <c r="M19" i="269"/>
  <c r="M11" i="269"/>
  <c r="M30" i="269"/>
  <c r="M22" i="269"/>
  <c r="M14" i="269"/>
  <c r="M6" i="269"/>
  <c r="S33" i="269"/>
  <c r="S23" i="269"/>
  <c r="S15" i="269"/>
  <c r="S7" i="269"/>
  <c r="S26" i="269"/>
  <c r="S18" i="269"/>
  <c r="S10" i="269"/>
  <c r="AA33" i="269"/>
  <c r="AA31" i="269"/>
  <c r="AA19" i="269"/>
  <c r="AA11" i="269"/>
  <c r="AA30" i="269"/>
  <c r="AA22" i="269"/>
  <c r="AA14" i="269"/>
  <c r="AA6" i="269"/>
  <c r="N29" i="269"/>
  <c r="N21" i="269"/>
  <c r="N13" i="269"/>
  <c r="N5" i="269"/>
  <c r="N26" i="269"/>
  <c r="N18" i="269"/>
  <c r="N10" i="269"/>
  <c r="I15" i="359"/>
  <c r="I16" i="359"/>
  <c r="I14" i="360"/>
  <c r="I16" i="360"/>
  <c r="I16" i="361"/>
  <c r="I13" i="362"/>
  <c r="I12" i="362"/>
  <c r="I14" i="364"/>
  <c r="I12" i="365"/>
  <c r="I11" i="365"/>
  <c r="I15" i="364"/>
  <c r="I12" i="366"/>
  <c r="I13" i="369"/>
  <c r="I11" i="367"/>
  <c r="I16" i="369"/>
  <c r="I14" i="367"/>
  <c r="I13" i="368"/>
  <c r="I15" i="373"/>
  <c r="I13" i="373"/>
  <c r="I14" i="372"/>
  <c r="I13" i="372"/>
  <c r="I11" i="373"/>
  <c r="I16" i="373"/>
  <c r="I13" i="375"/>
  <c r="I15" i="375"/>
  <c r="I15" i="374"/>
  <c r="I11" i="378"/>
  <c r="I15" i="379"/>
  <c r="I12" i="375"/>
  <c r="I15" i="377"/>
  <c r="I12" i="374"/>
  <c r="I15" i="376"/>
  <c r="I12" i="379"/>
  <c r="I15" i="381"/>
  <c r="I11" i="380"/>
  <c r="I16" i="382"/>
  <c r="I12" i="384"/>
  <c r="I13" i="382"/>
  <c r="I14" i="382"/>
  <c r="I13" i="385"/>
  <c r="I13" i="384"/>
  <c r="I15" i="386"/>
  <c r="I12" i="386"/>
  <c r="I14" i="387"/>
  <c r="X12" i="205"/>
  <c r="AD12" i="205" s="1"/>
  <c r="X24" i="205"/>
  <c r="H31" i="204"/>
  <c r="J86" i="203"/>
  <c r="Z8" i="269"/>
  <c r="I16" i="204"/>
  <c r="X6" i="205"/>
  <c r="AD6" i="205" s="1"/>
  <c r="Z33" i="205"/>
  <c r="I41" i="203"/>
  <c r="L41" i="203" s="1"/>
  <c r="H18" i="269"/>
  <c r="AB21" i="205"/>
  <c r="Y3" i="269"/>
  <c r="C8" i="269"/>
  <c r="Q29" i="269"/>
  <c r="H23" i="203"/>
  <c r="G27" i="204"/>
  <c r="W9" i="205"/>
  <c r="AC9" i="205" s="1"/>
  <c r="X5" i="205"/>
  <c r="AB12" i="205"/>
  <c r="R8" i="269"/>
  <c r="I8" i="203"/>
  <c r="L8" i="203" s="1"/>
  <c r="I92" i="203"/>
  <c r="I86" i="203"/>
  <c r="Y27" i="205"/>
  <c r="H16" i="269"/>
  <c r="H34" i="269" s="1"/>
  <c r="F68" i="203"/>
  <c r="D21" i="269"/>
  <c r="J35" i="203"/>
  <c r="T19" i="269"/>
  <c r="Y14" i="205"/>
  <c r="F38" i="203"/>
  <c r="L38" i="203" s="1"/>
  <c r="J5" i="203"/>
  <c r="G33" i="204"/>
  <c r="I11" i="207"/>
  <c r="Z34" i="205"/>
  <c r="Q22" i="269"/>
  <c r="W34" i="205"/>
  <c r="Z32" i="205"/>
  <c r="J29" i="203"/>
  <c r="R13" i="269"/>
  <c r="AA32" i="205"/>
  <c r="H32" i="203"/>
  <c r="K83" i="203"/>
  <c r="L83" i="203" s="1"/>
  <c r="E14" i="269"/>
  <c r="G20" i="203"/>
  <c r="G98" i="203" s="1"/>
  <c r="J74" i="203"/>
  <c r="Z33" i="269"/>
  <c r="Z9" i="269"/>
  <c r="G7" i="204"/>
  <c r="G28" i="204"/>
  <c r="G20" i="204"/>
  <c r="G12" i="204"/>
  <c r="C12" i="329"/>
  <c r="M29" i="269"/>
  <c r="M25" i="269"/>
  <c r="M17" i="269"/>
  <c r="M9" i="269"/>
  <c r="M28" i="269"/>
  <c r="M20" i="269"/>
  <c r="M12" i="269"/>
  <c r="M4" i="269"/>
  <c r="S31" i="269"/>
  <c r="S21" i="269"/>
  <c r="S13" i="269"/>
  <c r="S32" i="269"/>
  <c r="S24" i="269"/>
  <c r="S16" i="269"/>
  <c r="S8" i="269"/>
  <c r="S34" i="269" s="1"/>
  <c r="AA29" i="269"/>
  <c r="AA27" i="269"/>
  <c r="AA17" i="269"/>
  <c r="AA9" i="269"/>
  <c r="AA28" i="269"/>
  <c r="AA20" i="269"/>
  <c r="AA12" i="269"/>
  <c r="AA4" i="269"/>
  <c r="N27" i="269"/>
  <c r="N19" i="269"/>
  <c r="N11" i="269"/>
  <c r="N32" i="269"/>
  <c r="N24" i="269"/>
  <c r="N16" i="269"/>
  <c r="N8" i="269"/>
  <c r="I11" i="359"/>
  <c r="I14" i="359"/>
  <c r="I15" i="360"/>
  <c r="I13" i="361"/>
  <c r="I14" i="361"/>
  <c r="I15" i="362"/>
  <c r="I12" i="363"/>
  <c r="I11" i="363"/>
  <c r="I12" i="364"/>
  <c r="I13" i="365"/>
  <c r="I14" i="365"/>
  <c r="I14" i="366"/>
  <c r="I16" i="370"/>
  <c r="I13" i="367"/>
  <c r="I11" i="366"/>
  <c r="I11" i="369"/>
  <c r="I15" i="368"/>
  <c r="I14" i="368"/>
  <c r="I11" i="371"/>
  <c r="I14" i="370"/>
  <c r="I14" i="371"/>
  <c r="I16" i="372"/>
  <c r="I14" i="373"/>
  <c r="I16" i="378"/>
  <c r="I12" i="380"/>
  <c r="I14" i="375"/>
  <c r="I13" i="378"/>
  <c r="I14" i="380"/>
  <c r="I16" i="376"/>
  <c r="I14" i="378"/>
  <c r="I16" i="375"/>
  <c r="I14" i="377"/>
  <c r="I16" i="380"/>
  <c r="I12" i="382"/>
  <c r="I13" i="380"/>
  <c r="I11" i="383"/>
  <c r="I16" i="385"/>
  <c r="I15" i="382"/>
  <c r="I12" i="383"/>
  <c r="I15" i="385"/>
  <c r="I15" i="384"/>
  <c r="I14" i="384"/>
  <c r="I16" i="386"/>
  <c r="I16" i="387"/>
  <c r="M33" i="269"/>
  <c r="AD35" i="205"/>
  <c r="AC25" i="205"/>
  <c r="AD24" i="205"/>
  <c r="AC11" i="205"/>
  <c r="AE8" i="205"/>
  <c r="C16" i="207"/>
  <c r="B31" i="207" s="1"/>
  <c r="C31" i="207" s="1"/>
  <c r="C15" i="207"/>
  <c r="B30" i="207" s="1"/>
  <c r="C30" i="207" s="1"/>
  <c r="B28" i="207"/>
  <c r="C28" i="207" s="1"/>
  <c r="B27" i="207"/>
  <c r="C27" i="207" s="1"/>
  <c r="B21" i="207"/>
  <c r="C21" i="207" s="1"/>
  <c r="B25" i="207"/>
  <c r="C25" i="207" s="1"/>
  <c r="B19" i="207"/>
  <c r="C19" i="207" s="1"/>
  <c r="B22" i="207"/>
  <c r="C22" i="207" s="1"/>
  <c r="B20" i="207"/>
  <c r="C20" i="207" s="1"/>
  <c r="B23" i="207"/>
  <c r="C23" i="207" s="1"/>
  <c r="B24" i="207"/>
  <c r="C24" i="207" s="1"/>
  <c r="B18" i="207"/>
  <c r="C18" i="207" s="1"/>
  <c r="C5" i="203"/>
  <c r="O16" i="45"/>
  <c r="I1" i="328"/>
  <c r="AE14" i="205"/>
  <c r="AD10" i="205"/>
  <c r="AD13" i="205"/>
  <c r="AE29" i="205"/>
  <c r="AD11" i="205"/>
  <c r="AC13" i="205"/>
  <c r="AD34" i="205"/>
  <c r="AD30" i="205"/>
  <c r="AE6" i="205"/>
  <c r="AE10" i="205"/>
  <c r="I1" i="207"/>
  <c r="AE13" i="205"/>
  <c r="AC24" i="205"/>
  <c r="AD29" i="205"/>
  <c r="AD19" i="205"/>
  <c r="AD7" i="205"/>
  <c r="AD21" i="205"/>
  <c r="AD28" i="205"/>
  <c r="L53" i="203"/>
  <c r="AE23" i="205"/>
  <c r="L32" i="203"/>
  <c r="L44" i="203"/>
  <c r="AE33" i="205"/>
  <c r="AC18" i="205"/>
  <c r="L89" i="203"/>
  <c r="AC30" i="205"/>
  <c r="AC33" i="205"/>
  <c r="AD23" i="205"/>
  <c r="AE18" i="205"/>
  <c r="L11" i="203"/>
  <c r="AD14" i="205"/>
  <c r="AD8" i="205"/>
  <c r="AC14" i="205"/>
  <c r="AD20" i="205"/>
  <c r="AE31" i="205"/>
  <c r="AD18" i="205"/>
  <c r="AC21" i="205"/>
  <c r="AC31" i="205"/>
  <c r="I98" i="203"/>
  <c r="J98" i="203"/>
  <c r="AC16" i="205"/>
  <c r="AE27" i="205"/>
  <c r="AE32" i="205"/>
  <c r="AE28" i="205"/>
  <c r="AE12" i="205"/>
  <c r="L71" i="203"/>
  <c r="E34" i="269"/>
  <c r="AC7" i="205"/>
  <c r="AE34" i="205"/>
  <c r="L74" i="203"/>
  <c r="L92" i="203"/>
  <c r="AE30" i="205"/>
  <c r="G5" i="205" a="1"/>
  <c r="G5" i="205" s="1"/>
  <c r="AD26" i="205"/>
  <c r="AC29" i="205"/>
  <c r="AD31" i="205"/>
  <c r="L62" i="203"/>
  <c r="L47" i="203"/>
  <c r="L56" i="203"/>
  <c r="AB36" i="205"/>
  <c r="AA36" i="205"/>
  <c r="L14" i="203"/>
  <c r="AE22" i="205"/>
  <c r="AE17" i="205"/>
  <c r="AC35" i="205"/>
  <c r="L35" i="203"/>
  <c r="AC15" i="205"/>
  <c r="AC10" i="205"/>
  <c r="M34" i="269"/>
  <c r="K98" i="203"/>
  <c r="AD5" i="205"/>
  <c r="AE26" i="205"/>
  <c r="AC19" i="205"/>
  <c r="L65" i="203"/>
  <c r="N34" i="269"/>
  <c r="AC5" i="205"/>
  <c r="AE20" i="205"/>
  <c r="F98" i="203"/>
  <c r="L5" i="203"/>
  <c r="AE24" i="205"/>
  <c r="AE16" i="205"/>
  <c r="AD25" i="205"/>
  <c r="AC12" i="205"/>
  <c r="AE21" i="205"/>
  <c r="AD17" i="205"/>
  <c r="AD16" i="205"/>
  <c r="AE7" i="205"/>
  <c r="AE5" i="205"/>
  <c r="J5" i="207"/>
  <c r="N3" i="207"/>
  <c r="C5" i="205" a="1"/>
  <c r="C5" i="205" s="1"/>
  <c r="E5" i="205" a="1"/>
  <c r="E5" i="205" s="1"/>
  <c r="D5" i="205" a="1"/>
  <c r="D5" i="205" s="1"/>
  <c r="L20" i="203"/>
  <c r="AE11" i="205"/>
  <c r="AE9" i="205"/>
  <c r="D5" i="204"/>
  <c r="AC26" i="205"/>
  <c r="AC6" i="205"/>
  <c r="AD32" i="205"/>
  <c r="F5" i="205" a="1"/>
  <c r="F5" i="205" s="1"/>
  <c r="J7" i="359" a="1"/>
  <c r="M5" i="205" a="1"/>
  <c r="O5" i="205" a="1"/>
  <c r="B6" i="205" a="1"/>
  <c r="P4" i="269" a="1"/>
  <c r="Y4" i="269" a="1"/>
  <c r="B6" i="204" a="1"/>
  <c r="G1" i="359" a="1"/>
  <c r="B8" i="203" a="1"/>
  <c r="B4" i="269" a="1"/>
  <c r="B7" i="206" a="1"/>
  <c r="H1" i="359" a="1"/>
  <c r="J6" i="359" a="1"/>
  <c r="N5" i="205" a="1"/>
  <c r="J4" i="359" a="1"/>
  <c r="J3" i="359" a="1"/>
  <c r="AA34" i="269" l="1"/>
  <c r="Y34" i="269" s="1"/>
  <c r="H98" i="203"/>
  <c r="R34" i="269"/>
  <c r="Y36" i="205"/>
  <c r="AC32" i="205"/>
  <c r="T34" i="269"/>
  <c r="L26" i="203"/>
  <c r="D34" i="269"/>
  <c r="AC22" i="205"/>
  <c r="L95" i="203"/>
  <c r="AE15" i="205"/>
  <c r="AE25" i="205"/>
  <c r="L86" i="203"/>
  <c r="L80" i="203"/>
  <c r="L23" i="203"/>
  <c r="Z36" i="205"/>
  <c r="L29" i="203"/>
  <c r="L68" i="203"/>
  <c r="X36" i="205"/>
  <c r="W36" i="205"/>
  <c r="L59" i="203"/>
  <c r="AC34" i="205"/>
  <c r="J3" i="359"/>
  <c r="H1" i="359"/>
  <c r="B7" i="206"/>
  <c r="B4" i="269"/>
  <c r="B8" i="203"/>
  <c r="G1" i="359"/>
  <c r="I1" i="359" s="1"/>
  <c r="B6" i="204"/>
  <c r="Y4" i="269"/>
  <c r="P4" i="269"/>
  <c r="B6" i="205"/>
  <c r="J6" i="359"/>
  <c r="J7" i="359"/>
  <c r="M7" i="359" s="1"/>
  <c r="J4" i="359"/>
  <c r="J5" i="359" s="1"/>
  <c r="N6" i="207"/>
  <c r="M5" i="207"/>
  <c r="N5" i="207" s="1"/>
  <c r="D5" i="203"/>
  <c r="N5" i="203" s="1"/>
  <c r="N7" i="207"/>
  <c r="N4" i="207"/>
  <c r="D31" i="207"/>
  <c r="J31" i="207"/>
  <c r="K31" i="207" s="1"/>
  <c r="D16" i="207"/>
  <c r="J30" i="207"/>
  <c r="K30" i="207" s="1"/>
  <c r="D30" i="207"/>
  <c r="D15" i="207"/>
  <c r="D12" i="207"/>
  <c r="D28" i="207"/>
  <c r="J28" i="207"/>
  <c r="K28" i="207" s="1"/>
  <c r="D13" i="207"/>
  <c r="J27" i="207"/>
  <c r="K27" i="207" s="1"/>
  <c r="D27" i="207"/>
  <c r="D25" i="207"/>
  <c r="J25" i="207"/>
  <c r="K25" i="207" s="1"/>
  <c r="D3" i="207"/>
  <c r="D8" i="207"/>
  <c r="D7" i="207"/>
  <c r="D10" i="207"/>
  <c r="J23" i="207"/>
  <c r="K23" i="207" s="1"/>
  <c r="D23" i="207"/>
  <c r="J24" i="207"/>
  <c r="K24" i="207" s="1"/>
  <c r="D24" i="207"/>
  <c r="J20" i="207"/>
  <c r="K20" i="207" s="1"/>
  <c r="D20" i="207"/>
  <c r="D19" i="207"/>
  <c r="J19" i="207"/>
  <c r="K19" i="207" s="1"/>
  <c r="J21" i="207"/>
  <c r="K21" i="207" s="1"/>
  <c r="D21" i="207"/>
  <c r="J22" i="207"/>
  <c r="K22" i="207" s="1"/>
  <c r="D22" i="207"/>
  <c r="D9" i="207"/>
  <c r="D5" i="207"/>
  <c r="D4" i="207"/>
  <c r="D6" i="207"/>
  <c r="D18" i="207"/>
  <c r="J18" i="207"/>
  <c r="K18" i="207" s="1"/>
  <c r="P34" i="269"/>
  <c r="N5" i="205"/>
  <c r="Q5" i="205" s="1"/>
  <c r="O5" i="205"/>
  <c r="R5" i="205" s="1"/>
  <c r="M5" i="205"/>
  <c r="P5" i="205" s="1"/>
  <c r="AE36" i="205"/>
  <c r="AC36" i="205"/>
  <c r="B34" i="269"/>
  <c r="AD36" i="205"/>
  <c r="B5" i="359" a="1"/>
  <c r="B16" i="359" a="1"/>
  <c r="B7" i="359" a="1"/>
  <c r="B6" i="359" a="1"/>
  <c r="B9" i="359" a="1"/>
  <c r="J3" i="360" a="1"/>
  <c r="B10" i="359" a="1"/>
  <c r="B12" i="359" a="1"/>
  <c r="B15" i="359" a="1"/>
  <c r="U6" i="205" a="1"/>
  <c r="H1" i="360" a="1"/>
  <c r="B11" i="203" a="1"/>
  <c r="Y5" i="269" a="1"/>
  <c r="G1" i="360" a="1"/>
  <c r="B5" i="269" a="1"/>
  <c r="B7" i="205" a="1"/>
  <c r="B8" i="206" a="1"/>
  <c r="B7" i="204" a="1"/>
  <c r="P5" i="269" a="1"/>
  <c r="J6" i="360" a="1"/>
  <c r="B4" i="359" a="1"/>
  <c r="B8" i="359" a="1"/>
  <c r="B3" i="359" a="1"/>
  <c r="S6" i="205" a="1"/>
  <c r="J7" i="360" a="1"/>
  <c r="B13" i="359" a="1"/>
  <c r="T6" i="205" a="1"/>
  <c r="L98" i="203" l="1"/>
  <c r="P5" i="269"/>
  <c r="B7" i="204"/>
  <c r="B8" i="206"/>
  <c r="B7" i="205"/>
  <c r="B5" i="269"/>
  <c r="G1" i="360"/>
  <c r="Y5" i="269"/>
  <c r="B11" i="203"/>
  <c r="H1" i="360"/>
  <c r="J3" i="360"/>
  <c r="N3" i="359"/>
  <c r="N4" i="359"/>
  <c r="J7" i="360"/>
  <c r="M7" i="360" s="1"/>
  <c r="J6" i="360"/>
  <c r="N7" i="359"/>
  <c r="N6" i="359"/>
  <c r="B9" i="359"/>
  <c r="C9" i="359" s="1"/>
  <c r="T6" i="205"/>
  <c r="B3" i="359"/>
  <c r="B15" i="359"/>
  <c r="C15" i="359" s="1"/>
  <c r="B6" i="359"/>
  <c r="B5" i="359"/>
  <c r="B8" i="359"/>
  <c r="C8" i="359" s="1"/>
  <c r="B12" i="359"/>
  <c r="B7" i="359"/>
  <c r="C7" i="359" s="1"/>
  <c r="B13" i="359"/>
  <c r="B4" i="359"/>
  <c r="B10" i="359"/>
  <c r="B16" i="359"/>
  <c r="C16" i="359" s="1"/>
  <c r="U6" i="205"/>
  <c r="S6" i="205"/>
  <c r="L31" i="207"/>
  <c r="F17" i="207"/>
  <c r="D17" i="207"/>
  <c r="F32" i="207"/>
  <c r="H32" i="207" s="1"/>
  <c r="D32" i="207"/>
  <c r="L30" i="207"/>
  <c r="L28" i="207"/>
  <c r="D14" i="207"/>
  <c r="F14" i="207"/>
  <c r="H14" i="207" s="1"/>
  <c r="D29" i="207"/>
  <c r="F29" i="207"/>
  <c r="L27" i="207"/>
  <c r="L21" i="207"/>
  <c r="L20" i="207"/>
  <c r="L23" i="207"/>
  <c r="D11" i="207"/>
  <c r="F11" i="207"/>
  <c r="H11" i="207" s="1"/>
  <c r="L19" i="207"/>
  <c r="L25" i="207"/>
  <c r="L22" i="207"/>
  <c r="L24" i="207"/>
  <c r="L18" i="207"/>
  <c r="D26" i="207"/>
  <c r="F26" i="207"/>
  <c r="J3" i="361" a="1"/>
  <c r="H1" i="361" a="1"/>
  <c r="U7" i="205" a="1"/>
  <c r="B6" i="269" a="1"/>
  <c r="B8" i="205" a="1"/>
  <c r="B9" i="206" a="1"/>
  <c r="B8" i="204" a="1"/>
  <c r="Y6" i="269" a="1"/>
  <c r="B14" i="203" a="1"/>
  <c r="P6" i="269" a="1"/>
  <c r="G1" i="361" a="1"/>
  <c r="J7" i="361" a="1"/>
  <c r="T7" i="205" a="1"/>
  <c r="J4" i="360" a="1"/>
  <c r="J6" i="361" a="1"/>
  <c r="I1" i="360" l="1"/>
  <c r="G1" i="361"/>
  <c r="P6" i="269"/>
  <c r="B14" i="203"/>
  <c r="Y6" i="269"/>
  <c r="B8" i="204"/>
  <c r="B9" i="206"/>
  <c r="B8" i="205"/>
  <c r="B6" i="269"/>
  <c r="H1" i="361"/>
  <c r="M5" i="359"/>
  <c r="N5" i="359" s="1"/>
  <c r="J4" i="360"/>
  <c r="J3" i="361"/>
  <c r="J6" i="361"/>
  <c r="J7" i="361"/>
  <c r="M7" i="361" s="1"/>
  <c r="N6" i="360"/>
  <c r="N7" i="360"/>
  <c r="T7" i="205"/>
  <c r="U7" i="205"/>
  <c r="N3" i="360"/>
  <c r="D15" i="359"/>
  <c r="B30" i="359"/>
  <c r="C30" i="359" s="1"/>
  <c r="B19" i="359"/>
  <c r="D4" i="359"/>
  <c r="D8" i="359"/>
  <c r="B23" i="359"/>
  <c r="B18" i="359"/>
  <c r="D3" i="359"/>
  <c r="B25" i="359"/>
  <c r="D10" i="359"/>
  <c r="B27" i="359"/>
  <c r="D12" i="359"/>
  <c r="B28" i="359"/>
  <c r="D13" i="359"/>
  <c r="D5" i="359"/>
  <c r="B20" i="359"/>
  <c r="B31" i="359"/>
  <c r="C31" i="359" s="1"/>
  <c r="D16" i="359"/>
  <c r="D7" i="359"/>
  <c r="B22" i="359"/>
  <c r="D6" i="359"/>
  <c r="B21" i="359"/>
  <c r="D9" i="359"/>
  <c r="B24" i="359"/>
  <c r="O7" i="207"/>
  <c r="P7" i="207" s="1"/>
  <c r="N32" i="207"/>
  <c r="P32" i="207" s="1"/>
  <c r="L32" i="207"/>
  <c r="O4" i="207"/>
  <c r="P4" i="207" s="1"/>
  <c r="H17" i="207"/>
  <c r="H29" i="207"/>
  <c r="O3" i="207"/>
  <c r="P3" i="207" s="1"/>
  <c r="N29" i="207"/>
  <c r="P29" i="207" s="1"/>
  <c r="L29" i="207"/>
  <c r="O6" i="207"/>
  <c r="L26" i="207"/>
  <c r="N26" i="207"/>
  <c r="P26" i="207" s="1"/>
  <c r="H26" i="207"/>
  <c r="J3" i="362" a="1"/>
  <c r="L6" i="205" a="1"/>
  <c r="B17" i="203" a="1"/>
  <c r="B9" i="205" a="1"/>
  <c r="P7" i="269" a="1"/>
  <c r="B10" i="206" a="1"/>
  <c r="Y7" i="269" a="1"/>
  <c r="G1" i="362" a="1"/>
  <c r="B9" i="204" a="1"/>
  <c r="B7" i="269" a="1"/>
  <c r="H1" i="362" a="1"/>
  <c r="T8" i="205" a="1"/>
  <c r="K6" i="204" a="1"/>
  <c r="J6" i="362" a="1"/>
  <c r="U8" i="205" a="1"/>
  <c r="H6" i="205" a="1"/>
  <c r="S7" i="205" a="1"/>
  <c r="J7" i="362" a="1"/>
  <c r="L6" i="204" a="1"/>
  <c r="I6" i="205" a="1"/>
  <c r="I1" i="361" l="1"/>
  <c r="H1" i="362"/>
  <c r="B7" i="269"/>
  <c r="B9" i="204"/>
  <c r="G1" i="362"/>
  <c r="Y7" i="269"/>
  <c r="B10" i="206"/>
  <c r="P7" i="269"/>
  <c r="B9" i="205"/>
  <c r="B17" i="203"/>
  <c r="S7" i="205"/>
  <c r="J5" i="360"/>
  <c r="J3" i="362"/>
  <c r="J7" i="362"/>
  <c r="M7" i="362" s="1"/>
  <c r="J6" i="362"/>
  <c r="N3" i="361"/>
  <c r="N7" i="361"/>
  <c r="N6" i="361"/>
  <c r="U8" i="205"/>
  <c r="T8" i="205"/>
  <c r="D24" i="359"/>
  <c r="J24" i="359"/>
  <c r="K24" i="359" s="1"/>
  <c r="D22" i="359"/>
  <c r="J22" i="359"/>
  <c r="K22" i="359" s="1"/>
  <c r="J20" i="359"/>
  <c r="K20" i="359" s="1"/>
  <c r="D20" i="359"/>
  <c r="F14" i="359"/>
  <c r="D14" i="359"/>
  <c r="F11" i="359"/>
  <c r="H11" i="359" s="1"/>
  <c r="D11" i="359"/>
  <c r="D27" i="359"/>
  <c r="J27" i="359"/>
  <c r="K27" i="359" s="1"/>
  <c r="J18" i="359"/>
  <c r="K18" i="359" s="1"/>
  <c r="D18" i="359"/>
  <c r="D19" i="359"/>
  <c r="J19" i="359"/>
  <c r="K19" i="359" s="1"/>
  <c r="J21" i="359"/>
  <c r="K21" i="359" s="1"/>
  <c r="D21" i="359"/>
  <c r="J23" i="359"/>
  <c r="K23" i="359" s="1"/>
  <c r="D23" i="359"/>
  <c r="J30" i="359"/>
  <c r="K30" i="359" s="1"/>
  <c r="D30" i="359"/>
  <c r="D31" i="359"/>
  <c r="J31" i="359"/>
  <c r="K31" i="359" s="1"/>
  <c r="J28" i="359"/>
  <c r="K28" i="359" s="1"/>
  <c r="D28" i="359"/>
  <c r="J25" i="359"/>
  <c r="K25" i="359" s="1"/>
  <c r="D25" i="359"/>
  <c r="D17" i="359"/>
  <c r="F17" i="359"/>
  <c r="O13" i="207"/>
  <c r="P13" i="207"/>
  <c r="L6" i="204"/>
  <c r="O5" i="207"/>
  <c r="P5" i="207" s="1"/>
  <c r="L6" i="205"/>
  <c r="G6" i="205" s="1" a="1"/>
  <c r="P11" i="207"/>
  <c r="H6" i="205"/>
  <c r="K6" i="204"/>
  <c r="P6" i="207"/>
  <c r="O12" i="207"/>
  <c r="P12" i="207"/>
  <c r="O11" i="207"/>
  <c r="I6" i="205"/>
  <c r="H1" i="363" a="1"/>
  <c r="J4" i="361" a="1"/>
  <c r="B7" i="360" a="1"/>
  <c r="B5" i="360" a="1"/>
  <c r="B13" i="360" a="1"/>
  <c r="F6" i="204" a="1"/>
  <c r="O6" i="205" a="1"/>
  <c r="K6" i="205" a="1"/>
  <c r="J7" i="363" a="1"/>
  <c r="B16" i="360" a="1"/>
  <c r="B10" i="360" a="1"/>
  <c r="J6" i="363" a="1"/>
  <c r="B12" i="360" a="1"/>
  <c r="B3" i="360" a="1"/>
  <c r="B9" i="360" a="1"/>
  <c r="O6" i="204" a="1"/>
  <c r="M6" i="204" a="1"/>
  <c r="C6" i="204" a="1"/>
  <c r="U9" i="205" a="1"/>
  <c r="B4" i="360" a="1"/>
  <c r="B6" i="360" a="1"/>
  <c r="B8" i="360" a="1"/>
  <c r="J6" i="204" a="1"/>
  <c r="E6" i="204" a="1"/>
  <c r="J6" i="205" a="1"/>
  <c r="B10" i="205" a="1"/>
  <c r="Y8" i="269" a="1"/>
  <c r="P8" i="269" a="1"/>
  <c r="B8" i="269" a="1"/>
  <c r="B20" i="203" a="1"/>
  <c r="B11" i="206" a="1"/>
  <c r="B10" i="204" a="1"/>
  <c r="G1" i="363" a="1"/>
  <c r="T9" i="205" a="1"/>
  <c r="B15" i="360" a="1"/>
  <c r="N6" i="204" a="1"/>
  <c r="G1" i="363" l="1"/>
  <c r="B10" i="204"/>
  <c r="B11" i="206"/>
  <c r="B20" i="203"/>
  <c r="B8" i="269"/>
  <c r="P8" i="269"/>
  <c r="Y8" i="269"/>
  <c r="B10" i="205"/>
  <c r="H1" i="363"/>
  <c r="I1" i="362"/>
  <c r="I1" i="363"/>
  <c r="J6" i="363"/>
  <c r="J4" i="361"/>
  <c r="J7" i="363"/>
  <c r="M7" i="363" s="1"/>
  <c r="N6" i="362"/>
  <c r="M5" i="360"/>
  <c r="N5" i="360" s="1"/>
  <c r="N4" i="360"/>
  <c r="N7" i="362"/>
  <c r="T9" i="205"/>
  <c r="U9" i="205"/>
  <c r="B10" i="360"/>
  <c r="B8" i="360"/>
  <c r="B9" i="360"/>
  <c r="B13" i="360"/>
  <c r="B15" i="360"/>
  <c r="C15" i="360" s="1"/>
  <c r="B6" i="360"/>
  <c r="B3" i="360"/>
  <c r="B5" i="360"/>
  <c r="B16" i="360"/>
  <c r="C16" i="360" s="1"/>
  <c r="B4" i="360"/>
  <c r="B12" i="360"/>
  <c r="B7" i="360"/>
  <c r="L25" i="359"/>
  <c r="L23" i="359"/>
  <c r="L24" i="359"/>
  <c r="L28" i="359"/>
  <c r="L30" i="359"/>
  <c r="L21" i="359"/>
  <c r="L18" i="359"/>
  <c r="L20" i="359"/>
  <c r="L31" i="359"/>
  <c r="L19" i="359"/>
  <c r="L27" i="359"/>
  <c r="L22" i="359"/>
  <c r="H17" i="359"/>
  <c r="D32" i="359"/>
  <c r="F32" i="359"/>
  <c r="H32" i="359" s="1"/>
  <c r="F26" i="359"/>
  <c r="D26" i="359"/>
  <c r="H14" i="359"/>
  <c r="D29" i="359"/>
  <c r="F29" i="359"/>
  <c r="H29" i="359" s="1"/>
  <c r="F6" i="204"/>
  <c r="O6" i="204"/>
  <c r="J6" i="204"/>
  <c r="O6" i="205"/>
  <c r="R6" i="205" s="1"/>
  <c r="G6" i="205"/>
  <c r="M6" i="204"/>
  <c r="K6" i="205"/>
  <c r="F6" i="205" s="1" a="1"/>
  <c r="N6" i="204"/>
  <c r="E6" i="204"/>
  <c r="O14" i="207"/>
  <c r="O16" i="207" s="1"/>
  <c r="C6" i="204"/>
  <c r="D6" i="204" s="1"/>
  <c r="J6" i="205"/>
  <c r="D6" i="205" s="1" a="1"/>
  <c r="T10" i="205" a="1"/>
  <c r="S8" i="205" a="1"/>
  <c r="M6" i="205" a="1"/>
  <c r="U10" i="205" a="1"/>
  <c r="Y9" i="269" a="1"/>
  <c r="B12" i="206" a="1"/>
  <c r="B9" i="269" a="1"/>
  <c r="G1" i="364" a="1"/>
  <c r="B11" i="204" a="1"/>
  <c r="B23" i="203" a="1"/>
  <c r="P9" i="269" a="1"/>
  <c r="B11" i="205" a="1"/>
  <c r="H1" i="364" a="1"/>
  <c r="J7" i="364" a="1"/>
  <c r="J3" i="363" a="1"/>
  <c r="J6" i="364" a="1"/>
  <c r="C8" i="203" a="1"/>
  <c r="H1" i="364" l="1"/>
  <c r="B11" i="205"/>
  <c r="P9" i="269"/>
  <c r="B23" i="203"/>
  <c r="B11" i="204"/>
  <c r="G1" i="364"/>
  <c r="I1" i="364" s="1"/>
  <c r="B9" i="269"/>
  <c r="B12" i="206"/>
  <c r="Y9" i="269"/>
  <c r="E6" i="205" a="1"/>
  <c r="E6" i="205" s="1"/>
  <c r="C6" i="205" a="1"/>
  <c r="C6" i="205" s="1"/>
  <c r="O7" i="359"/>
  <c r="O4" i="359"/>
  <c r="P4" i="359" s="1"/>
  <c r="N29" i="359"/>
  <c r="P29" i="359" s="1"/>
  <c r="P12" i="359" s="1"/>
  <c r="O3" i="359"/>
  <c r="P3" i="359" s="1"/>
  <c r="J6" i="364"/>
  <c r="J7" i="364"/>
  <c r="M7" i="364" s="1"/>
  <c r="N32" i="359"/>
  <c r="P32" i="359" s="1"/>
  <c r="P13" i="359" s="1"/>
  <c r="N6" i="363"/>
  <c r="L32" i="359"/>
  <c r="N7" i="363"/>
  <c r="T10" i="205"/>
  <c r="J3" i="363"/>
  <c r="U10" i="205"/>
  <c r="S8" i="205"/>
  <c r="J5" i="361"/>
  <c r="N26" i="359"/>
  <c r="P26" i="359" s="1"/>
  <c r="N3" i="362"/>
  <c r="L29" i="359"/>
  <c r="O6" i="359"/>
  <c r="P6" i="359" s="1"/>
  <c r="B22" i="360"/>
  <c r="C22" i="360" s="1"/>
  <c r="D7" i="360"/>
  <c r="B20" i="360"/>
  <c r="C20" i="360" s="1"/>
  <c r="D5" i="360"/>
  <c r="B28" i="360"/>
  <c r="C28" i="360" s="1"/>
  <c r="D13" i="360"/>
  <c r="L26" i="359"/>
  <c r="D12" i="360"/>
  <c r="B27" i="360"/>
  <c r="C27" i="360" s="1"/>
  <c r="B18" i="360"/>
  <c r="C18" i="360" s="1"/>
  <c r="D3" i="360"/>
  <c r="B24" i="360"/>
  <c r="C24" i="360" s="1"/>
  <c r="D9" i="360"/>
  <c r="D4" i="360"/>
  <c r="B19" i="360"/>
  <c r="C19" i="360" s="1"/>
  <c r="D6" i="360"/>
  <c r="B21" i="360"/>
  <c r="C21" i="360" s="1"/>
  <c r="B23" i="360"/>
  <c r="C23" i="360" s="1"/>
  <c r="D8" i="360"/>
  <c r="D16" i="360"/>
  <c r="B31" i="360"/>
  <c r="C31" i="360" s="1"/>
  <c r="B30" i="360"/>
  <c r="C30" i="360" s="1"/>
  <c r="D15" i="360"/>
  <c r="B25" i="360"/>
  <c r="C25" i="360" s="1"/>
  <c r="D10" i="360"/>
  <c r="H26" i="359"/>
  <c r="F6" i="205"/>
  <c r="C8" i="203"/>
  <c r="D8" i="203" s="1"/>
  <c r="N8" i="203" s="1"/>
  <c r="D6" i="205"/>
  <c r="M6" i="205"/>
  <c r="P6" i="205" s="1"/>
  <c r="N7" i="204" a="1"/>
  <c r="K7" i="204" a="1"/>
  <c r="N6" i="205" a="1"/>
  <c r="L7" i="204" a="1"/>
  <c r="J6" i="365" a="1"/>
  <c r="T11" i="205" a="1"/>
  <c r="O7" i="204" a="1"/>
  <c r="H1" i="365" a="1"/>
  <c r="I7" i="205" a="1"/>
  <c r="J7" i="365" a="1"/>
  <c r="J3" i="364" a="1"/>
  <c r="K7" i="205" a="1"/>
  <c r="B12" i="204" a="1"/>
  <c r="P10" i="269" a="1"/>
  <c r="B12" i="205" a="1"/>
  <c r="B10" i="269" a="1"/>
  <c r="Y10" i="269" a="1"/>
  <c r="B13" i="206" a="1"/>
  <c r="G1" i="365" a="1"/>
  <c r="B26" i="203" a="1"/>
  <c r="H7" i="205" a="1"/>
  <c r="J4" i="362" a="1"/>
  <c r="U11" i="205" a="1"/>
  <c r="B26" i="203" l="1"/>
  <c r="G1" i="365"/>
  <c r="B13" i="206"/>
  <c r="Y10" i="269"/>
  <c r="B10" i="269"/>
  <c r="B12" i="205"/>
  <c r="P10" i="269"/>
  <c r="B12" i="204"/>
  <c r="H1" i="365"/>
  <c r="N6" i="205"/>
  <c r="Q6" i="205" s="1"/>
  <c r="L7" i="204"/>
  <c r="P7" i="359"/>
  <c r="I7" i="205"/>
  <c r="O5" i="359"/>
  <c r="P5" i="359" s="1"/>
  <c r="O13" i="359"/>
  <c r="O12" i="359"/>
  <c r="H7" i="205"/>
  <c r="J7" i="365"/>
  <c r="M7" i="365" s="1"/>
  <c r="J6" i="365"/>
  <c r="O11" i="359"/>
  <c r="N7" i="364"/>
  <c r="N6" i="364"/>
  <c r="J3" i="364"/>
  <c r="T11" i="205"/>
  <c r="U11" i="205"/>
  <c r="J4" i="362"/>
  <c r="M5" i="361"/>
  <c r="N5" i="361" s="1"/>
  <c r="N4" i="361"/>
  <c r="N3" i="363"/>
  <c r="P11" i="359"/>
  <c r="O7" i="204"/>
  <c r="K7" i="204"/>
  <c r="D23" i="360"/>
  <c r="J23" i="360"/>
  <c r="K23" i="360" s="1"/>
  <c r="J31" i="360"/>
  <c r="K31" i="360" s="1"/>
  <c r="D31" i="360"/>
  <c r="D21" i="360"/>
  <c r="J21" i="360"/>
  <c r="K21" i="360" s="1"/>
  <c r="J18" i="360"/>
  <c r="K18" i="360" s="1"/>
  <c r="D18" i="360"/>
  <c r="J25" i="360"/>
  <c r="K25" i="360" s="1"/>
  <c r="D25" i="360"/>
  <c r="J27" i="360"/>
  <c r="K27" i="360" s="1"/>
  <c r="D27" i="360"/>
  <c r="D28" i="360"/>
  <c r="J28" i="360"/>
  <c r="K28" i="360" s="1"/>
  <c r="D22" i="360"/>
  <c r="J22" i="360"/>
  <c r="K22" i="360" s="1"/>
  <c r="D17" i="360"/>
  <c r="F17" i="360"/>
  <c r="D19" i="360"/>
  <c r="J19" i="360"/>
  <c r="K19" i="360" s="1"/>
  <c r="J24" i="360"/>
  <c r="K24" i="360" s="1"/>
  <c r="D24" i="360"/>
  <c r="F14" i="360"/>
  <c r="D14" i="360"/>
  <c r="D30" i="360"/>
  <c r="J30" i="360"/>
  <c r="K30" i="360" s="1"/>
  <c r="F11" i="360"/>
  <c r="D11" i="360"/>
  <c r="D20" i="360"/>
  <c r="J20" i="360"/>
  <c r="K20" i="360" s="1"/>
  <c r="N7" i="204"/>
  <c r="K7" i="205"/>
  <c r="F7" i="205" a="1"/>
  <c r="H1" i="366" a="1"/>
  <c r="B6" i="361" a="1"/>
  <c r="P11" i="269" a="1"/>
  <c r="B13" i="205" a="1"/>
  <c r="B14" i="206" a="1"/>
  <c r="B13" i="204" a="1"/>
  <c r="B29" i="203" a="1"/>
  <c r="B11" i="269" a="1"/>
  <c r="Y11" i="269" a="1"/>
  <c r="G1" i="366" a="1"/>
  <c r="E7" i="204" a="1"/>
  <c r="J6" i="366" a="1"/>
  <c r="C7" i="204" a="1"/>
  <c r="B9" i="361" a="1"/>
  <c r="B13" i="361" a="1"/>
  <c r="B15" i="361" a="1"/>
  <c r="L7" i="205" a="1"/>
  <c r="U12" i="205" a="1"/>
  <c r="S9" i="205" a="1"/>
  <c r="B5" i="361" a="1"/>
  <c r="B16" i="361" a="1"/>
  <c r="B7" i="361" a="1"/>
  <c r="J7" i="205" a="1"/>
  <c r="T12" i="205" a="1"/>
  <c r="B3" i="361" a="1"/>
  <c r="B4" i="361" a="1"/>
  <c r="J7" i="204" a="1"/>
  <c r="J7" i="366" a="1"/>
  <c r="B10" i="361" a="1"/>
  <c r="B12" i="361" a="1"/>
  <c r="F7" i="204" a="1"/>
  <c r="M7" i="204" a="1"/>
  <c r="B8" i="361" a="1"/>
  <c r="J3" i="365" a="1"/>
  <c r="N7" i="205" a="1"/>
  <c r="I1" i="365" l="1"/>
  <c r="G1" i="366"/>
  <c r="Y11" i="269"/>
  <c r="B11" i="269"/>
  <c r="B29" i="203"/>
  <c r="B13" i="204"/>
  <c r="B14" i="206"/>
  <c r="B13" i="205"/>
  <c r="P11" i="269"/>
  <c r="H1" i="366"/>
  <c r="L7" i="205"/>
  <c r="G7" i="205" s="1" a="1"/>
  <c r="E7" i="204"/>
  <c r="J7" i="204"/>
  <c r="F7" i="204"/>
  <c r="J6" i="366"/>
  <c r="J7" i="366"/>
  <c r="M7" i="366" s="1"/>
  <c r="N6" i="365"/>
  <c r="N7" i="365"/>
  <c r="C7" i="204"/>
  <c r="D7" i="204" s="1"/>
  <c r="J3" i="365"/>
  <c r="T12" i="205"/>
  <c r="U12" i="205"/>
  <c r="N3" i="364"/>
  <c r="S9" i="205"/>
  <c r="J5" i="362"/>
  <c r="M7" i="204"/>
  <c r="O14" i="359"/>
  <c r="B4" i="361"/>
  <c r="B7" i="361"/>
  <c r="B15" i="361"/>
  <c r="C15" i="361" s="1"/>
  <c r="B12" i="361"/>
  <c r="C12" i="361" s="1"/>
  <c r="B3" i="361"/>
  <c r="B16" i="361"/>
  <c r="C16" i="361" s="1"/>
  <c r="B13" i="361"/>
  <c r="B6" i="361"/>
  <c r="B8" i="361"/>
  <c r="B5" i="361"/>
  <c r="B9" i="361"/>
  <c r="B10" i="361"/>
  <c r="L19" i="360"/>
  <c r="L22" i="360"/>
  <c r="L30" i="360"/>
  <c r="L27" i="360"/>
  <c r="L18" i="360"/>
  <c r="L31" i="360"/>
  <c r="L28" i="360"/>
  <c r="L21" i="360"/>
  <c r="L23" i="360"/>
  <c r="L20" i="360"/>
  <c r="L24" i="360"/>
  <c r="L25" i="360"/>
  <c r="H11" i="360"/>
  <c r="H17" i="360"/>
  <c r="D32" i="360"/>
  <c r="F32" i="360"/>
  <c r="H32" i="360" s="1"/>
  <c r="H14" i="360"/>
  <c r="F29" i="360"/>
  <c r="H29" i="360" s="1"/>
  <c r="D29" i="360"/>
  <c r="F26" i="360"/>
  <c r="H26" i="360" s="1"/>
  <c r="D26" i="360"/>
  <c r="J7" i="205"/>
  <c r="E7" i="205" s="1" a="1"/>
  <c r="N7" i="205"/>
  <c r="F7" i="205"/>
  <c r="U13" i="205" a="1"/>
  <c r="J6" i="367" a="1"/>
  <c r="J7" i="367" a="1"/>
  <c r="C11" i="203" a="1"/>
  <c r="T13" i="205" a="1"/>
  <c r="Y12" i="269" a="1"/>
  <c r="B14" i="204" a="1"/>
  <c r="B12" i="269" a="1"/>
  <c r="B32" i="203" a="1"/>
  <c r="G1" i="367" a="1"/>
  <c r="B14" i="205" a="1"/>
  <c r="B15" i="206" a="1"/>
  <c r="P12" i="269" a="1"/>
  <c r="H1" i="367" a="1"/>
  <c r="J4" i="363" a="1"/>
  <c r="M7" i="205" a="1"/>
  <c r="O7" i="205" a="1"/>
  <c r="C7" i="205" l="1" a="1"/>
  <c r="C7" i="205" s="1"/>
  <c r="D7" i="205" a="1"/>
  <c r="D7" i="205" s="1"/>
  <c r="H1" i="367"/>
  <c r="P12" i="269"/>
  <c r="B15" i="206"/>
  <c r="B14" i="205"/>
  <c r="G1" i="367"/>
  <c r="B32" i="203"/>
  <c r="B12" i="269"/>
  <c r="B14" i="204"/>
  <c r="Y12" i="269"/>
  <c r="I1" i="366"/>
  <c r="O7" i="205"/>
  <c r="R7" i="205" s="1"/>
  <c r="G7" i="205"/>
  <c r="J7" i="367"/>
  <c r="M7" i="367" s="1"/>
  <c r="J6" i="367"/>
  <c r="L32" i="360"/>
  <c r="N7" i="366"/>
  <c r="N6" i="366"/>
  <c r="U13" i="205"/>
  <c r="T13" i="205"/>
  <c r="J4" i="363"/>
  <c r="N4" i="362"/>
  <c r="M5" i="362"/>
  <c r="N5" i="362" s="1"/>
  <c r="N29" i="360"/>
  <c r="P29" i="360" s="1"/>
  <c r="P12" i="360" s="1"/>
  <c r="O4" i="360"/>
  <c r="P4" i="360" s="1"/>
  <c r="C11" i="203"/>
  <c r="D11" i="203" s="1"/>
  <c r="N11" i="203" s="1"/>
  <c r="O7" i="360"/>
  <c r="P7" i="360" s="1"/>
  <c r="O16" i="359"/>
  <c r="L26" i="360"/>
  <c r="L29" i="360"/>
  <c r="B20" i="361"/>
  <c r="C20" i="361" s="1"/>
  <c r="D5" i="361"/>
  <c r="D7" i="361"/>
  <c r="B22" i="361"/>
  <c r="C22" i="361" s="1"/>
  <c r="N26" i="360"/>
  <c r="P26" i="360" s="1"/>
  <c r="P11" i="360" s="1"/>
  <c r="O6" i="360"/>
  <c r="D8" i="361"/>
  <c r="B23" i="361"/>
  <c r="C23" i="361" s="1"/>
  <c r="D3" i="361"/>
  <c r="B18" i="361"/>
  <c r="C18" i="361" s="1"/>
  <c r="N32" i="360"/>
  <c r="P32" i="360" s="1"/>
  <c r="P13" i="360" s="1"/>
  <c r="O3" i="360"/>
  <c r="B25" i="361"/>
  <c r="C25" i="361" s="1"/>
  <c r="D10" i="361"/>
  <c r="B21" i="361"/>
  <c r="C21" i="361" s="1"/>
  <c r="D6" i="361"/>
  <c r="D12" i="361"/>
  <c r="B27" i="361"/>
  <c r="B31" i="361"/>
  <c r="C31" i="361" s="1"/>
  <c r="D16" i="361"/>
  <c r="B19" i="361"/>
  <c r="C19" i="361" s="1"/>
  <c r="D4" i="361"/>
  <c r="B24" i="361"/>
  <c r="C24" i="361" s="1"/>
  <c r="D9" i="361"/>
  <c r="D13" i="361"/>
  <c r="B28" i="361"/>
  <c r="B30" i="361"/>
  <c r="C30" i="361" s="1"/>
  <c r="D15" i="361"/>
  <c r="E7" i="205"/>
  <c r="M7" i="205"/>
  <c r="P7" i="205" s="1"/>
  <c r="Q7" i="205"/>
  <c r="T14" i="205" a="1"/>
  <c r="L8" i="204" a="1"/>
  <c r="J7" i="368" a="1"/>
  <c r="J3" i="366" a="1"/>
  <c r="K8" i="204" a="1"/>
  <c r="N8" i="204" a="1"/>
  <c r="H1" i="368" a="1"/>
  <c r="B35" i="203" a="1"/>
  <c r="B15" i="204" a="1"/>
  <c r="B15" i="205" a="1"/>
  <c r="Y13" i="269" a="1"/>
  <c r="P13" i="269" a="1"/>
  <c r="G1" i="368" a="1"/>
  <c r="B16" i="206" a="1"/>
  <c r="B13" i="269" a="1"/>
  <c r="J6" i="368" a="1"/>
  <c r="S10" i="205" a="1"/>
  <c r="L8" i="205" a="1"/>
  <c r="I8" i="205" a="1"/>
  <c r="O8" i="204" a="1"/>
  <c r="U14" i="205" a="1"/>
  <c r="M8" i="204" a="1"/>
  <c r="I1" i="367" l="1"/>
  <c r="B13" i="269"/>
  <c r="B16" i="206"/>
  <c r="G1" i="368"/>
  <c r="P13" i="269"/>
  <c r="Y13" i="269"/>
  <c r="B15" i="205"/>
  <c r="B15" i="204"/>
  <c r="B35" i="203"/>
  <c r="H1" i="368"/>
  <c r="J6" i="368"/>
  <c r="J7" i="368"/>
  <c r="M7" i="368" s="1"/>
  <c r="N6" i="367"/>
  <c r="N7" i="367"/>
  <c r="U14" i="205"/>
  <c r="T14" i="205"/>
  <c r="J3" i="366"/>
  <c r="O12" i="360"/>
  <c r="N3" i="365"/>
  <c r="I8" i="205"/>
  <c r="S10" i="205"/>
  <c r="J5" i="363"/>
  <c r="O11" i="360"/>
  <c r="L8" i="204"/>
  <c r="O13" i="360"/>
  <c r="K8" i="204"/>
  <c r="F17" i="361"/>
  <c r="D17" i="361"/>
  <c r="J22" i="361"/>
  <c r="K22" i="361" s="1"/>
  <c r="D22" i="361"/>
  <c r="J30" i="361"/>
  <c r="K30" i="361" s="1"/>
  <c r="D30" i="361"/>
  <c r="J28" i="361"/>
  <c r="K28" i="361" s="1"/>
  <c r="D28" i="361"/>
  <c r="J27" i="361"/>
  <c r="K27" i="361" s="1"/>
  <c r="D27" i="361"/>
  <c r="J18" i="361"/>
  <c r="K18" i="361" s="1"/>
  <c r="D18" i="361"/>
  <c r="P6" i="360"/>
  <c r="P3" i="360"/>
  <c r="O5" i="360"/>
  <c r="J24" i="361"/>
  <c r="K24" i="361" s="1"/>
  <c r="D24" i="361"/>
  <c r="J31" i="361"/>
  <c r="K31" i="361" s="1"/>
  <c r="D31" i="361"/>
  <c r="J21" i="361"/>
  <c r="K21" i="361" s="1"/>
  <c r="D21" i="361"/>
  <c r="J19" i="361"/>
  <c r="K19" i="361" s="1"/>
  <c r="D19" i="361"/>
  <c r="D14" i="361"/>
  <c r="F14" i="361"/>
  <c r="J25" i="361"/>
  <c r="K25" i="361" s="1"/>
  <c r="D25" i="361"/>
  <c r="D11" i="361"/>
  <c r="F11" i="361"/>
  <c r="J20" i="361"/>
  <c r="K20" i="361" s="1"/>
  <c r="D20" i="361"/>
  <c r="J23" i="361"/>
  <c r="K23" i="361" s="1"/>
  <c r="D23" i="361"/>
  <c r="N8" i="204"/>
  <c r="M8" i="204"/>
  <c r="O8" i="204"/>
  <c r="L8" i="205"/>
  <c r="O14" i="360"/>
  <c r="B3" i="362" a="1"/>
  <c r="B5" i="362" a="1"/>
  <c r="C8" i="204" a="1"/>
  <c r="U15" i="205" a="1"/>
  <c r="B7" i="362" a="1"/>
  <c r="F8" i="204" a="1"/>
  <c r="B9" i="362" a="1"/>
  <c r="B4" i="362" a="1"/>
  <c r="H1" i="369" a="1"/>
  <c r="J6" i="369" a="1"/>
  <c r="E8" i="204" a="1"/>
  <c r="B13" i="362" a="1"/>
  <c r="B16" i="362" a="1"/>
  <c r="B6" i="362" a="1"/>
  <c r="J8" i="204" a="1"/>
  <c r="J7" i="369" a="1"/>
  <c r="J4" i="364" a="1"/>
  <c r="B10" i="362" a="1"/>
  <c r="B8" i="362" a="1"/>
  <c r="H8" i="205" a="1"/>
  <c r="C14" i="203" a="1"/>
  <c r="B14" i="269" a="1"/>
  <c r="Y14" i="269" a="1"/>
  <c r="B17" i="206" a="1"/>
  <c r="B16" i="204" a="1"/>
  <c r="B38" i="203" a="1"/>
  <c r="B16" i="205" a="1"/>
  <c r="P14" i="269" a="1"/>
  <c r="G1" i="369" a="1"/>
  <c r="T15" i="205" a="1"/>
  <c r="B12" i="362" a="1"/>
  <c r="B15" i="362" a="1"/>
  <c r="K8" i="205" a="1"/>
  <c r="O8" i="205" a="1"/>
  <c r="G1" i="369" l="1"/>
  <c r="P14" i="269"/>
  <c r="B16" i="205"/>
  <c r="B38" i="203"/>
  <c r="B16" i="204"/>
  <c r="B17" i="206"/>
  <c r="Y14" i="269"/>
  <c r="B14" i="269"/>
  <c r="H1" i="369"/>
  <c r="G8" i="205" a="1"/>
  <c r="G8" i="205" s="1"/>
  <c r="I1" i="368"/>
  <c r="J7" i="369"/>
  <c r="M7" i="369" s="1"/>
  <c r="J6" i="369"/>
  <c r="N7" i="368"/>
  <c r="N6" i="368"/>
  <c r="U15" i="205"/>
  <c r="T15" i="205"/>
  <c r="E8" i="204"/>
  <c r="J4" i="364"/>
  <c r="C8" i="204"/>
  <c r="D8" i="204" s="1"/>
  <c r="N4" i="363"/>
  <c r="M5" i="363"/>
  <c r="N5" i="363" s="1"/>
  <c r="B4" i="362"/>
  <c r="B15" i="362"/>
  <c r="C15" i="362" s="1"/>
  <c r="B8" i="362"/>
  <c r="B6" i="362"/>
  <c r="B9" i="362"/>
  <c r="B5" i="362"/>
  <c r="B10" i="362"/>
  <c r="B16" i="362"/>
  <c r="C16" i="362" s="1"/>
  <c r="F8" i="204"/>
  <c r="B12" i="362"/>
  <c r="B3" i="362"/>
  <c r="B13" i="362"/>
  <c r="B7" i="362"/>
  <c r="L19" i="361"/>
  <c r="L30" i="361"/>
  <c r="L23" i="361"/>
  <c r="L21" i="361"/>
  <c r="L24" i="361"/>
  <c r="L20" i="361"/>
  <c r="L25" i="361"/>
  <c r="L31" i="361"/>
  <c r="L27" i="361"/>
  <c r="L18" i="361"/>
  <c r="L28" i="361"/>
  <c r="L22" i="361"/>
  <c r="K8" i="205"/>
  <c r="H8" i="205"/>
  <c r="J8" i="204"/>
  <c r="H14" i="361"/>
  <c r="H11" i="361"/>
  <c r="F29" i="361"/>
  <c r="H29" i="361" s="1"/>
  <c r="D29" i="361"/>
  <c r="F32" i="361"/>
  <c r="H32" i="361" s="1"/>
  <c r="D32" i="361"/>
  <c r="D26" i="361"/>
  <c r="P5" i="360"/>
  <c r="F26" i="361"/>
  <c r="H26" i="361" s="1"/>
  <c r="H17" i="361"/>
  <c r="C14" i="203"/>
  <c r="D14" i="203" s="1"/>
  <c r="N14" i="203" s="1"/>
  <c r="O8" i="205"/>
  <c r="R8" i="205" s="1"/>
  <c r="O16" i="360"/>
  <c r="F8" i="205" a="1"/>
  <c r="B18" i="206" a="1"/>
  <c r="B15" i="269" a="1"/>
  <c r="Y15" i="269" a="1"/>
  <c r="B41" i="203" a="1"/>
  <c r="B17" i="205" a="1"/>
  <c r="P15" i="269" a="1"/>
  <c r="B17" i="204" a="1"/>
  <c r="G1" i="370" a="1"/>
  <c r="U16" i="205" a="1"/>
  <c r="J7" i="370" a="1"/>
  <c r="J3" i="367" a="1"/>
  <c r="J6" i="370" a="1"/>
  <c r="S11" i="205" a="1"/>
  <c r="J8" i="205" a="1"/>
  <c r="T16" i="205" a="1"/>
  <c r="H1" i="370" a="1"/>
  <c r="N8" i="205" a="1"/>
  <c r="I1" i="369" l="1"/>
  <c r="H1" i="370"/>
  <c r="G1" i="370"/>
  <c r="B17" i="204"/>
  <c r="P15" i="269"/>
  <c r="B17" i="205"/>
  <c r="B41" i="203"/>
  <c r="Y15" i="269"/>
  <c r="B15" i="269"/>
  <c r="B18" i="206"/>
  <c r="J6" i="370"/>
  <c r="J7" i="370"/>
  <c r="M7" i="370" s="1"/>
  <c r="N6" i="369"/>
  <c r="N7" i="369"/>
  <c r="U16" i="205"/>
  <c r="T16" i="205"/>
  <c r="L29" i="361"/>
  <c r="J3" i="367"/>
  <c r="N29" i="361"/>
  <c r="P29" i="361" s="1"/>
  <c r="P12" i="361" s="1"/>
  <c r="L32" i="361"/>
  <c r="N3" i="366"/>
  <c r="L26" i="361"/>
  <c r="N32" i="361"/>
  <c r="P32" i="361" s="1"/>
  <c r="P13" i="361" s="1"/>
  <c r="J5" i="364"/>
  <c r="N4" i="364"/>
  <c r="S11" i="205"/>
  <c r="O3" i="361"/>
  <c r="O4" i="361"/>
  <c r="P4" i="361" s="1"/>
  <c r="N26" i="361"/>
  <c r="P26" i="361" s="1"/>
  <c r="P11" i="361" s="1"/>
  <c r="B22" i="362"/>
  <c r="C22" i="362" s="1"/>
  <c r="D7" i="362"/>
  <c r="B24" i="362"/>
  <c r="D9" i="362"/>
  <c r="D4" i="362"/>
  <c r="B19" i="362"/>
  <c r="B28" i="362"/>
  <c r="D13" i="362"/>
  <c r="B31" i="362"/>
  <c r="C31" i="362" s="1"/>
  <c r="D16" i="362"/>
  <c r="B21" i="362"/>
  <c r="D6" i="362"/>
  <c r="B18" i="362"/>
  <c r="D3" i="362"/>
  <c r="B25" i="362"/>
  <c r="D10" i="362"/>
  <c r="D8" i="362"/>
  <c r="B23" i="362"/>
  <c r="O6" i="361"/>
  <c r="O7" i="361"/>
  <c r="B27" i="362"/>
  <c r="D12" i="362"/>
  <c r="B20" i="362"/>
  <c r="D5" i="362"/>
  <c r="B30" i="362"/>
  <c r="C30" i="362" s="1"/>
  <c r="D15" i="362"/>
  <c r="N8" i="205"/>
  <c r="F8" i="205"/>
  <c r="J8" i="205"/>
  <c r="E8" i="205" s="1" a="1"/>
  <c r="H1" i="371" a="1"/>
  <c r="U17" i="205" a="1"/>
  <c r="L9" i="204" a="1"/>
  <c r="B19" i="206" a="1"/>
  <c r="B44" i="203" a="1"/>
  <c r="G1" i="371" a="1"/>
  <c r="B16" i="269" a="1"/>
  <c r="Y16" i="269" a="1"/>
  <c r="B18" i="205" a="1"/>
  <c r="P16" i="269" a="1"/>
  <c r="B18" i="204" a="1"/>
  <c r="J7" i="371" a="1"/>
  <c r="K9" i="204" a="1"/>
  <c r="M9" i="204" a="1"/>
  <c r="N9" i="204" a="1"/>
  <c r="J4" i="365" a="1"/>
  <c r="T17" i="205" a="1"/>
  <c r="J6" i="371" a="1"/>
  <c r="I9" i="205" a="1"/>
  <c r="O9" i="204" a="1"/>
  <c r="M8" i="205" a="1"/>
  <c r="I1" i="370" l="1"/>
  <c r="B18" i="204"/>
  <c r="P16" i="269"/>
  <c r="B18" i="205"/>
  <c r="Y16" i="269"/>
  <c r="B16" i="269"/>
  <c r="G1" i="371"/>
  <c r="B44" i="203"/>
  <c r="B19" i="206"/>
  <c r="H1" i="371"/>
  <c r="C8" i="205" a="1"/>
  <c r="C8" i="205" s="1"/>
  <c r="D8" i="205" a="1"/>
  <c r="J6" i="371"/>
  <c r="J7" i="371"/>
  <c r="M7" i="371" s="1"/>
  <c r="N6" i="370"/>
  <c r="N7" i="370"/>
  <c r="U17" i="205"/>
  <c r="T17" i="205"/>
  <c r="O12" i="361"/>
  <c r="J4" i="365"/>
  <c r="O13" i="361"/>
  <c r="M5" i="364"/>
  <c r="N5" i="364" s="1"/>
  <c r="O14" i="361"/>
  <c r="O16" i="361" s="1"/>
  <c r="O11" i="361"/>
  <c r="O5" i="361"/>
  <c r="I9" i="205"/>
  <c r="P3" i="361"/>
  <c r="O9" i="204"/>
  <c r="K9" i="204"/>
  <c r="L9" i="204"/>
  <c r="M9" i="204"/>
  <c r="J31" i="362"/>
  <c r="K31" i="362" s="1"/>
  <c r="D31" i="362"/>
  <c r="D17" i="362"/>
  <c r="F17" i="362"/>
  <c r="D22" i="362"/>
  <c r="J22" i="362"/>
  <c r="K22" i="362" s="1"/>
  <c r="D20" i="362"/>
  <c r="J20" i="362"/>
  <c r="K20" i="362" s="1"/>
  <c r="D19" i="362"/>
  <c r="J19" i="362"/>
  <c r="K19" i="362" s="1"/>
  <c r="F14" i="362"/>
  <c r="D30" i="362"/>
  <c r="J30" i="362"/>
  <c r="K30" i="362" s="1"/>
  <c r="D27" i="362"/>
  <c r="J27" i="362"/>
  <c r="D25" i="362"/>
  <c r="J25" i="362"/>
  <c r="K25" i="362" s="1"/>
  <c r="D21" i="362"/>
  <c r="J21" i="362"/>
  <c r="K21" i="362" s="1"/>
  <c r="J28" i="362"/>
  <c r="D28" i="362"/>
  <c r="P6" i="361"/>
  <c r="J18" i="362"/>
  <c r="K18" i="362" s="1"/>
  <c r="D18" i="362"/>
  <c r="D14" i="362"/>
  <c r="P7" i="361"/>
  <c r="D23" i="362"/>
  <c r="J23" i="362"/>
  <c r="K23" i="362" s="1"/>
  <c r="F11" i="362"/>
  <c r="D11" i="362"/>
  <c r="D24" i="362"/>
  <c r="J24" i="362"/>
  <c r="K24" i="362" s="1"/>
  <c r="N9" i="204"/>
  <c r="D8" i="205"/>
  <c r="M8" i="205"/>
  <c r="P8" i="205" s="1"/>
  <c r="E8" i="205"/>
  <c r="Q8" i="205"/>
  <c r="H1" i="372" a="1"/>
  <c r="S12" i="205" a="1"/>
  <c r="Y17" i="269" a="1"/>
  <c r="P17" i="269" a="1"/>
  <c r="B17" i="269" a="1"/>
  <c r="B19" i="204" a="1"/>
  <c r="G1" i="372" a="1"/>
  <c r="B20" i="206" a="1"/>
  <c r="B47" i="203" a="1"/>
  <c r="B19" i="205" a="1"/>
  <c r="J6" i="372" a="1"/>
  <c r="B13" i="363" a="1"/>
  <c r="B4" i="363" a="1"/>
  <c r="J3" i="368" a="1"/>
  <c r="J7" i="372" a="1"/>
  <c r="E9" i="204" a="1"/>
  <c r="C9" i="204" a="1"/>
  <c r="B8" i="363" a="1"/>
  <c r="B10" i="363" a="1"/>
  <c r="B12" i="363" a="1"/>
  <c r="L9" i="205" a="1"/>
  <c r="T18" i="205" a="1"/>
  <c r="F9" i="204" a="1"/>
  <c r="J9" i="204" a="1"/>
  <c r="H9" i="205" a="1"/>
  <c r="B9" i="363" a="1"/>
  <c r="B6" i="363" a="1"/>
  <c r="U18" i="205" a="1"/>
  <c r="B5" i="363" a="1"/>
  <c r="B16" i="363" a="1"/>
  <c r="B7" i="363" a="1"/>
  <c r="B3" i="363" a="1"/>
  <c r="C17" i="203" a="1"/>
  <c r="B15" i="363" a="1"/>
  <c r="K9" i="205" a="1"/>
  <c r="I1" i="371" l="1"/>
  <c r="B19" i="205"/>
  <c r="B47" i="203"/>
  <c r="B20" i="206"/>
  <c r="G1" i="372"/>
  <c r="B19" i="204"/>
  <c r="B17" i="269"/>
  <c r="P17" i="269"/>
  <c r="Y17" i="269"/>
  <c r="H1" i="372"/>
  <c r="J7" i="372"/>
  <c r="M7" i="372" s="1"/>
  <c r="J6" i="372"/>
  <c r="N7" i="371"/>
  <c r="N6" i="371"/>
  <c r="U18" i="205"/>
  <c r="T18" i="205"/>
  <c r="J3" i="368"/>
  <c r="E9" i="204"/>
  <c r="N3" i="367"/>
  <c r="C17" i="203"/>
  <c r="D17" i="203" s="1"/>
  <c r="N17" i="203" s="1"/>
  <c r="S12" i="205"/>
  <c r="F9" i="204"/>
  <c r="J5" i="365"/>
  <c r="J9" i="204"/>
  <c r="C9" i="204"/>
  <c r="D9" i="204" s="1"/>
  <c r="F29" i="362"/>
  <c r="H29" i="362" s="1"/>
  <c r="P5" i="361"/>
  <c r="B3" i="363"/>
  <c r="B6" i="363"/>
  <c r="B12" i="363"/>
  <c r="B4" i="363"/>
  <c r="B7" i="363"/>
  <c r="B9" i="363"/>
  <c r="B10" i="363"/>
  <c r="B15" i="363"/>
  <c r="C15" i="363" s="1"/>
  <c r="B16" i="363"/>
  <c r="C16" i="363" s="1"/>
  <c r="H9" i="205"/>
  <c r="B8" i="363"/>
  <c r="B13" i="363"/>
  <c r="B5" i="363"/>
  <c r="L18" i="362"/>
  <c r="L21" i="362"/>
  <c r="L27" i="362"/>
  <c r="L19" i="362"/>
  <c r="L22" i="362"/>
  <c r="L24" i="362"/>
  <c r="L25" i="362"/>
  <c r="L30" i="362"/>
  <c r="L31" i="362"/>
  <c r="L23" i="362"/>
  <c r="L28" i="362"/>
  <c r="L20" i="362"/>
  <c r="L9" i="205"/>
  <c r="G9" i="205" s="1" a="1"/>
  <c r="K9" i="205"/>
  <c r="F9" i="205" s="1" a="1"/>
  <c r="D32" i="362"/>
  <c r="F32" i="362"/>
  <c r="H32" i="362" s="1"/>
  <c r="H11" i="362"/>
  <c r="H14" i="362"/>
  <c r="H17" i="362"/>
  <c r="D26" i="362"/>
  <c r="F26" i="362"/>
  <c r="H26" i="362" s="1"/>
  <c r="D29" i="362"/>
  <c r="U19" i="205" a="1"/>
  <c r="T19" i="205" a="1"/>
  <c r="J7" i="373" a="1"/>
  <c r="J4" i="366" a="1"/>
  <c r="B21" i="206" a="1"/>
  <c r="B18" i="269" a="1"/>
  <c r="G1" i="373" a="1"/>
  <c r="B20" i="205" a="1"/>
  <c r="B50" i="203" a="1"/>
  <c r="Y18" i="269" a="1"/>
  <c r="B20" i="204" a="1"/>
  <c r="P18" i="269" a="1"/>
  <c r="J6" i="373" a="1"/>
  <c r="J9" i="205" a="1"/>
  <c r="O9" i="205" a="1"/>
  <c r="H1" i="373" a="1"/>
  <c r="N9" i="205" a="1"/>
  <c r="H1" i="373" l="1"/>
  <c r="P18" i="269"/>
  <c r="B20" i="204"/>
  <c r="Y18" i="269"/>
  <c r="B50" i="203"/>
  <c r="B20" i="205"/>
  <c r="G1" i="373"/>
  <c r="B18" i="269"/>
  <c r="B21" i="206"/>
  <c r="I1" i="372"/>
  <c r="L29" i="362"/>
  <c r="J6" i="373"/>
  <c r="J7" i="373"/>
  <c r="M7" i="373" s="1"/>
  <c r="N6" i="372"/>
  <c r="N7" i="372"/>
  <c r="T19" i="205"/>
  <c r="U19" i="205"/>
  <c r="L32" i="362"/>
  <c r="O4" i="362"/>
  <c r="P4" i="362" s="1"/>
  <c r="J4" i="366"/>
  <c r="N4" i="365"/>
  <c r="M5" i="365"/>
  <c r="N5" i="365" s="1"/>
  <c r="J9" i="205"/>
  <c r="D9" i="205" s="1" a="1"/>
  <c r="N32" i="362"/>
  <c r="P32" i="362" s="1"/>
  <c r="P13" i="362" s="1"/>
  <c r="O3" i="362"/>
  <c r="P3" i="362" s="1"/>
  <c r="O6" i="362"/>
  <c r="P6" i="362" s="1"/>
  <c r="N26" i="362"/>
  <c r="P26" i="362" s="1"/>
  <c r="P11" i="362" s="1"/>
  <c r="B28" i="363"/>
  <c r="C28" i="363" s="1"/>
  <c r="D13" i="363"/>
  <c r="D15" i="363"/>
  <c r="B30" i="363"/>
  <c r="C30" i="363" s="1"/>
  <c r="B19" i="363"/>
  <c r="D4" i="363"/>
  <c r="L26" i="362"/>
  <c r="B23" i="363"/>
  <c r="D8" i="363"/>
  <c r="D10" i="363"/>
  <c r="B25" i="363"/>
  <c r="D12" i="363"/>
  <c r="B27" i="363"/>
  <c r="C27" i="363" s="1"/>
  <c r="D9" i="363"/>
  <c r="B24" i="363"/>
  <c r="D6" i="363"/>
  <c r="B21" i="363"/>
  <c r="N29" i="362"/>
  <c r="O7" i="362"/>
  <c r="P7" i="362" s="1"/>
  <c r="B20" i="363"/>
  <c r="D5" i="363"/>
  <c r="B31" i="363"/>
  <c r="C31" i="363" s="1"/>
  <c r="D16" i="363"/>
  <c r="B22" i="363"/>
  <c r="D7" i="363"/>
  <c r="B18" i="363"/>
  <c r="D3" i="363"/>
  <c r="O9" i="205"/>
  <c r="R9" i="205" s="1"/>
  <c r="G9" i="205"/>
  <c r="F9" i="205"/>
  <c r="N9" i="205"/>
  <c r="E9" i="205" a="1"/>
  <c r="H1" i="374" a="1"/>
  <c r="J7" i="374" a="1"/>
  <c r="I10" i="205" a="1"/>
  <c r="L10" i="204" a="1"/>
  <c r="L10" i="205" a="1"/>
  <c r="S13" i="205" a="1"/>
  <c r="H10" i="205" a="1"/>
  <c r="U20" i="205" a="1"/>
  <c r="M9" i="205" a="1"/>
  <c r="K10" i="205" a="1"/>
  <c r="J3" i="369" a="1"/>
  <c r="O10" i="204" a="1"/>
  <c r="T20" i="205" a="1"/>
  <c r="B21" i="204" a="1"/>
  <c r="B53" i="203" a="1"/>
  <c r="B21" i="205" a="1"/>
  <c r="G1" i="374" a="1"/>
  <c r="B19" i="269" a="1"/>
  <c r="P19" i="269" a="1"/>
  <c r="B22" i="206" a="1"/>
  <c r="Y19" i="269" a="1"/>
  <c r="K10" i="204" a="1"/>
  <c r="J6" i="374" a="1"/>
  <c r="M10" i="204" a="1"/>
  <c r="Y19" i="269" l="1"/>
  <c r="B22" i="206"/>
  <c r="P19" i="269"/>
  <c r="B19" i="269"/>
  <c r="G1" i="374"/>
  <c r="B21" i="205"/>
  <c r="B53" i="203"/>
  <c r="B21" i="204"/>
  <c r="H1" i="374"/>
  <c r="C9" i="205" a="1"/>
  <c r="C9" i="205" s="1"/>
  <c r="I1" i="373"/>
  <c r="J7" i="374"/>
  <c r="M7" i="374" s="1"/>
  <c r="J6" i="374"/>
  <c r="N7" i="373"/>
  <c r="N6" i="373"/>
  <c r="U20" i="205"/>
  <c r="T20" i="205"/>
  <c r="J3" i="369"/>
  <c r="N3" i="368"/>
  <c r="I10" i="205"/>
  <c r="O5" i="362"/>
  <c r="J5" i="366"/>
  <c r="S13" i="205"/>
  <c r="O13" i="362"/>
  <c r="M9" i="205"/>
  <c r="P9" i="205" s="1"/>
  <c r="D9" i="205"/>
  <c r="E9" i="205"/>
  <c r="K10" i="204"/>
  <c r="H10" i="205"/>
  <c r="L10" i="204"/>
  <c r="O10" i="204"/>
  <c r="D21" i="363"/>
  <c r="J21" i="363"/>
  <c r="J27" i="363"/>
  <c r="K27" i="363" s="1"/>
  <c r="D27" i="363"/>
  <c r="J19" i="363"/>
  <c r="D19" i="363"/>
  <c r="D28" i="363"/>
  <c r="J28" i="363"/>
  <c r="K28" i="363" s="1"/>
  <c r="J20" i="363"/>
  <c r="D20" i="363"/>
  <c r="D14" i="363"/>
  <c r="F14" i="363"/>
  <c r="D23" i="363"/>
  <c r="J23" i="363"/>
  <c r="D30" i="363"/>
  <c r="J30" i="363"/>
  <c r="K30" i="363" s="1"/>
  <c r="O11" i="362"/>
  <c r="D11" i="363"/>
  <c r="F11" i="363"/>
  <c r="D24" i="363"/>
  <c r="J24" i="363"/>
  <c r="J25" i="363"/>
  <c r="D25" i="363"/>
  <c r="F17" i="363"/>
  <c r="D17" i="363"/>
  <c r="J18" i="363"/>
  <c r="D18" i="363"/>
  <c r="J31" i="363"/>
  <c r="K31" i="363" s="1"/>
  <c r="D31" i="363"/>
  <c r="P29" i="362"/>
  <c r="P12" i="362" s="1"/>
  <c r="O14" i="362" s="1"/>
  <c r="O12" i="362"/>
  <c r="D22" i="363"/>
  <c r="J22" i="363"/>
  <c r="L10" i="205"/>
  <c r="G10" i="205" s="1" a="1"/>
  <c r="M10" i="204"/>
  <c r="K10" i="205"/>
  <c r="F10" i="205" s="1" a="1"/>
  <c r="Q9" i="205"/>
  <c r="Y20" i="269" a="1"/>
  <c r="G1" i="375" a="1"/>
  <c r="P20" i="269" a="1"/>
  <c r="B56" i="203" a="1"/>
  <c r="B22" i="204" a="1"/>
  <c r="B20" i="269" a="1"/>
  <c r="B23" i="206" a="1"/>
  <c r="B22" i="205" a="1"/>
  <c r="H1" i="375" a="1"/>
  <c r="T21" i="205" a="1"/>
  <c r="B15" i="364" a="1"/>
  <c r="N10" i="205" a="1"/>
  <c r="U21" i="205" a="1"/>
  <c r="B13" i="364" a="1"/>
  <c r="J7" i="375" a="1"/>
  <c r="J4" i="367" a="1"/>
  <c r="B4" i="364" a="1"/>
  <c r="B8" i="364" a="1"/>
  <c r="C10" i="204" a="1"/>
  <c r="C20" i="203" a="1"/>
  <c r="J6" i="375" a="1"/>
  <c r="J10" i="204" a="1"/>
  <c r="B5" i="364" a="1"/>
  <c r="B9" i="364" a="1"/>
  <c r="B10" i="364" a="1"/>
  <c r="E10" i="204" a="1"/>
  <c r="F10" i="204" a="1"/>
  <c r="B3" i="364" a="1"/>
  <c r="B16" i="364" a="1"/>
  <c r="B12" i="364" a="1"/>
  <c r="N10" i="204" a="1"/>
  <c r="O10" i="205" a="1"/>
  <c r="B2" i="329" l="1" a="1"/>
  <c r="B2" i="329" s="1"/>
  <c r="I1" i="374"/>
  <c r="H1" i="375"/>
  <c r="B22" i="205"/>
  <c r="B23" i="206"/>
  <c r="B20" i="269"/>
  <c r="B22" i="204"/>
  <c r="B56" i="203"/>
  <c r="P20" i="269"/>
  <c r="G1" i="375"/>
  <c r="Y20" i="269"/>
  <c r="J6" i="375"/>
  <c r="J7" i="375"/>
  <c r="M7" i="375" s="1"/>
  <c r="N6" i="374"/>
  <c r="N7" i="374"/>
  <c r="U21" i="205"/>
  <c r="T21" i="205"/>
  <c r="J10" i="204"/>
  <c r="J4" i="367"/>
  <c r="P5" i="362"/>
  <c r="N4" i="366"/>
  <c r="M5" i="366"/>
  <c r="N5" i="366" s="1"/>
  <c r="F10" i="204"/>
  <c r="B3" i="364"/>
  <c r="B10" i="364"/>
  <c r="B8" i="364"/>
  <c r="B12" i="364"/>
  <c r="B9" i="364"/>
  <c r="C9" i="364" s="1"/>
  <c r="B16" i="364"/>
  <c r="C16" i="364" s="1"/>
  <c r="B15" i="364"/>
  <c r="C15" i="364" s="1"/>
  <c r="B5" i="364"/>
  <c r="B4" i="364"/>
  <c r="B13" i="364"/>
  <c r="L18" i="363"/>
  <c r="L25" i="363"/>
  <c r="L23" i="363"/>
  <c r="L27" i="363"/>
  <c r="L22" i="363"/>
  <c r="L24" i="363"/>
  <c r="L21" i="363"/>
  <c r="L31" i="363"/>
  <c r="L30" i="363"/>
  <c r="L20" i="363"/>
  <c r="L19" i="363"/>
  <c r="L28" i="363"/>
  <c r="E10" i="204"/>
  <c r="C10" i="204"/>
  <c r="D10" i="204" s="1"/>
  <c r="N10" i="204"/>
  <c r="H11" i="363"/>
  <c r="F32" i="363"/>
  <c r="H32" i="363" s="1"/>
  <c r="D32" i="363"/>
  <c r="H14" i="363"/>
  <c r="D29" i="363"/>
  <c r="F29" i="363"/>
  <c r="H29" i="363" s="1"/>
  <c r="F26" i="363"/>
  <c r="D26" i="363"/>
  <c r="H17" i="363"/>
  <c r="N10" i="205"/>
  <c r="F10" i="205"/>
  <c r="C20" i="203"/>
  <c r="D20" i="203" s="1"/>
  <c r="N20" i="203" s="1"/>
  <c r="O10" i="205"/>
  <c r="R10" i="205" s="1"/>
  <c r="G10" i="205"/>
  <c r="O16" i="362"/>
  <c r="T22" i="205" a="1"/>
  <c r="S14" i="205" a="1"/>
  <c r="B23" i="204" a="1"/>
  <c r="B21" i="269" a="1"/>
  <c r="G1" i="376" a="1"/>
  <c r="Y21" i="269" a="1"/>
  <c r="P21" i="269" a="1"/>
  <c r="B23" i="205" a="1"/>
  <c r="B24" i="206" a="1"/>
  <c r="B59" i="203" a="1"/>
  <c r="U22" i="205" a="1"/>
  <c r="H1" i="376" a="1"/>
  <c r="J6" i="376" a="1"/>
  <c r="J3" i="370" a="1"/>
  <c r="J7" i="376" a="1"/>
  <c r="J10" i="205" a="1"/>
  <c r="H26" i="363" l="1"/>
  <c r="B6" i="364" a="1"/>
  <c r="B6" i="364" s="1"/>
  <c r="B37" i="363"/>
  <c r="B7" i="364" a="1"/>
  <c r="B7" i="364" s="1"/>
  <c r="B38" i="363"/>
  <c r="H1" i="376"/>
  <c r="B59" i="203"/>
  <c r="B24" i="206"/>
  <c r="B23" i="205"/>
  <c r="P21" i="269"/>
  <c r="Y21" i="269"/>
  <c r="G1" i="376"/>
  <c r="B21" i="269"/>
  <c r="B23" i="204"/>
  <c r="I1" i="375"/>
  <c r="I1" i="376"/>
  <c r="J7" i="376"/>
  <c r="M7" i="376" s="1"/>
  <c r="J6" i="376"/>
  <c r="N7" i="375"/>
  <c r="N6" i="375"/>
  <c r="U22" i="205"/>
  <c r="T22" i="205"/>
  <c r="J3" i="370"/>
  <c r="L26" i="363"/>
  <c r="N3" i="369"/>
  <c r="J10" i="205"/>
  <c r="O3" i="363"/>
  <c r="N26" i="363"/>
  <c r="J5" i="367"/>
  <c r="S14" i="205"/>
  <c r="O7" i="363"/>
  <c r="P7" i="363" s="1"/>
  <c r="O6" i="363"/>
  <c r="O4" i="363"/>
  <c r="P4" i="363" s="1"/>
  <c r="L32" i="363"/>
  <c r="L29" i="363"/>
  <c r="B28" i="364"/>
  <c r="C28" i="364" s="1"/>
  <c r="D13" i="364"/>
  <c r="B31" i="364"/>
  <c r="C31" i="364" s="1"/>
  <c r="D16" i="364"/>
  <c r="B27" i="364"/>
  <c r="C27" i="364" s="1"/>
  <c r="D12" i="364"/>
  <c r="N32" i="363"/>
  <c r="P32" i="363" s="1"/>
  <c r="P13" i="363" s="1"/>
  <c r="N29" i="363"/>
  <c r="D4" i="364"/>
  <c r="B19" i="364"/>
  <c r="C19" i="364" s="1"/>
  <c r="D6" i="364"/>
  <c r="B21" i="364"/>
  <c r="C21" i="364" s="1"/>
  <c r="B23" i="364"/>
  <c r="C23" i="364" s="1"/>
  <c r="D8" i="364"/>
  <c r="D5" i="364"/>
  <c r="B20" i="364"/>
  <c r="C20" i="364" s="1"/>
  <c r="D9" i="364"/>
  <c r="B24" i="364"/>
  <c r="C24" i="364" s="1"/>
  <c r="D10" i="364"/>
  <c r="B25" i="364"/>
  <c r="C25" i="364" s="1"/>
  <c r="P6" i="363"/>
  <c r="B30" i="364"/>
  <c r="C30" i="364" s="1"/>
  <c r="D15" i="364"/>
  <c r="B22" i="364"/>
  <c r="C22" i="364" s="1"/>
  <c r="D7" i="364"/>
  <c r="B18" i="364"/>
  <c r="C18" i="364" s="1"/>
  <c r="D3" i="364"/>
  <c r="Q10" i="205"/>
  <c r="D10" i="205" a="1"/>
  <c r="E10" i="205" a="1"/>
  <c r="C10" i="205" a="1"/>
  <c r="H1" i="377" a="1"/>
  <c r="U23" i="205" a="1"/>
  <c r="K11" i="204" a="1"/>
  <c r="P22" i="269" a="1"/>
  <c r="Y22" i="269" a="1"/>
  <c r="B22" i="269" a="1"/>
  <c r="B62" i="203" a="1"/>
  <c r="G1" i="377" a="1"/>
  <c r="B24" i="204" a="1"/>
  <c r="B24" i="205" a="1"/>
  <c r="B25" i="206" a="1"/>
  <c r="T23" i="205" a="1"/>
  <c r="L11" i="204" a="1"/>
  <c r="L11" i="205" a="1"/>
  <c r="J7" i="377" a="1"/>
  <c r="J4" i="368" a="1"/>
  <c r="I11" i="205" a="1"/>
  <c r="J6" i="377" a="1"/>
  <c r="K11" i="205" a="1"/>
  <c r="O11" i="204" a="1"/>
  <c r="M10" i="205" a="1"/>
  <c r="P26" i="363" l="1"/>
  <c r="P3" i="363"/>
  <c r="H11" i="205" s="1" a="1"/>
  <c r="J38" i="363"/>
  <c r="L38" i="363" s="1"/>
  <c r="D38" i="363"/>
  <c r="J37" i="363"/>
  <c r="L37" i="363" s="1"/>
  <c r="D37" i="363"/>
  <c r="D39" i="363"/>
  <c r="J39" i="363"/>
  <c r="B25" i="206"/>
  <c r="B24" i="205"/>
  <c r="B24" i="204"/>
  <c r="G1" i="377"/>
  <c r="B62" i="203"/>
  <c r="B22" i="269"/>
  <c r="Y22" i="269"/>
  <c r="P22" i="269"/>
  <c r="H1" i="377"/>
  <c r="J6" i="377"/>
  <c r="M6" i="377" s="1"/>
  <c r="J7" i="377"/>
  <c r="M7" i="377" s="1"/>
  <c r="N6" i="376"/>
  <c r="N7" i="376"/>
  <c r="T23" i="205"/>
  <c r="U23" i="205"/>
  <c r="J4" i="368"/>
  <c r="C10" i="205"/>
  <c r="E10" i="205"/>
  <c r="D10" i="205"/>
  <c r="M10" i="205"/>
  <c r="P10" i="205" s="1"/>
  <c r="H11" i="205"/>
  <c r="N4" i="367"/>
  <c r="M5" i="367"/>
  <c r="N5" i="367" s="1"/>
  <c r="I11" i="205"/>
  <c r="L11" i="204"/>
  <c r="K11" i="204"/>
  <c r="O13" i="363"/>
  <c r="K11" i="205"/>
  <c r="P29" i="363"/>
  <c r="P12" i="363" s="1"/>
  <c r="O12" i="363"/>
  <c r="D18" i="364"/>
  <c r="J18" i="364"/>
  <c r="K18" i="364" s="1"/>
  <c r="J30" i="364"/>
  <c r="K30" i="364" s="1"/>
  <c r="D30" i="364"/>
  <c r="D24" i="364"/>
  <c r="J24" i="364"/>
  <c r="K24" i="364" s="1"/>
  <c r="J19" i="364"/>
  <c r="K19" i="364" s="1"/>
  <c r="D19" i="364"/>
  <c r="D31" i="364"/>
  <c r="J31" i="364"/>
  <c r="K31" i="364" s="1"/>
  <c r="D23" i="364"/>
  <c r="J23" i="364"/>
  <c r="K23" i="364" s="1"/>
  <c r="D14" i="364"/>
  <c r="F14" i="364"/>
  <c r="F11" i="364"/>
  <c r="D11" i="364"/>
  <c r="D17" i="364"/>
  <c r="F17" i="364"/>
  <c r="J22" i="364"/>
  <c r="K22" i="364" s="1"/>
  <c r="D22" i="364"/>
  <c r="J25" i="364"/>
  <c r="K25" i="364" s="1"/>
  <c r="D25" i="364"/>
  <c r="D20" i="364"/>
  <c r="J20" i="364"/>
  <c r="K20" i="364" s="1"/>
  <c r="J21" i="364"/>
  <c r="K21" i="364" s="1"/>
  <c r="D21" i="364"/>
  <c r="D27" i="364"/>
  <c r="J27" i="364"/>
  <c r="K27" i="364" s="1"/>
  <c r="D28" i="364"/>
  <c r="J28" i="364"/>
  <c r="K28" i="364" s="1"/>
  <c r="O11" i="204"/>
  <c r="L11" i="205"/>
  <c r="G11" i="205" s="1" a="1"/>
  <c r="F11" i="205" a="1"/>
  <c r="H1" i="378" a="1"/>
  <c r="T24" i="205" a="1"/>
  <c r="B3" i="365" a="1"/>
  <c r="B15" i="365" a="1"/>
  <c r="J6" i="378" a="1"/>
  <c r="J3" i="371" a="1"/>
  <c r="B9" i="365" a="1"/>
  <c r="B5" i="365" a="1"/>
  <c r="B4" i="365" a="1"/>
  <c r="N11" i="204" a="1"/>
  <c r="Y23" i="269" a="1"/>
  <c r="B26" i="206" a="1"/>
  <c r="B23" i="269" a="1"/>
  <c r="B25" i="205" a="1"/>
  <c r="B25" i="204" a="1"/>
  <c r="B65" i="203" a="1"/>
  <c r="G1" i="378" a="1"/>
  <c r="P23" i="269" a="1"/>
  <c r="J7" i="378" a="1"/>
  <c r="B16" i="365" a="1"/>
  <c r="B12" i="365" a="1"/>
  <c r="B7" i="365" a="1"/>
  <c r="E11" i="204" a="1"/>
  <c r="S15" i="205" a="1"/>
  <c r="B13" i="365" a="1"/>
  <c r="B6" i="365" a="1"/>
  <c r="B8" i="365" a="1"/>
  <c r="N11" i="205" a="1"/>
  <c r="U24" i="205" a="1"/>
  <c r="F11" i="204" a="1"/>
  <c r="B10" i="365" a="1"/>
  <c r="O11" i="205" a="1"/>
  <c r="P11" i="363" l="1"/>
  <c r="M11" i="204" s="1" a="1"/>
  <c r="M11" i="204" s="1"/>
  <c r="L39" i="363"/>
  <c r="N42" i="363"/>
  <c r="P42" i="363" s="1"/>
  <c r="L42" i="363"/>
  <c r="F42" i="363"/>
  <c r="H42" i="363" s="1"/>
  <c r="D42" i="363"/>
  <c r="P23" i="269"/>
  <c r="G1" i="378"/>
  <c r="B65" i="203"/>
  <c r="B25" i="204"/>
  <c r="B25" i="205"/>
  <c r="B23" i="269"/>
  <c r="B26" i="206"/>
  <c r="Y23" i="269"/>
  <c r="H1" i="378"/>
  <c r="I1" i="377"/>
  <c r="J7" i="378"/>
  <c r="M7" i="378" s="1"/>
  <c r="J6" i="378"/>
  <c r="M6" i="378" s="1"/>
  <c r="N7" i="377"/>
  <c r="N6" i="377"/>
  <c r="U24" i="205"/>
  <c r="T24" i="205"/>
  <c r="J3" i="371"/>
  <c r="N3" i="370"/>
  <c r="J5" i="368"/>
  <c r="S15" i="205"/>
  <c r="B10" i="365"/>
  <c r="B8" i="365"/>
  <c r="C8" i="365" s="1"/>
  <c r="B7" i="365"/>
  <c r="B4" i="365"/>
  <c r="C4" i="365" s="1"/>
  <c r="B15" i="365"/>
  <c r="C15" i="365" s="1"/>
  <c r="B6" i="365"/>
  <c r="C6" i="365" s="1"/>
  <c r="B12" i="365"/>
  <c r="B5" i="365"/>
  <c r="F11" i="204"/>
  <c r="B13" i="365"/>
  <c r="B16" i="365"/>
  <c r="C16" i="365" s="1"/>
  <c r="B9" i="365"/>
  <c r="C9" i="365" s="1"/>
  <c r="B3" i="365"/>
  <c r="L25" i="364"/>
  <c r="L23" i="364"/>
  <c r="L22" i="364"/>
  <c r="L19" i="364"/>
  <c r="L30" i="364"/>
  <c r="L21" i="364"/>
  <c r="L27" i="364"/>
  <c r="L20" i="364"/>
  <c r="L28" i="364"/>
  <c r="L31" i="364"/>
  <c r="L24" i="364"/>
  <c r="L18" i="364"/>
  <c r="F11" i="205"/>
  <c r="N11" i="205"/>
  <c r="Q11" i="205" s="1"/>
  <c r="E11" i="204"/>
  <c r="N11" i="204"/>
  <c r="D29" i="364"/>
  <c r="F29" i="364"/>
  <c r="H29" i="364" s="1"/>
  <c r="H14" i="364"/>
  <c r="H17" i="364"/>
  <c r="H11" i="364"/>
  <c r="F26" i="364"/>
  <c r="H26" i="364" s="1"/>
  <c r="D26" i="364"/>
  <c r="F32" i="364"/>
  <c r="H32" i="364" s="1"/>
  <c r="D32" i="364"/>
  <c r="G11" i="205"/>
  <c r="O11" i="205"/>
  <c r="R11" i="205" s="1"/>
  <c r="J6" i="379" a="1"/>
  <c r="T25" i="205" a="1"/>
  <c r="H1" i="379" a="1"/>
  <c r="U25" i="205" a="1"/>
  <c r="B26" i="205" a="1"/>
  <c r="Y24" i="269" a="1"/>
  <c r="B68" i="203" a="1"/>
  <c r="B27" i="206" a="1"/>
  <c r="B26" i="204" a="1"/>
  <c r="B24" i="269" a="1"/>
  <c r="P24" i="269" a="1"/>
  <c r="G1" i="379" a="1"/>
  <c r="J7" i="379" a="1"/>
  <c r="J4" i="369" a="1"/>
  <c r="O14" i="363" l="1"/>
  <c r="O5" i="363"/>
  <c r="O11" i="363"/>
  <c r="C11" i="204" s="1" a="1"/>
  <c r="C11" i="204" s="1"/>
  <c r="D11" i="204" s="1"/>
  <c r="G1" i="379"/>
  <c r="P24" i="269"/>
  <c r="B24" i="269"/>
  <c r="B26" i="204"/>
  <c r="B27" i="206"/>
  <c r="B68" i="203"/>
  <c r="Y24" i="269"/>
  <c r="B26" i="205"/>
  <c r="H1" i="379"/>
  <c r="I1" i="378"/>
  <c r="J6" i="379"/>
  <c r="M6" i="379" s="1"/>
  <c r="J7" i="379"/>
  <c r="M7" i="379" s="1"/>
  <c r="N6" i="378"/>
  <c r="N7" i="378"/>
  <c r="I1" i="379"/>
  <c r="U25" i="205"/>
  <c r="T25" i="205"/>
  <c r="L32" i="364"/>
  <c r="J4" i="369"/>
  <c r="N29" i="364"/>
  <c r="P29" i="364" s="1"/>
  <c r="P12" i="364" s="1"/>
  <c r="N4" i="368"/>
  <c r="M5" i="368"/>
  <c r="N5" i="368" s="1"/>
  <c r="O7" i="364"/>
  <c r="P7" i="364" s="1"/>
  <c r="O3" i="364"/>
  <c r="P3" i="364" s="1"/>
  <c r="L29" i="364"/>
  <c r="N32" i="364"/>
  <c r="P32" i="364" s="1"/>
  <c r="P13" i="364" s="1"/>
  <c r="L26" i="364"/>
  <c r="B28" i="365"/>
  <c r="D13" i="365"/>
  <c r="D8" i="365"/>
  <c r="B23" i="365"/>
  <c r="N26" i="364"/>
  <c r="P26" i="364" s="1"/>
  <c r="P11" i="364" s="1"/>
  <c r="O4" i="364"/>
  <c r="P4" i="364" s="1"/>
  <c r="D3" i="365"/>
  <c r="B18" i="365"/>
  <c r="D15" i="365"/>
  <c r="B30" i="365"/>
  <c r="C30" i="365" s="1"/>
  <c r="D10" i="365"/>
  <c r="B25" i="365"/>
  <c r="O6" i="364"/>
  <c r="P6" i="364" s="1"/>
  <c r="D9" i="365"/>
  <c r="B24" i="365"/>
  <c r="D5" i="365"/>
  <c r="B20" i="365"/>
  <c r="B21" i="365"/>
  <c r="D6" i="365"/>
  <c r="D16" i="365"/>
  <c r="B31" i="365"/>
  <c r="C31" i="365" s="1"/>
  <c r="D12" i="365"/>
  <c r="B27" i="365"/>
  <c r="B22" i="365"/>
  <c r="D7" i="365"/>
  <c r="B25" i="269" a="1"/>
  <c r="B28" i="206" a="1"/>
  <c r="B27" i="204" a="1"/>
  <c r="B27" i="205" a="1"/>
  <c r="G1" i="380" a="1"/>
  <c r="Y25" i="269" a="1"/>
  <c r="P25" i="269" a="1"/>
  <c r="B71" i="203" a="1"/>
  <c r="H1" i="380" a="1"/>
  <c r="J7" i="380" a="1"/>
  <c r="S16" i="205" a="1"/>
  <c r="I12" i="205" a="1"/>
  <c r="T26" i="205" a="1"/>
  <c r="L12" i="204" a="1"/>
  <c r="K12" i="205" a="1"/>
  <c r="N12" i="204" a="1"/>
  <c r="U26" i="205" a="1"/>
  <c r="K12" i="204" a="1"/>
  <c r="M12" i="204" a="1"/>
  <c r="J6" i="380" a="1"/>
  <c r="J3" i="372" a="1"/>
  <c r="H12" i="205" a="1"/>
  <c r="L12" i="205" a="1"/>
  <c r="O12" i="204" a="1"/>
  <c r="O16" i="363" l="1"/>
  <c r="C23" i="203" a="1"/>
  <c r="C23" i="203" s="1"/>
  <c r="D23" i="203" s="1"/>
  <c r="N23" i="203" s="1"/>
  <c r="J11" i="204" a="1"/>
  <c r="J11" i="204" s="1"/>
  <c r="P5" i="363"/>
  <c r="J11" i="205" s="1" a="1"/>
  <c r="J11" i="205" s="1"/>
  <c r="H1" i="380"/>
  <c r="B71" i="203"/>
  <c r="P25" i="269"/>
  <c r="Y25" i="269"/>
  <c r="G1" i="380"/>
  <c r="I1" i="380" s="1"/>
  <c r="B27" i="205"/>
  <c r="B27" i="204"/>
  <c r="B28" i="206"/>
  <c r="B25" i="269"/>
  <c r="J7" i="380"/>
  <c r="M7" i="380" s="1"/>
  <c r="J6" i="380"/>
  <c r="M6" i="380" s="1"/>
  <c r="N7" i="379"/>
  <c r="N6" i="379"/>
  <c r="U26" i="205"/>
  <c r="T26" i="205"/>
  <c r="J3" i="372"/>
  <c r="N3" i="371"/>
  <c r="O12" i="364"/>
  <c r="J5" i="369"/>
  <c r="S16" i="205"/>
  <c r="O11" i="364"/>
  <c r="O13" i="364"/>
  <c r="L12" i="204"/>
  <c r="O5" i="364"/>
  <c r="I12" i="205"/>
  <c r="H12" i="205"/>
  <c r="K12" i="204"/>
  <c r="J23" i="365"/>
  <c r="K23" i="365" s="1"/>
  <c r="D23" i="365"/>
  <c r="J31" i="365"/>
  <c r="K31" i="365" s="1"/>
  <c r="D31" i="365"/>
  <c r="J22" i="365"/>
  <c r="K22" i="365" s="1"/>
  <c r="D22" i="365"/>
  <c r="J30" i="365"/>
  <c r="K30" i="365" s="1"/>
  <c r="D30" i="365"/>
  <c r="D14" i="365"/>
  <c r="F14" i="365"/>
  <c r="D21" i="365"/>
  <c r="J21" i="365"/>
  <c r="K21" i="365" s="1"/>
  <c r="D25" i="365"/>
  <c r="J25" i="365"/>
  <c r="K25" i="365" s="1"/>
  <c r="J18" i="365"/>
  <c r="K18" i="365" s="1"/>
  <c r="D18" i="365"/>
  <c r="J24" i="365"/>
  <c r="K24" i="365" s="1"/>
  <c r="D24" i="365"/>
  <c r="J27" i="365"/>
  <c r="K27" i="365" s="1"/>
  <c r="D27" i="365"/>
  <c r="D20" i="365"/>
  <c r="J20" i="365"/>
  <c r="K20" i="365" s="1"/>
  <c r="F17" i="365"/>
  <c r="D17" i="365"/>
  <c r="D28" i="365"/>
  <c r="J28" i="365"/>
  <c r="K28" i="365" s="1"/>
  <c r="N12" i="204"/>
  <c r="O12" i="204"/>
  <c r="L12" i="205"/>
  <c r="M12" i="204"/>
  <c r="K12" i="205"/>
  <c r="F12" i="205" s="1" a="1"/>
  <c r="O14" i="364"/>
  <c r="G12" i="205" a="1"/>
  <c r="H1" i="381" a="1"/>
  <c r="B26" i="269" a="1"/>
  <c r="B29" i="206" a="1"/>
  <c r="B74" i="203" a="1"/>
  <c r="Y26" i="269" a="1"/>
  <c r="B28" i="205" a="1"/>
  <c r="G1" i="381" a="1"/>
  <c r="P26" i="269" a="1"/>
  <c r="B28" i="204" a="1"/>
  <c r="J3" i="373" a="1"/>
  <c r="J4" i="370" a="1"/>
  <c r="B3" i="366" a="1"/>
  <c r="U27" i="205" a="1"/>
  <c r="E12" i="204" a="1"/>
  <c r="B5" i="366" a="1"/>
  <c r="B13" i="366" a="1"/>
  <c r="B6" i="366" a="1"/>
  <c r="C26" i="203" a="1"/>
  <c r="T27" i="205" a="1"/>
  <c r="F12" i="204" a="1"/>
  <c r="B16" i="366" a="1"/>
  <c r="B9" i="366" a="1"/>
  <c r="B8" i="366" a="1"/>
  <c r="O12" i="205" a="1"/>
  <c r="J6" i="381" a="1"/>
  <c r="C12" i="204" a="1"/>
  <c r="B15" i="366" a="1"/>
  <c r="B12" i="366" a="1"/>
  <c r="B7" i="366" a="1"/>
  <c r="J7" i="381" a="1"/>
  <c r="J12" i="204" a="1"/>
  <c r="B10" i="366" a="1"/>
  <c r="N12" i="205" a="1"/>
  <c r="D4" i="365" l="1"/>
  <c r="B19" i="365"/>
  <c r="E11" i="205" a="1"/>
  <c r="E11" i="205" s="1"/>
  <c r="C11" i="205" a="1"/>
  <c r="C11" i="205" s="1"/>
  <c r="D11" i="205" a="1"/>
  <c r="D11" i="205" s="1"/>
  <c r="M11" i="205" a="1"/>
  <c r="M11" i="205" s="1"/>
  <c r="P11" i="205" s="1"/>
  <c r="B28" i="204"/>
  <c r="P26" i="269"/>
  <c r="G1" i="381"/>
  <c r="B28" i="205"/>
  <c r="Y26" i="269"/>
  <c r="B74" i="203"/>
  <c r="B29" i="206"/>
  <c r="B26" i="269"/>
  <c r="H1" i="381"/>
  <c r="J7" i="381"/>
  <c r="M7" i="381" s="1"/>
  <c r="J6" i="381"/>
  <c r="M6" i="381" s="1"/>
  <c r="N7" i="380"/>
  <c r="N6" i="380"/>
  <c r="T27" i="205"/>
  <c r="U27" i="205"/>
  <c r="J3" i="373"/>
  <c r="N3" i="372"/>
  <c r="J4" i="370"/>
  <c r="E12" i="204"/>
  <c r="N4" i="369"/>
  <c r="M5" i="369"/>
  <c r="N5" i="369" s="1"/>
  <c r="C12" i="204"/>
  <c r="D12" i="204" s="1"/>
  <c r="F12" i="204"/>
  <c r="J12" i="204"/>
  <c r="D29" i="365"/>
  <c r="P5" i="364"/>
  <c r="B10" i="366"/>
  <c r="B7" i="366"/>
  <c r="C7" i="366" s="1"/>
  <c r="B8" i="366"/>
  <c r="C8" i="366" s="1"/>
  <c r="B6" i="366"/>
  <c r="C6" i="366" s="1"/>
  <c r="B12" i="366"/>
  <c r="B9" i="366"/>
  <c r="C9" i="366" s="1"/>
  <c r="B13" i="366"/>
  <c r="B3" i="366"/>
  <c r="B15" i="366"/>
  <c r="C15" i="366" s="1"/>
  <c r="B16" i="366"/>
  <c r="C16" i="366" s="1"/>
  <c r="B5" i="366"/>
  <c r="L25" i="365"/>
  <c r="L22" i="365"/>
  <c r="L23" i="365"/>
  <c r="L21" i="365"/>
  <c r="L27" i="365"/>
  <c r="L24" i="365"/>
  <c r="L28" i="365"/>
  <c r="L18" i="365"/>
  <c r="L30" i="365"/>
  <c r="L31" i="365"/>
  <c r="L20" i="365"/>
  <c r="F29" i="365"/>
  <c r="H29" i="365" s="1"/>
  <c r="H17" i="365"/>
  <c r="D32" i="365"/>
  <c r="F32" i="365"/>
  <c r="H32" i="365" s="1"/>
  <c r="H14" i="365"/>
  <c r="N12" i="205"/>
  <c r="F12" i="205"/>
  <c r="G12" i="205"/>
  <c r="O12" i="205"/>
  <c r="R12" i="205" s="1"/>
  <c r="C26" i="203"/>
  <c r="D26" i="203" s="1"/>
  <c r="N26" i="203" s="1"/>
  <c r="O16" i="364"/>
  <c r="J3" i="374" a="1"/>
  <c r="B30" i="206" a="1"/>
  <c r="B29" i="205" a="1"/>
  <c r="P27" i="269" a="1"/>
  <c r="Y27" i="269" a="1"/>
  <c r="G1" i="382" a="1"/>
  <c r="B77" i="203" a="1"/>
  <c r="B27" i="269" a="1"/>
  <c r="B29" i="204" a="1"/>
  <c r="U28" i="205" a="1"/>
  <c r="J12" i="205" a="1"/>
  <c r="T28" i="205" a="1"/>
  <c r="H1" i="382" a="1"/>
  <c r="J6" i="382" a="1"/>
  <c r="J7" i="382" a="1"/>
  <c r="S17" i="205" a="1"/>
  <c r="J19" i="365" l="1"/>
  <c r="K19" i="365" s="1"/>
  <c r="D19" i="365"/>
  <c r="D11" i="365"/>
  <c r="F11" i="365"/>
  <c r="H11" i="365" s="1"/>
  <c r="H1" i="382"/>
  <c r="B29" i="204"/>
  <c r="B27" i="269"/>
  <c r="B77" i="203"/>
  <c r="G1" i="382"/>
  <c r="Y27" i="269"/>
  <c r="P27" i="269"/>
  <c r="B29" i="205"/>
  <c r="B30" i="206"/>
  <c r="I1" i="381"/>
  <c r="J7" i="382"/>
  <c r="M7" i="382" s="1"/>
  <c r="J6" i="382"/>
  <c r="M6" i="382" s="1"/>
  <c r="N7" i="381"/>
  <c r="N6" i="381"/>
  <c r="T28" i="205"/>
  <c r="U28" i="205"/>
  <c r="J3" i="374"/>
  <c r="N3" i="373"/>
  <c r="O7" i="365"/>
  <c r="P7" i="365" s="1"/>
  <c r="L32" i="365"/>
  <c r="J5" i="370"/>
  <c r="S17" i="205"/>
  <c r="O3" i="365"/>
  <c r="P3" i="365" s="1"/>
  <c r="L29" i="365"/>
  <c r="J12" i="205"/>
  <c r="N32" i="365"/>
  <c r="P32" i="365" s="1"/>
  <c r="P13" i="365" s="1"/>
  <c r="N29" i="365"/>
  <c r="P29" i="365" s="1"/>
  <c r="P12" i="365" s="1"/>
  <c r="B27" i="366"/>
  <c r="D12" i="366"/>
  <c r="D5" i="366"/>
  <c r="B20" i="366"/>
  <c r="D13" i="366"/>
  <c r="B28" i="366"/>
  <c r="B21" i="366"/>
  <c r="C21" i="366" s="1"/>
  <c r="D6" i="366"/>
  <c r="B30" i="366"/>
  <c r="C30" i="366" s="1"/>
  <c r="D15" i="366"/>
  <c r="B22" i="366"/>
  <c r="C22" i="366" s="1"/>
  <c r="D7" i="366"/>
  <c r="B18" i="366"/>
  <c r="D3" i="366"/>
  <c r="B25" i="366"/>
  <c r="D10" i="366"/>
  <c r="O6" i="365"/>
  <c r="P6" i="365" s="1"/>
  <c r="B31" i="366"/>
  <c r="C31" i="366" s="1"/>
  <c r="D16" i="366"/>
  <c r="D9" i="366"/>
  <c r="B24" i="366"/>
  <c r="C24" i="366" s="1"/>
  <c r="D8" i="366"/>
  <c r="B23" i="366"/>
  <c r="C23" i="366" s="1"/>
  <c r="Q12" i="205"/>
  <c r="D12" i="205" a="1"/>
  <c r="E12" i="205" a="1"/>
  <c r="H1" i="383" a="1"/>
  <c r="T29" i="205" a="1"/>
  <c r="O13" i="204" a="1"/>
  <c r="L13" i="204" a="1"/>
  <c r="K13" i="205" a="1"/>
  <c r="J6" i="383" a="1"/>
  <c r="J4" i="371" a="1"/>
  <c r="H13" i="205" a="1"/>
  <c r="U29" i="205" a="1"/>
  <c r="L13" i="205" a="1"/>
  <c r="B80" i="203" a="1"/>
  <c r="P28" i="269" a="1"/>
  <c r="B28" i="269" a="1"/>
  <c r="Y28" i="269" a="1"/>
  <c r="B30" i="205" a="1"/>
  <c r="G1" i="383" a="1"/>
  <c r="B31" i="206" a="1"/>
  <c r="B30" i="204" a="1"/>
  <c r="N13" i="204" a="1"/>
  <c r="J7" i="383" a="1"/>
  <c r="K13" i="204" a="1"/>
  <c r="M12" i="205" a="1"/>
  <c r="D26" i="365" l="1"/>
  <c r="F26" i="365"/>
  <c r="H26" i="365" s="1"/>
  <c r="B4" i="366" a="1"/>
  <c r="B4" i="366" s="1"/>
  <c r="C4" i="366" s="1"/>
  <c r="L19" i="365"/>
  <c r="I1" i="382"/>
  <c r="B30" i="204"/>
  <c r="B31" i="206"/>
  <c r="G1" i="383"/>
  <c r="B30" i="205"/>
  <c r="Y28" i="269"/>
  <c r="B28" i="269"/>
  <c r="P28" i="269"/>
  <c r="B80" i="203"/>
  <c r="H1" i="383"/>
  <c r="I1" i="383" s="1"/>
  <c r="C12" i="205" a="1"/>
  <c r="C12" i="205" s="1"/>
  <c r="J6" i="383"/>
  <c r="J7" i="383"/>
  <c r="N6" i="382"/>
  <c r="N7" i="382"/>
  <c r="T29" i="205"/>
  <c r="U29" i="205"/>
  <c r="L13" i="204"/>
  <c r="J4" i="371"/>
  <c r="O13" i="365"/>
  <c r="O12" i="365"/>
  <c r="N4" i="370"/>
  <c r="M5" i="370"/>
  <c r="N5" i="370" s="1"/>
  <c r="F14" i="366"/>
  <c r="H14" i="366" s="1"/>
  <c r="N13" i="204"/>
  <c r="M12" i="205"/>
  <c r="P12" i="205" s="1"/>
  <c r="E12" i="205"/>
  <c r="D12" i="205"/>
  <c r="H13" i="205"/>
  <c r="K13" i="204"/>
  <c r="J31" i="366"/>
  <c r="K31" i="366" s="1"/>
  <c r="D31" i="366"/>
  <c r="J22" i="366"/>
  <c r="K22" i="366" s="1"/>
  <c r="D22" i="366"/>
  <c r="D21" i="366"/>
  <c r="J21" i="366"/>
  <c r="K21" i="366" s="1"/>
  <c r="D27" i="366"/>
  <c r="J27" i="366"/>
  <c r="K27" i="366" s="1"/>
  <c r="D24" i="366"/>
  <c r="J24" i="366"/>
  <c r="K24" i="366" s="1"/>
  <c r="D17" i="366"/>
  <c r="D18" i="366"/>
  <c r="J18" i="366"/>
  <c r="K18" i="366" s="1"/>
  <c r="D30" i="366"/>
  <c r="J30" i="366"/>
  <c r="K30" i="366" s="1"/>
  <c r="J25" i="366"/>
  <c r="K25" i="366" s="1"/>
  <c r="D25" i="366"/>
  <c r="D28" i="366"/>
  <c r="J28" i="366"/>
  <c r="K28" i="366" s="1"/>
  <c r="J23" i="366"/>
  <c r="K23" i="366" s="1"/>
  <c r="D23" i="366"/>
  <c r="F17" i="366"/>
  <c r="D20" i="366"/>
  <c r="J20" i="366"/>
  <c r="K20" i="366" s="1"/>
  <c r="D14" i="366"/>
  <c r="K13" i="205"/>
  <c r="F13" i="205" s="1" a="1"/>
  <c r="O13" i="204"/>
  <c r="L13" i="205"/>
  <c r="H1" i="384" a="1"/>
  <c r="E13" i="204" a="1"/>
  <c r="B10" i="367" a="1"/>
  <c r="B12" i="367" a="1"/>
  <c r="B83" i="203" a="1"/>
  <c r="B31" i="205" a="1"/>
  <c r="B31" i="204" a="1"/>
  <c r="G1" i="384" a="1"/>
  <c r="B32" i="206" a="1"/>
  <c r="B29" i="269" a="1"/>
  <c r="P29" i="269" a="1"/>
  <c r="Y29" i="269" a="1"/>
  <c r="S18" i="205" a="1"/>
  <c r="B6" i="367" a="1"/>
  <c r="B8" i="367" a="1"/>
  <c r="B9" i="367" a="1"/>
  <c r="B16" i="367" a="1"/>
  <c r="T30" i="205" a="1"/>
  <c r="F13" i="204" a="1"/>
  <c r="B7" i="367" a="1"/>
  <c r="B5" i="367" a="1"/>
  <c r="B13" i="367" a="1"/>
  <c r="U30" i="205" a="1"/>
  <c r="B15" i="367" a="1"/>
  <c r="B3" i="367" a="1"/>
  <c r="J3" i="375" a="1"/>
  <c r="N13" i="205" a="1"/>
  <c r="O13" i="205" a="1"/>
  <c r="O4" i="365" l="1"/>
  <c r="L26" i="365"/>
  <c r="N26" i="365"/>
  <c r="D4" i="366"/>
  <c r="B19" i="366"/>
  <c r="C19" i="366" s="1"/>
  <c r="Y29" i="269"/>
  <c r="P29" i="269"/>
  <c r="B29" i="269"/>
  <c r="B32" i="206"/>
  <c r="G1" i="384"/>
  <c r="B31" i="204"/>
  <c r="B31" i="205"/>
  <c r="B83" i="203"/>
  <c r="H1" i="384"/>
  <c r="G13" i="205" a="1"/>
  <c r="G13" i="205" s="1"/>
  <c r="I1" i="384"/>
  <c r="U30" i="205"/>
  <c r="T30" i="205"/>
  <c r="M7" i="383"/>
  <c r="M6" i="383"/>
  <c r="N6" i="383" s="1"/>
  <c r="J3" i="375"/>
  <c r="N3" i="374"/>
  <c r="J5" i="371"/>
  <c r="D29" i="366"/>
  <c r="E13" i="204"/>
  <c r="F13" i="204"/>
  <c r="S18" i="205"/>
  <c r="B16" i="367"/>
  <c r="C16" i="367" s="1"/>
  <c r="B12" i="367"/>
  <c r="B13" i="367"/>
  <c r="B9" i="367"/>
  <c r="C9" i="367" s="1"/>
  <c r="B3" i="367"/>
  <c r="B5" i="367"/>
  <c r="B8" i="367"/>
  <c r="C8" i="367" s="1"/>
  <c r="B10" i="367"/>
  <c r="B15" i="367"/>
  <c r="C15" i="367" s="1"/>
  <c r="B7" i="367"/>
  <c r="C7" i="367" s="1"/>
  <c r="B6" i="367"/>
  <c r="C6" i="367" s="1"/>
  <c r="F32" i="366"/>
  <c r="H32" i="366" s="1"/>
  <c r="L31" i="366"/>
  <c r="L27" i="366"/>
  <c r="L28" i="366"/>
  <c r="L24" i="366"/>
  <c r="L18" i="366"/>
  <c r="L20" i="366"/>
  <c r="L23" i="366"/>
  <c r="L25" i="366"/>
  <c r="L30" i="366"/>
  <c r="L22" i="366"/>
  <c r="L21" i="366"/>
  <c r="H17" i="366"/>
  <c r="D32" i="366"/>
  <c r="F29" i="366"/>
  <c r="O13" i="205"/>
  <c r="R13" i="205" s="1"/>
  <c r="F13" i="205"/>
  <c r="N13" i="205"/>
  <c r="J7" i="384" a="1"/>
  <c r="T31" i="205" a="1"/>
  <c r="J6" i="384" a="1"/>
  <c r="J4" i="372" a="1"/>
  <c r="P30" i="269" a="1"/>
  <c r="B33" i="206" a="1"/>
  <c r="B30" i="269" a="1"/>
  <c r="Y30" i="269" a="1"/>
  <c r="B32" i="205" a="1"/>
  <c r="B86" i="203" a="1"/>
  <c r="B32" i="204" a="1"/>
  <c r="G1" i="385" a="1"/>
  <c r="H1" i="385" a="1"/>
  <c r="C7" i="329" a="1"/>
  <c r="C6" i="329" a="1"/>
  <c r="J19" i="366" l="1"/>
  <c r="K19" i="366" s="1"/>
  <c r="D19" i="366"/>
  <c r="D11" i="366"/>
  <c r="F11" i="366"/>
  <c r="H11" i="366" s="1"/>
  <c r="P26" i="365"/>
  <c r="P11" i="365" s="1"/>
  <c r="O11" i="365"/>
  <c r="C13" i="204" s="1" a="1"/>
  <c r="C13" i="204" s="1"/>
  <c r="D13" i="204" s="1"/>
  <c r="P4" i="365"/>
  <c r="I13" i="205" s="1" a="1"/>
  <c r="I13" i="205" s="1"/>
  <c r="O5" i="365"/>
  <c r="H1" i="385"/>
  <c r="G1" i="385"/>
  <c r="B32" i="204"/>
  <c r="B86" i="203"/>
  <c r="B32" i="205"/>
  <c r="Y30" i="269"/>
  <c r="B30" i="269"/>
  <c r="B33" i="206"/>
  <c r="P30" i="269"/>
  <c r="J6" i="384"/>
  <c r="M6" i="384" s="1"/>
  <c r="J7" i="384"/>
  <c r="M7" i="384" s="1"/>
  <c r="N7" i="383"/>
  <c r="T31" i="205"/>
  <c r="C6" i="329"/>
  <c r="C7" i="329"/>
  <c r="J4" i="372"/>
  <c r="N4" i="371"/>
  <c r="M5" i="371"/>
  <c r="N5" i="371" s="1"/>
  <c r="O7" i="366"/>
  <c r="P7" i="366" s="1"/>
  <c r="N29" i="366"/>
  <c r="P29" i="366" s="1"/>
  <c r="O3" i="366"/>
  <c r="P3" i="366" s="1"/>
  <c r="O6" i="366"/>
  <c r="P6" i="366" s="1"/>
  <c r="N32" i="366"/>
  <c r="P32" i="366" s="1"/>
  <c r="P13" i="366" s="1"/>
  <c r="B23" i="367"/>
  <c r="C23" i="367" s="1"/>
  <c r="D8" i="367"/>
  <c r="L32" i="366"/>
  <c r="D7" i="367"/>
  <c r="B22" i="367"/>
  <c r="C22" i="367" s="1"/>
  <c r="B20" i="367"/>
  <c r="D5" i="367"/>
  <c r="B28" i="367"/>
  <c r="D13" i="367"/>
  <c r="B21" i="367"/>
  <c r="C21" i="367" s="1"/>
  <c r="D6" i="367"/>
  <c r="B24" i="367"/>
  <c r="D9" i="367"/>
  <c r="L29" i="366"/>
  <c r="D15" i="367"/>
  <c r="B30" i="367"/>
  <c r="C30" i="367" s="1"/>
  <c r="D3" i="367"/>
  <c r="B18" i="367"/>
  <c r="D10" i="367"/>
  <c r="B25" i="367"/>
  <c r="D12" i="367"/>
  <c r="B27" i="367"/>
  <c r="B31" i="367"/>
  <c r="C31" i="367" s="1"/>
  <c r="D16" i="367"/>
  <c r="H29" i="366"/>
  <c r="Q13" i="205"/>
  <c r="H1" i="386" a="1"/>
  <c r="U31" i="205" a="1"/>
  <c r="J3" i="376" a="1"/>
  <c r="J6" i="385" a="1"/>
  <c r="L14" i="204" a="1"/>
  <c r="K14" i="205" a="1"/>
  <c r="J7" i="385" a="1"/>
  <c r="S19" i="205" a="1"/>
  <c r="L14" i="205" a="1"/>
  <c r="K14" i="204" a="1"/>
  <c r="H14" i="205" a="1"/>
  <c r="B33" i="204" a="1"/>
  <c r="G1" i="386" a="1"/>
  <c r="Y31" i="269" a="1"/>
  <c r="B89" i="203" a="1"/>
  <c r="B33" i="205" a="1"/>
  <c r="B34" i="206" a="1"/>
  <c r="B31" i="269" a="1"/>
  <c r="P31" i="269" a="1"/>
  <c r="O14" i="204" a="1"/>
  <c r="P5" i="365" l="1"/>
  <c r="J13" i="205" s="1" a="1"/>
  <c r="J13" i="205" s="1"/>
  <c r="J13" i="204" a="1"/>
  <c r="J13" i="204" s="1"/>
  <c r="M13" i="204" a="1"/>
  <c r="M13" i="204" s="1"/>
  <c r="O14" i="365"/>
  <c r="F26" i="366"/>
  <c r="H26" i="366" s="1"/>
  <c r="D26" i="366"/>
  <c r="B4" i="367" a="1"/>
  <c r="B4" i="367" s="1"/>
  <c r="C4" i="367" s="1"/>
  <c r="L19" i="366"/>
  <c r="P31" i="269"/>
  <c r="B31" i="269"/>
  <c r="B34" i="206"/>
  <c r="B33" i="205"/>
  <c r="B89" i="203"/>
  <c r="Y31" i="269"/>
  <c r="G1" i="386"/>
  <c r="B33" i="204"/>
  <c r="H1" i="386"/>
  <c r="I1" i="385"/>
  <c r="I1" i="386"/>
  <c r="J7" i="385"/>
  <c r="M7" i="385" s="1"/>
  <c r="J6" i="385"/>
  <c r="M6" i="385" s="1"/>
  <c r="N7" i="384"/>
  <c r="N6" i="384"/>
  <c r="U31" i="205"/>
  <c r="J3" i="376"/>
  <c r="N3" i="375"/>
  <c r="J5" i="372"/>
  <c r="S19" i="205"/>
  <c r="L14" i="204"/>
  <c r="P12" i="366"/>
  <c r="O12" i="366"/>
  <c r="K14" i="204"/>
  <c r="O13" i="366"/>
  <c r="O14" i="204"/>
  <c r="H14" i="205"/>
  <c r="L14" i="205"/>
  <c r="G14" i="205" s="1" a="1"/>
  <c r="D25" i="367"/>
  <c r="J25" i="367"/>
  <c r="K25" i="367" s="1"/>
  <c r="J18" i="367"/>
  <c r="K18" i="367" s="1"/>
  <c r="D18" i="367"/>
  <c r="J21" i="367"/>
  <c r="K21" i="367" s="1"/>
  <c r="D21" i="367"/>
  <c r="D20" i="367"/>
  <c r="J20" i="367"/>
  <c r="K20" i="367" s="1"/>
  <c r="J27" i="367"/>
  <c r="K27" i="367" s="1"/>
  <c r="D27" i="367"/>
  <c r="D30" i="367"/>
  <c r="J30" i="367"/>
  <c r="K30" i="367" s="1"/>
  <c r="D24" i="367"/>
  <c r="J24" i="367"/>
  <c r="K24" i="367" s="1"/>
  <c r="D28" i="367"/>
  <c r="J28" i="367"/>
  <c r="K28" i="367" s="1"/>
  <c r="D14" i="367"/>
  <c r="F14" i="367"/>
  <c r="F17" i="367"/>
  <c r="D17" i="367"/>
  <c r="J31" i="367"/>
  <c r="K31" i="367" s="1"/>
  <c r="D31" i="367"/>
  <c r="D22" i="367"/>
  <c r="J22" i="367"/>
  <c r="K22" i="367" s="1"/>
  <c r="J23" i="367"/>
  <c r="K23" i="367" s="1"/>
  <c r="D23" i="367"/>
  <c r="K14" i="205"/>
  <c r="F14" i="205" s="1" a="1"/>
  <c r="H1" i="387" a="1"/>
  <c r="B15" i="368" a="1"/>
  <c r="B12" i="368" a="1"/>
  <c r="T32" i="205" a="1"/>
  <c r="F14" i="204" a="1"/>
  <c r="B13" i="368" a="1"/>
  <c r="B16" i="368" a="1"/>
  <c r="B5" i="368" a="1"/>
  <c r="E14" i="204" a="1"/>
  <c r="B3" i="368" a="1"/>
  <c r="O14" i="205" a="1"/>
  <c r="B35" i="206" a="1"/>
  <c r="B34" i="204" a="1"/>
  <c r="G1" i="387" a="1"/>
  <c r="B92" i="203" a="1"/>
  <c r="Y32" i="269" a="1"/>
  <c r="B32" i="269" a="1"/>
  <c r="B34" i="205" a="1"/>
  <c r="P32" i="269" a="1"/>
  <c r="J6" i="386" a="1"/>
  <c r="J4" i="373" a="1"/>
  <c r="B7" i="368" a="1"/>
  <c r="B10" i="368" a="1"/>
  <c r="B8" i="368" a="1"/>
  <c r="J7" i="386" a="1"/>
  <c r="N14" i="204" a="1"/>
  <c r="B9" i="368" a="1"/>
  <c r="B6" i="368" a="1"/>
  <c r="U32" i="205" a="1"/>
  <c r="N14" i="205" a="1"/>
  <c r="L26" i="366" l="1"/>
  <c r="O4" i="366"/>
  <c r="N26" i="366"/>
  <c r="B19" i="367"/>
  <c r="D4" i="367"/>
  <c r="C29" i="203" a="1"/>
  <c r="C29" i="203" s="1"/>
  <c r="D29" i="203" s="1"/>
  <c r="N29" i="203" s="1"/>
  <c r="O16" i="365"/>
  <c r="D13" i="205" a="1"/>
  <c r="D13" i="205" s="1"/>
  <c r="M13" i="205" a="1"/>
  <c r="M13" i="205" s="1"/>
  <c r="P13" i="205" s="1"/>
  <c r="C13" i="205" a="1"/>
  <c r="C13" i="205" s="1"/>
  <c r="E13" i="205" a="1"/>
  <c r="E13" i="205" s="1"/>
  <c r="P32" i="269"/>
  <c r="B34" i="205"/>
  <c r="B32" i="269"/>
  <c r="Y32" i="269"/>
  <c r="B92" i="203"/>
  <c r="G1" i="387"/>
  <c r="B34" i="204"/>
  <c r="B35" i="206"/>
  <c r="H1" i="387"/>
  <c r="J7" i="386"/>
  <c r="M7" i="386" s="1"/>
  <c r="J6" i="386"/>
  <c r="M6" i="386" s="1"/>
  <c r="N7" i="385"/>
  <c r="N6" i="385"/>
  <c r="T32" i="205"/>
  <c r="U32" i="205"/>
  <c r="J4" i="373"/>
  <c r="N4" i="372"/>
  <c r="M5" i="372"/>
  <c r="N5" i="372" s="1"/>
  <c r="N14" i="204"/>
  <c r="E14" i="204"/>
  <c r="F14" i="204"/>
  <c r="B8" i="368"/>
  <c r="B16" i="368"/>
  <c r="C16" i="368" s="1"/>
  <c r="B12" i="368"/>
  <c r="B6" i="368"/>
  <c r="B10" i="368"/>
  <c r="B3" i="368"/>
  <c r="B9" i="368"/>
  <c r="B7" i="368"/>
  <c r="B13" i="368"/>
  <c r="B15" i="368"/>
  <c r="C15" i="368" s="1"/>
  <c r="B5" i="368"/>
  <c r="L23" i="367"/>
  <c r="L31" i="367"/>
  <c r="L27" i="367"/>
  <c r="L21" i="367"/>
  <c r="L25" i="367"/>
  <c r="L18" i="367"/>
  <c r="L24" i="367"/>
  <c r="L22" i="367"/>
  <c r="L28" i="367"/>
  <c r="L30" i="367"/>
  <c r="L20" i="367"/>
  <c r="G14" i="205"/>
  <c r="O14" i="205"/>
  <c r="R14" i="205" s="1"/>
  <c r="F32" i="367"/>
  <c r="H32" i="367" s="1"/>
  <c r="D32" i="367"/>
  <c r="H17" i="367"/>
  <c r="H14" i="367"/>
  <c r="D29" i="367"/>
  <c r="F29" i="367"/>
  <c r="H29" i="367" s="1"/>
  <c r="F14" i="205"/>
  <c r="N14" i="205"/>
  <c r="B95" i="203" a="1"/>
  <c r="Y33" i="269" a="1"/>
  <c r="B35" i="205" a="1"/>
  <c r="B33" i="269" a="1"/>
  <c r="P33" i="269" a="1"/>
  <c r="B36" i="206" a="1"/>
  <c r="B35" i="204" a="1"/>
  <c r="J6" i="387" a="1"/>
  <c r="S20" i="205" a="1"/>
  <c r="T33" i="205" a="1"/>
  <c r="J3" i="377" a="1"/>
  <c r="U33" i="205" a="1"/>
  <c r="J7" i="387" a="1"/>
  <c r="D11" i="367" l="1"/>
  <c r="F11" i="367"/>
  <c r="H11" i="367" s="1"/>
  <c r="J19" i="367"/>
  <c r="K19" i="367" s="1"/>
  <c r="D19" i="367"/>
  <c r="P26" i="366"/>
  <c r="P11" i="366" s="1"/>
  <c r="O11" i="366"/>
  <c r="C14" i="204" s="1" a="1"/>
  <c r="C14" i="204" s="1"/>
  <c r="D14" i="204" s="1"/>
  <c r="P4" i="366"/>
  <c r="I14" i="205" s="1" a="1"/>
  <c r="I14" i="205" s="1"/>
  <c r="O5" i="366"/>
  <c r="I1" i="387"/>
  <c r="B35" i="204"/>
  <c r="B36" i="206"/>
  <c r="P33" i="269"/>
  <c r="B33" i="269"/>
  <c r="B35" i="205"/>
  <c r="Y33" i="269"/>
  <c r="B95" i="203"/>
  <c r="J6" i="387"/>
  <c r="M6" i="387" s="1"/>
  <c r="N6" i="387" s="1"/>
  <c r="J7" i="387"/>
  <c r="M7" i="387" s="1"/>
  <c r="N7" i="387" s="1"/>
  <c r="N6" i="386"/>
  <c r="N7" i="386"/>
  <c r="T33" i="205"/>
  <c r="U33" i="205"/>
  <c r="J3" i="377"/>
  <c r="N3" i="376"/>
  <c r="J5" i="373"/>
  <c r="S20" i="205"/>
  <c r="L32" i="367"/>
  <c r="O3" i="367"/>
  <c r="P3" i="367" s="1"/>
  <c r="O7" i="367"/>
  <c r="P7" i="367" s="1"/>
  <c r="N29" i="367"/>
  <c r="O12" i="367" s="1"/>
  <c r="L29" i="367"/>
  <c r="N32" i="367"/>
  <c r="P32" i="367" s="1"/>
  <c r="P13" i="367" s="1"/>
  <c r="D7" i="368"/>
  <c r="B22" i="368"/>
  <c r="C22" i="368" s="1"/>
  <c r="B23" i="368"/>
  <c r="C23" i="368" s="1"/>
  <c r="D8" i="368"/>
  <c r="O6" i="367"/>
  <c r="P6" i="367" s="1"/>
  <c r="D5" i="368"/>
  <c r="B20" i="368"/>
  <c r="C20" i="368" s="1"/>
  <c r="B24" i="368"/>
  <c r="C24" i="368" s="1"/>
  <c r="D9" i="368"/>
  <c r="B21" i="368"/>
  <c r="C21" i="368" s="1"/>
  <c r="D6" i="368"/>
  <c r="D13" i="368"/>
  <c r="B28" i="368"/>
  <c r="C28" i="368" s="1"/>
  <c r="D16" i="368"/>
  <c r="B31" i="368"/>
  <c r="C31" i="368" s="1"/>
  <c r="D10" i="368"/>
  <c r="B25" i="368"/>
  <c r="C25" i="368" s="1"/>
  <c r="D15" i="368"/>
  <c r="B30" i="368"/>
  <c r="C30" i="368" s="1"/>
  <c r="D3" i="368"/>
  <c r="B18" i="368"/>
  <c r="C18" i="368" s="1"/>
  <c r="D12" i="368"/>
  <c r="B27" i="368"/>
  <c r="C27" i="368" s="1"/>
  <c r="Q14" i="205"/>
  <c r="T34" i="205" a="1"/>
  <c r="L15" i="204" a="1"/>
  <c r="L15" i="205" a="1"/>
  <c r="T35" i="205" a="1"/>
  <c r="K15" i="204" a="1"/>
  <c r="U35" i="205" a="1"/>
  <c r="U34" i="205" a="1"/>
  <c r="O15" i="204" a="1"/>
  <c r="J4" i="374" a="1"/>
  <c r="K15" i="205" a="1"/>
  <c r="H15" i="205" a="1"/>
  <c r="E15" i="204" a="1"/>
  <c r="J14" i="204" l="1" a="1"/>
  <c r="J14" i="204" s="1"/>
  <c r="P5" i="366"/>
  <c r="J14" i="205" s="1" a="1"/>
  <c r="J14" i="205" s="1"/>
  <c r="M14" i="204" a="1"/>
  <c r="M14" i="204" s="1"/>
  <c r="O14" i="366"/>
  <c r="F26" i="367"/>
  <c r="H26" i="367" s="1"/>
  <c r="D26" i="367"/>
  <c r="B4" i="368" a="1"/>
  <c r="B4" i="368" s="1"/>
  <c r="L19" i="367"/>
  <c r="E14" i="205" a="1"/>
  <c r="C14" i="205" a="1"/>
  <c r="C14" i="205" s="1"/>
  <c r="U34" i="205"/>
  <c r="T34" i="205"/>
  <c r="U35" i="205"/>
  <c r="T35" i="205"/>
  <c r="M3" i="377"/>
  <c r="J4" i="374"/>
  <c r="M5" i="373"/>
  <c r="N5" i="373" s="1"/>
  <c r="N4" i="373"/>
  <c r="H15" i="205"/>
  <c r="L15" i="204"/>
  <c r="P29" i="367"/>
  <c r="P12" i="367" s="1"/>
  <c r="O13" i="367"/>
  <c r="E14" i="205"/>
  <c r="L15" i="205"/>
  <c r="E15" i="204"/>
  <c r="K15" i="204"/>
  <c r="F17" i="368"/>
  <c r="D17" i="368"/>
  <c r="D18" i="368"/>
  <c r="J18" i="368"/>
  <c r="K18" i="368" s="1"/>
  <c r="D25" i="368"/>
  <c r="J25" i="368"/>
  <c r="K25" i="368" s="1"/>
  <c r="J24" i="368"/>
  <c r="K24" i="368" s="1"/>
  <c r="D24" i="368"/>
  <c r="F14" i="368"/>
  <c r="D14" i="368"/>
  <c r="J21" i="368"/>
  <c r="K21" i="368" s="1"/>
  <c r="D21" i="368"/>
  <c r="D23" i="368"/>
  <c r="J23" i="368"/>
  <c r="K23" i="368" s="1"/>
  <c r="D28" i="368"/>
  <c r="J28" i="368"/>
  <c r="K28" i="368" s="1"/>
  <c r="D22" i="368"/>
  <c r="J22" i="368"/>
  <c r="K22" i="368" s="1"/>
  <c r="J27" i="368"/>
  <c r="K27" i="368" s="1"/>
  <c r="D27" i="368"/>
  <c r="J30" i="368"/>
  <c r="K30" i="368" s="1"/>
  <c r="D30" i="368"/>
  <c r="D31" i="368"/>
  <c r="J31" i="368"/>
  <c r="K31" i="368" s="1"/>
  <c r="D20" i="368"/>
  <c r="J20" i="368"/>
  <c r="K20" i="368" s="1"/>
  <c r="K15" i="205"/>
  <c r="O15" i="204"/>
  <c r="G15" i="205" a="1"/>
  <c r="F15" i="205" a="1"/>
  <c r="S21" i="205" a="1"/>
  <c r="B6" i="369" a="1"/>
  <c r="B5" i="369" a="1"/>
  <c r="B16" i="369" a="1"/>
  <c r="O15" i="205" a="1"/>
  <c r="N15" i="205" a="1"/>
  <c r="N15" i="204" a="1"/>
  <c r="B10" i="369" a="1"/>
  <c r="F15" i="204" a="1"/>
  <c r="B3" i="369" a="1"/>
  <c r="B8" i="369" a="1"/>
  <c r="B15" i="369" a="1"/>
  <c r="B12" i="369" a="1"/>
  <c r="B13" i="369" a="1"/>
  <c r="B7" i="369" a="1"/>
  <c r="B9" i="369" a="1"/>
  <c r="J3" i="378" a="1"/>
  <c r="N26" i="367" l="1"/>
  <c r="O4" i="367"/>
  <c r="L26" i="367"/>
  <c r="B19" i="368"/>
  <c r="C19" i="368" s="1"/>
  <c r="D4" i="368"/>
  <c r="C32" i="203" a="1"/>
  <c r="C32" i="203" s="1"/>
  <c r="D32" i="203" s="1"/>
  <c r="N32" i="203" s="1"/>
  <c r="O16" i="366"/>
  <c r="D14" i="205" a="1"/>
  <c r="D14" i="205" s="1"/>
  <c r="M14" i="205" a="1"/>
  <c r="M14" i="205" s="1"/>
  <c r="P14" i="205" s="1"/>
  <c r="U36" i="205"/>
  <c r="T36" i="205"/>
  <c r="J3" i="378"/>
  <c r="N3" i="377"/>
  <c r="S21" i="205"/>
  <c r="J5" i="374"/>
  <c r="N15" i="204"/>
  <c r="B15" i="369"/>
  <c r="C15" i="369" s="1"/>
  <c r="F15" i="204"/>
  <c r="B16" i="369"/>
  <c r="C16" i="369" s="1"/>
  <c r="B7" i="369"/>
  <c r="B8" i="369"/>
  <c r="B10" i="369"/>
  <c r="B5" i="369"/>
  <c r="B13" i="369"/>
  <c r="B3" i="369"/>
  <c r="B6" i="369"/>
  <c r="B12" i="369"/>
  <c r="B9" i="369"/>
  <c r="L30" i="368"/>
  <c r="L31" i="368"/>
  <c r="L22" i="368"/>
  <c r="L23" i="368"/>
  <c r="L25" i="368"/>
  <c r="L20" i="368"/>
  <c r="L28" i="368"/>
  <c r="L18" i="368"/>
  <c r="L21" i="368"/>
  <c r="L27" i="368"/>
  <c r="O6" i="368" s="1"/>
  <c r="L24" i="368"/>
  <c r="G15" i="205"/>
  <c r="O15" i="205"/>
  <c r="R15" i="205" s="1"/>
  <c r="F32" i="368"/>
  <c r="H32" i="368" s="1"/>
  <c r="D32" i="368"/>
  <c r="H17" i="368"/>
  <c r="F29" i="368"/>
  <c r="H29" i="368" s="1"/>
  <c r="D29" i="368"/>
  <c r="H14" i="368"/>
  <c r="N15" i="205"/>
  <c r="F15" i="205"/>
  <c r="J4" i="375" a="1"/>
  <c r="K16" i="204" a="1"/>
  <c r="D11" i="368" l="1"/>
  <c r="F11" i="368"/>
  <c r="H11" i="368" s="1"/>
  <c r="J19" i="368"/>
  <c r="K19" i="368" s="1"/>
  <c r="D19" i="368"/>
  <c r="P4" i="367"/>
  <c r="I15" i="205" s="1" a="1"/>
  <c r="I15" i="205" s="1"/>
  <c r="O5" i="367"/>
  <c r="O11" i="367"/>
  <c r="C15" i="204" s="1" a="1"/>
  <c r="C15" i="204" s="1"/>
  <c r="D15" i="204" s="1"/>
  <c r="P26" i="367"/>
  <c r="P11" i="367" s="1"/>
  <c r="L32" i="368"/>
  <c r="M3" i="378"/>
  <c r="J4" i="375"/>
  <c r="O7" i="368"/>
  <c r="N4" i="374"/>
  <c r="M5" i="374"/>
  <c r="N5" i="374" s="1"/>
  <c r="O3" i="368"/>
  <c r="B24" i="369"/>
  <c r="C24" i="369" s="1"/>
  <c r="D9" i="369"/>
  <c r="B30" i="369"/>
  <c r="C30" i="369" s="1"/>
  <c r="D15" i="369"/>
  <c r="B28" i="369"/>
  <c r="C28" i="369" s="1"/>
  <c r="D13" i="369"/>
  <c r="N29" i="368"/>
  <c r="P29" i="368" s="1"/>
  <c r="P12" i="368" s="1"/>
  <c r="N32" i="368"/>
  <c r="P32" i="368" s="1"/>
  <c r="P13" i="368" s="1"/>
  <c r="D6" i="369"/>
  <c r="B21" i="369"/>
  <c r="C21" i="369" s="1"/>
  <c r="B20" i="369"/>
  <c r="C20" i="369" s="1"/>
  <c r="D5" i="369"/>
  <c r="B31" i="369"/>
  <c r="C31" i="369" s="1"/>
  <c r="D16" i="369"/>
  <c r="D3" i="369"/>
  <c r="B18" i="369"/>
  <c r="C18" i="369" s="1"/>
  <c r="D8" i="369"/>
  <c r="B23" i="369"/>
  <c r="C23" i="369" s="1"/>
  <c r="L29" i="368"/>
  <c r="B27" i="369"/>
  <c r="C27" i="369" s="1"/>
  <c r="D12" i="369"/>
  <c r="B22" i="369"/>
  <c r="C22" i="369" s="1"/>
  <c r="D7" i="369"/>
  <c r="D10" i="369"/>
  <c r="B25" i="369"/>
  <c r="C25" i="369" s="1"/>
  <c r="K16" i="204"/>
  <c r="P6" i="368"/>
  <c r="Q15" i="205"/>
  <c r="L16" i="204" a="1"/>
  <c r="S22" i="205" a="1"/>
  <c r="O16" i="204" a="1"/>
  <c r="J3" i="379" a="1"/>
  <c r="K16" i="205" a="1"/>
  <c r="N16" i="204" a="1"/>
  <c r="M15" i="204" l="1" a="1"/>
  <c r="M15" i="204" s="1"/>
  <c r="O14" i="367"/>
  <c r="J15" i="204" a="1"/>
  <c r="J15" i="204" s="1"/>
  <c r="P5" i="367"/>
  <c r="J15" i="205" s="1" a="1"/>
  <c r="J15" i="205" s="1"/>
  <c r="F26" i="368"/>
  <c r="H26" i="368" s="1"/>
  <c r="D26" i="368"/>
  <c r="B4" i="369" a="1"/>
  <c r="B4" i="369" s="1"/>
  <c r="L19" i="368"/>
  <c r="D15" i="205" a="1"/>
  <c r="C15" i="205" a="1"/>
  <c r="J3" i="379"/>
  <c r="M3" i="379" s="1"/>
  <c r="N3" i="378"/>
  <c r="L16" i="204"/>
  <c r="J5" i="375"/>
  <c r="P7" i="368"/>
  <c r="S22" i="205"/>
  <c r="O12" i="368"/>
  <c r="P3" i="368"/>
  <c r="O13" i="368"/>
  <c r="J23" i="369"/>
  <c r="K23" i="369" s="1"/>
  <c r="D23" i="369"/>
  <c r="F14" i="369"/>
  <c r="D14" i="369"/>
  <c r="D28" i="369"/>
  <c r="J28" i="369"/>
  <c r="K28" i="369" s="1"/>
  <c r="D25" i="369"/>
  <c r="J25" i="369"/>
  <c r="K25" i="369" s="1"/>
  <c r="D27" i="369"/>
  <c r="J27" i="369"/>
  <c r="K27" i="369" s="1"/>
  <c r="D18" i="369"/>
  <c r="J18" i="369"/>
  <c r="K18" i="369" s="1"/>
  <c r="D24" i="369"/>
  <c r="J24" i="369"/>
  <c r="K24" i="369" s="1"/>
  <c r="J22" i="369"/>
  <c r="K22" i="369" s="1"/>
  <c r="D22" i="369"/>
  <c r="J21" i="369"/>
  <c r="K21" i="369" s="1"/>
  <c r="D21" i="369"/>
  <c r="J30" i="369"/>
  <c r="K30" i="369" s="1"/>
  <c r="D30" i="369"/>
  <c r="J31" i="369"/>
  <c r="K31" i="369" s="1"/>
  <c r="D31" i="369"/>
  <c r="D20" i="369"/>
  <c r="J20" i="369"/>
  <c r="K20" i="369" s="1"/>
  <c r="D17" i="369"/>
  <c r="F17" i="369"/>
  <c r="O16" i="204"/>
  <c r="C15" i="205"/>
  <c r="D15" i="205"/>
  <c r="K16" i="205"/>
  <c r="N16" i="204"/>
  <c r="F16" i="205" a="1"/>
  <c r="J4" i="376" a="1"/>
  <c r="F16" i="204" a="1"/>
  <c r="B5" i="370" a="1"/>
  <c r="H16" i="205" a="1"/>
  <c r="B3" i="370" a="1"/>
  <c r="L16" i="205" a="1"/>
  <c r="B8" i="370" a="1"/>
  <c r="B6" i="370" a="1"/>
  <c r="B13" i="370" a="1"/>
  <c r="B10" i="370" a="1"/>
  <c r="E16" i="204" a="1"/>
  <c r="B15" i="370" a="1"/>
  <c r="N16" i="205" a="1"/>
  <c r="B7" i="370" a="1"/>
  <c r="B16" i="370" a="1"/>
  <c r="B12" i="370" a="1"/>
  <c r="J3" i="380" a="1"/>
  <c r="B9" i="370" a="1"/>
  <c r="N26" i="368" l="1"/>
  <c r="O4" i="368"/>
  <c r="L26" i="368"/>
  <c r="D4" i="369"/>
  <c r="B19" i="369"/>
  <c r="C19" i="369" s="1"/>
  <c r="E15" i="205" a="1"/>
  <c r="E15" i="205" s="1"/>
  <c r="M15" i="205" a="1"/>
  <c r="M15" i="205" s="1"/>
  <c r="P15" i="205" s="1"/>
  <c r="C35" i="203" a="1"/>
  <c r="C35" i="203" s="1"/>
  <c r="D35" i="203" s="1"/>
  <c r="N35" i="203" s="1"/>
  <c r="O16" i="367"/>
  <c r="J3" i="380"/>
  <c r="N3" i="379"/>
  <c r="J4" i="376"/>
  <c r="L16" i="205"/>
  <c r="N4" i="375"/>
  <c r="M5" i="375"/>
  <c r="N5" i="375" s="1"/>
  <c r="E16" i="204"/>
  <c r="B10" i="370"/>
  <c r="H16" i="205"/>
  <c r="B9" i="370"/>
  <c r="C9" i="370" s="1"/>
  <c r="B12" i="370"/>
  <c r="B13" i="370"/>
  <c r="B3" i="370"/>
  <c r="B16" i="370"/>
  <c r="C16" i="370" s="1"/>
  <c r="B6" i="370"/>
  <c r="B5" i="370"/>
  <c r="B15" i="370"/>
  <c r="C15" i="370" s="1"/>
  <c r="B7" i="370"/>
  <c r="C7" i="370" s="1"/>
  <c r="B8" i="370"/>
  <c r="C8" i="370" s="1"/>
  <c r="F16" i="204"/>
  <c r="L25" i="369"/>
  <c r="L24" i="369"/>
  <c r="L27" i="369"/>
  <c r="L28" i="369"/>
  <c r="L18" i="369"/>
  <c r="L31" i="369"/>
  <c r="L21" i="369"/>
  <c r="L20" i="369"/>
  <c r="L30" i="369"/>
  <c r="L22" i="369"/>
  <c r="L23" i="369"/>
  <c r="H14" i="369"/>
  <c r="H17" i="369"/>
  <c r="D29" i="369"/>
  <c r="F29" i="369"/>
  <c r="H29" i="369" s="1"/>
  <c r="D32" i="369"/>
  <c r="F32" i="369"/>
  <c r="H32" i="369" s="1"/>
  <c r="N16" i="205"/>
  <c r="F16" i="205"/>
  <c r="G16" i="205" a="1"/>
  <c r="S23" i="205" a="1"/>
  <c r="O16" i="205" a="1"/>
  <c r="D19" i="369" l="1"/>
  <c r="J19" i="369"/>
  <c r="K19" i="369" s="1"/>
  <c r="F11" i="369"/>
  <c r="H11" i="369" s="1"/>
  <c r="D11" i="369"/>
  <c r="P4" i="368"/>
  <c r="I16" i="205" s="1" a="1"/>
  <c r="I16" i="205" s="1"/>
  <c r="O5" i="368"/>
  <c r="P26" i="368"/>
  <c r="P11" i="368" s="1"/>
  <c r="O11" i="368"/>
  <c r="C16" i="204" s="1" a="1"/>
  <c r="C16" i="204" s="1"/>
  <c r="D16" i="204" s="1"/>
  <c r="N32" i="369"/>
  <c r="P32" i="369" s="1"/>
  <c r="P13" i="369" s="1"/>
  <c r="M3" i="380"/>
  <c r="J5" i="376"/>
  <c r="S23" i="205"/>
  <c r="O16" i="205"/>
  <c r="R16" i="205" s="1"/>
  <c r="G16" i="205"/>
  <c r="O7" i="369"/>
  <c r="P7" i="369" s="1"/>
  <c r="O6" i="369"/>
  <c r="P6" i="369" s="1"/>
  <c r="O3" i="369"/>
  <c r="P3" i="369" s="1"/>
  <c r="B20" i="370"/>
  <c r="D5" i="370"/>
  <c r="L29" i="369"/>
  <c r="B23" i="370"/>
  <c r="D8" i="370"/>
  <c r="B21" i="370"/>
  <c r="D6" i="370"/>
  <c r="B25" i="370"/>
  <c r="D10" i="370"/>
  <c r="N29" i="369"/>
  <c r="P29" i="369" s="1"/>
  <c r="P12" i="369" s="1"/>
  <c r="B22" i="370"/>
  <c r="D7" i="370"/>
  <c r="B31" i="370"/>
  <c r="C31" i="370" s="1"/>
  <c r="D16" i="370"/>
  <c r="B27" i="370"/>
  <c r="C27" i="370" s="1"/>
  <c r="D12" i="370"/>
  <c r="B28" i="370"/>
  <c r="C28" i="370" s="1"/>
  <c r="D13" i="370"/>
  <c r="L32" i="369"/>
  <c r="B30" i="370"/>
  <c r="C30" i="370" s="1"/>
  <c r="D15" i="370"/>
  <c r="D3" i="370"/>
  <c r="B18" i="370"/>
  <c r="D9" i="370"/>
  <c r="B24" i="370"/>
  <c r="Q16" i="205"/>
  <c r="L17" i="204" a="1"/>
  <c r="L17" i="205" a="1"/>
  <c r="J4" i="377" a="1"/>
  <c r="K17" i="204" a="1"/>
  <c r="J3" i="381" a="1"/>
  <c r="K17" i="205" a="1"/>
  <c r="O17" i="204" a="1"/>
  <c r="H17" i="205" a="1"/>
  <c r="N17" i="204" a="1"/>
  <c r="M16" i="204" l="1" a="1"/>
  <c r="M16" i="204" s="1"/>
  <c r="O14" i="368"/>
  <c r="J16" i="204" a="1"/>
  <c r="J16" i="204" s="1"/>
  <c r="P5" i="368"/>
  <c r="J16" i="205" s="1" a="1"/>
  <c r="J16" i="205" s="1"/>
  <c r="B4" i="370" a="1"/>
  <c r="B4" i="370" s="1"/>
  <c r="C4" i="370" s="1"/>
  <c r="L19" i="369"/>
  <c r="F26" i="369"/>
  <c r="H26" i="369" s="1"/>
  <c r="D26" i="369"/>
  <c r="C16" i="205" a="1"/>
  <c r="O13" i="369"/>
  <c r="J3" i="381"/>
  <c r="N3" i="380"/>
  <c r="J4" i="377"/>
  <c r="N4" i="376"/>
  <c r="M5" i="376"/>
  <c r="N5" i="376" s="1"/>
  <c r="C16" i="205"/>
  <c r="L17" i="204"/>
  <c r="K17" i="204"/>
  <c r="O12" i="369"/>
  <c r="L17" i="205"/>
  <c r="H17" i="205"/>
  <c r="K17" i="205"/>
  <c r="D30" i="370"/>
  <c r="J30" i="370"/>
  <c r="K30" i="370" s="1"/>
  <c r="J31" i="370"/>
  <c r="K31" i="370" s="1"/>
  <c r="D31" i="370"/>
  <c r="J18" i="370"/>
  <c r="K18" i="370" s="1"/>
  <c r="D18" i="370"/>
  <c r="D14" i="370"/>
  <c r="F14" i="370"/>
  <c r="J27" i="370"/>
  <c r="K27" i="370" s="1"/>
  <c r="D27" i="370"/>
  <c r="J22" i="370"/>
  <c r="K22" i="370" s="1"/>
  <c r="D22" i="370"/>
  <c r="J25" i="370"/>
  <c r="K25" i="370" s="1"/>
  <c r="D25" i="370"/>
  <c r="D23" i="370"/>
  <c r="J23" i="370"/>
  <c r="K23" i="370" s="1"/>
  <c r="J28" i="370"/>
  <c r="K28" i="370" s="1"/>
  <c r="D28" i="370"/>
  <c r="D21" i="370"/>
  <c r="J21" i="370"/>
  <c r="K21" i="370" s="1"/>
  <c r="D24" i="370"/>
  <c r="J24" i="370"/>
  <c r="K24" i="370" s="1"/>
  <c r="F17" i="370"/>
  <c r="D17" i="370"/>
  <c r="J20" i="370"/>
  <c r="K20" i="370" s="1"/>
  <c r="D20" i="370"/>
  <c r="N17" i="204"/>
  <c r="O17" i="204"/>
  <c r="F17" i="205" a="1"/>
  <c r="E17" i="204" a="1"/>
  <c r="B6" i="371" a="1"/>
  <c r="B10" i="371" a="1"/>
  <c r="S24" i="205" a="1"/>
  <c r="N17" i="205" a="1"/>
  <c r="B16" i="371" a="1"/>
  <c r="B7" i="371" a="1"/>
  <c r="B12" i="371" a="1"/>
  <c r="B15" i="371" a="1"/>
  <c r="B8" i="371" a="1"/>
  <c r="F17" i="204" a="1"/>
  <c r="B9" i="371" a="1"/>
  <c r="B13" i="371" a="1"/>
  <c r="B3" i="371" a="1"/>
  <c r="B5" i="371" a="1"/>
  <c r="O17" i="205" a="1"/>
  <c r="N26" i="369" l="1"/>
  <c r="L26" i="369"/>
  <c r="O4" i="369"/>
  <c r="B19" i="370"/>
  <c r="D4" i="370"/>
  <c r="E16" i="205" a="1"/>
  <c r="E16" i="205" s="1"/>
  <c r="D16" i="205" a="1"/>
  <c r="D16" i="205" s="1"/>
  <c r="M16" i="205" a="1"/>
  <c r="M16" i="205" s="1"/>
  <c r="P16" i="205" s="1"/>
  <c r="C38" i="203" a="1"/>
  <c r="C38" i="203" s="1"/>
  <c r="D38" i="203" s="1"/>
  <c r="N38" i="203" s="1"/>
  <c r="O16" i="368"/>
  <c r="G17" i="205" a="1"/>
  <c r="F17" i="204"/>
  <c r="M3" i="381"/>
  <c r="M4" i="377"/>
  <c r="J5" i="377"/>
  <c r="S24" i="205"/>
  <c r="B12" i="371"/>
  <c r="B6" i="371"/>
  <c r="B8" i="371"/>
  <c r="B3" i="371"/>
  <c r="B7" i="371"/>
  <c r="B5" i="371"/>
  <c r="B13" i="371"/>
  <c r="B10" i="371"/>
  <c r="B15" i="371"/>
  <c r="C15" i="371" s="1"/>
  <c r="B9" i="371"/>
  <c r="B16" i="371"/>
  <c r="C16" i="371" s="1"/>
  <c r="E17" i="204"/>
  <c r="L27" i="370"/>
  <c r="L21" i="370"/>
  <c r="L23" i="370"/>
  <c r="L18" i="370"/>
  <c r="L22" i="370"/>
  <c r="L20" i="370"/>
  <c r="L28" i="370"/>
  <c r="L25" i="370"/>
  <c r="L30" i="370"/>
  <c r="L24" i="370"/>
  <c r="L31" i="370"/>
  <c r="G17" i="205"/>
  <c r="O17" i="205"/>
  <c r="R17" i="205" s="1"/>
  <c r="N17" i="205"/>
  <c r="Q17" i="205" s="1"/>
  <c r="F17" i="205"/>
  <c r="H14" i="370"/>
  <c r="F32" i="370"/>
  <c r="H32" i="370" s="1"/>
  <c r="D32" i="370"/>
  <c r="D29" i="370"/>
  <c r="F29" i="370"/>
  <c r="H29" i="370" s="1"/>
  <c r="H17" i="370"/>
  <c r="J3" i="382" a="1"/>
  <c r="J4" i="378" a="1"/>
  <c r="D11" i="370" l="1"/>
  <c r="F11" i="370"/>
  <c r="H11" i="370" s="1"/>
  <c r="D19" i="370"/>
  <c r="J19" i="370"/>
  <c r="K19" i="370" s="1"/>
  <c r="P4" i="369"/>
  <c r="I17" i="205" s="1" a="1"/>
  <c r="I17" i="205" s="1"/>
  <c r="O5" i="369"/>
  <c r="P26" i="369"/>
  <c r="P11" i="369" s="1"/>
  <c r="O11" i="369"/>
  <c r="C17" i="204" s="1" a="1"/>
  <c r="C17" i="204" s="1"/>
  <c r="D17" i="204" s="1"/>
  <c r="J3" i="382"/>
  <c r="N3" i="381"/>
  <c r="J4" i="378"/>
  <c r="N4" i="377"/>
  <c r="M5" i="377"/>
  <c r="N5" i="377" s="1"/>
  <c r="N29" i="370"/>
  <c r="P29" i="370" s="1"/>
  <c r="P12" i="370" s="1"/>
  <c r="N32" i="370"/>
  <c r="P32" i="370" s="1"/>
  <c r="P13" i="370" s="1"/>
  <c r="O3" i="370"/>
  <c r="P3" i="370" s="1"/>
  <c r="L32" i="370"/>
  <c r="O7" i="370"/>
  <c r="P7" i="370" s="1"/>
  <c r="O6" i="370"/>
  <c r="L29" i="370"/>
  <c r="B24" i="371"/>
  <c r="C24" i="371" s="1"/>
  <c r="D9" i="371"/>
  <c r="D13" i="371"/>
  <c r="B28" i="371"/>
  <c r="C28" i="371" s="1"/>
  <c r="B18" i="371"/>
  <c r="C18" i="371" s="1"/>
  <c r="D3" i="371"/>
  <c r="D15" i="371"/>
  <c r="B30" i="371"/>
  <c r="C30" i="371" s="1"/>
  <c r="D5" i="371"/>
  <c r="B20" i="371"/>
  <c r="C20" i="371" s="1"/>
  <c r="D8" i="371"/>
  <c r="B23" i="371"/>
  <c r="C23" i="371" s="1"/>
  <c r="B21" i="371"/>
  <c r="C21" i="371" s="1"/>
  <c r="D6" i="371"/>
  <c r="D16" i="371"/>
  <c r="F17" i="371" s="1"/>
  <c r="B31" i="371"/>
  <c r="C31" i="371" s="1"/>
  <c r="B25" i="371"/>
  <c r="C25" i="371" s="1"/>
  <c r="D10" i="371"/>
  <c r="B22" i="371"/>
  <c r="C22" i="371" s="1"/>
  <c r="D7" i="371"/>
  <c r="D12" i="371"/>
  <c r="B27" i="371"/>
  <c r="C27" i="371" s="1"/>
  <c r="S25" i="205" a="1"/>
  <c r="O18" i="204" a="1"/>
  <c r="K18" i="204" a="1"/>
  <c r="L18" i="204" a="1"/>
  <c r="H18" i="205" a="1"/>
  <c r="L18" i="205" a="1"/>
  <c r="N18" i="204" a="1"/>
  <c r="M17" i="204" l="1" a="1"/>
  <c r="M17" i="204" s="1"/>
  <c r="O14" i="369"/>
  <c r="J17" i="204" a="1"/>
  <c r="J17" i="204" s="1"/>
  <c r="P5" i="369"/>
  <c r="J17" i="205" s="1" a="1"/>
  <c r="J17" i="205" s="1"/>
  <c r="B4" i="371" a="1"/>
  <c r="B4" i="371" s="1"/>
  <c r="L19" i="370"/>
  <c r="D26" i="370"/>
  <c r="F26" i="370"/>
  <c r="H26" i="370" s="1"/>
  <c r="D17" i="205" a="1"/>
  <c r="D17" i="205" s="1"/>
  <c r="E17" i="205" a="1"/>
  <c r="E17" i="205" s="1"/>
  <c r="M3" i="382"/>
  <c r="O12" i="370"/>
  <c r="M4" i="378"/>
  <c r="J5" i="378"/>
  <c r="S25" i="205"/>
  <c r="O13" i="370"/>
  <c r="H18" i="205"/>
  <c r="L18" i="204"/>
  <c r="K18" i="204"/>
  <c r="P6" i="370"/>
  <c r="J25" i="371"/>
  <c r="K25" i="371" s="1"/>
  <c r="D25" i="371"/>
  <c r="J21" i="371"/>
  <c r="K21" i="371" s="1"/>
  <c r="D21" i="371"/>
  <c r="J24" i="371"/>
  <c r="K24" i="371" s="1"/>
  <c r="D24" i="371"/>
  <c r="J22" i="371"/>
  <c r="K22" i="371" s="1"/>
  <c r="D22" i="371"/>
  <c r="H17" i="371"/>
  <c r="D17" i="371"/>
  <c r="J27" i="371"/>
  <c r="K27" i="371" s="1"/>
  <c r="D27" i="371"/>
  <c r="D20" i="371"/>
  <c r="J20" i="371"/>
  <c r="K20" i="371" s="1"/>
  <c r="F14" i="371"/>
  <c r="D14" i="371"/>
  <c r="J18" i="371"/>
  <c r="K18" i="371" s="1"/>
  <c r="D18" i="371"/>
  <c r="D31" i="371"/>
  <c r="J31" i="371"/>
  <c r="K31" i="371" s="1"/>
  <c r="J23" i="371"/>
  <c r="K23" i="371" s="1"/>
  <c r="D23" i="371"/>
  <c r="D30" i="371"/>
  <c r="J30" i="371"/>
  <c r="K30" i="371" s="1"/>
  <c r="D28" i="371"/>
  <c r="J28" i="371"/>
  <c r="K28" i="371" s="1"/>
  <c r="O18" i="204"/>
  <c r="N18" i="204"/>
  <c r="L18" i="205"/>
  <c r="E18" i="204" a="1"/>
  <c r="B13" i="372" a="1"/>
  <c r="B15" i="372" a="1"/>
  <c r="B6" i="372" a="1"/>
  <c r="B7" i="372" a="1"/>
  <c r="B10" i="372" a="1"/>
  <c r="B5" i="372" a="1"/>
  <c r="B12" i="372" a="1"/>
  <c r="B3" i="372" a="1"/>
  <c r="K18" i="205" a="1"/>
  <c r="B8" i="372" a="1"/>
  <c r="J4" i="379" a="1"/>
  <c r="J3" i="383" a="1"/>
  <c r="F18" i="204" a="1"/>
  <c r="B9" i="372" a="1"/>
  <c r="B16" i="372" a="1"/>
  <c r="O18" i="205" a="1"/>
  <c r="N26" i="370" l="1"/>
  <c r="O4" i="370"/>
  <c r="L26" i="370"/>
  <c r="D4" i="371"/>
  <c r="B19" i="371"/>
  <c r="C19" i="371" s="1"/>
  <c r="C17" i="205" a="1"/>
  <c r="C17" i="205" s="1"/>
  <c r="M17" i="205" a="1"/>
  <c r="M17" i="205" s="1"/>
  <c r="P17" i="205" s="1"/>
  <c r="C41" i="203" a="1"/>
  <c r="C41" i="203" s="1"/>
  <c r="D41" i="203" s="1"/>
  <c r="N41" i="203" s="1"/>
  <c r="O16" i="369"/>
  <c r="F32" i="371"/>
  <c r="H32" i="371" s="1"/>
  <c r="G18" i="205" a="1"/>
  <c r="G18" i="205" s="1"/>
  <c r="J3" i="383"/>
  <c r="N3" i="382"/>
  <c r="E18" i="204"/>
  <c r="J4" i="379"/>
  <c r="N4" i="378"/>
  <c r="M5" i="378"/>
  <c r="N5" i="378" s="1"/>
  <c r="F18" i="204"/>
  <c r="K18" i="205"/>
  <c r="B6" i="372"/>
  <c r="B8" i="372"/>
  <c r="B3" i="372"/>
  <c r="B5" i="372"/>
  <c r="B15" i="372"/>
  <c r="C15" i="372" s="1"/>
  <c r="B16" i="372"/>
  <c r="C16" i="372" s="1"/>
  <c r="B9" i="372"/>
  <c r="B10" i="372"/>
  <c r="B13" i="372"/>
  <c r="B12" i="372"/>
  <c r="B7" i="372"/>
  <c r="L21" i="371"/>
  <c r="L23" i="371"/>
  <c r="L18" i="371"/>
  <c r="L20" i="371"/>
  <c r="L30" i="371"/>
  <c r="L31" i="371"/>
  <c r="L24" i="371"/>
  <c r="L25" i="371"/>
  <c r="L28" i="371"/>
  <c r="L27" i="371"/>
  <c r="L22" i="371"/>
  <c r="D32" i="371"/>
  <c r="H14" i="371"/>
  <c r="F29" i="371"/>
  <c r="H29" i="371" s="1"/>
  <c r="D29" i="371"/>
  <c r="O18" i="205"/>
  <c r="R18" i="205" s="1"/>
  <c r="F18" i="205" a="1"/>
  <c r="N18" i="205" a="1"/>
  <c r="S26" i="205" a="1"/>
  <c r="D19" i="371" l="1"/>
  <c r="J19" i="371"/>
  <c r="K19" i="371" s="1"/>
  <c r="F11" i="371"/>
  <c r="H11" i="371" s="1"/>
  <c r="D11" i="371"/>
  <c r="P4" i="370"/>
  <c r="I18" i="205" s="1" a="1"/>
  <c r="I18" i="205" s="1"/>
  <c r="O5" i="370"/>
  <c r="P26" i="370"/>
  <c r="P11" i="370" s="1"/>
  <c r="O11" i="370"/>
  <c r="C18" i="204" s="1" a="1"/>
  <c r="C18" i="204" s="1"/>
  <c r="D18" i="204" s="1"/>
  <c r="M3" i="383"/>
  <c r="O6" i="371"/>
  <c r="P6" i="371" s="1"/>
  <c r="N32" i="371"/>
  <c r="P32" i="371" s="1"/>
  <c r="P13" i="371" s="1"/>
  <c r="J5" i="379"/>
  <c r="M4" i="379"/>
  <c r="S26" i="205"/>
  <c r="N18" i="205"/>
  <c r="Q18" i="205" s="1"/>
  <c r="F18" i="205"/>
  <c r="L32" i="371"/>
  <c r="O7" i="371"/>
  <c r="P7" i="371" s="1"/>
  <c r="O3" i="371"/>
  <c r="P3" i="371" s="1"/>
  <c r="L29" i="371"/>
  <c r="B22" i="372"/>
  <c r="C22" i="372" s="1"/>
  <c r="D7" i="372"/>
  <c r="D10" i="372"/>
  <c r="B25" i="372"/>
  <c r="C25" i="372" s="1"/>
  <c r="D5" i="372"/>
  <c r="B20" i="372"/>
  <c r="C20" i="372" s="1"/>
  <c r="B23" i="372"/>
  <c r="C23" i="372" s="1"/>
  <c r="D8" i="372"/>
  <c r="N29" i="371"/>
  <c r="P29" i="371" s="1"/>
  <c r="B27" i="372"/>
  <c r="C27" i="372" s="1"/>
  <c r="D12" i="372"/>
  <c r="B24" i="372"/>
  <c r="C24" i="372" s="1"/>
  <c r="D9" i="372"/>
  <c r="B18" i="372"/>
  <c r="C18" i="372" s="1"/>
  <c r="D3" i="372"/>
  <c r="B31" i="372"/>
  <c r="C31" i="372" s="1"/>
  <c r="D16" i="372"/>
  <c r="D13" i="372"/>
  <c r="B28" i="372"/>
  <c r="C28" i="372" s="1"/>
  <c r="D15" i="372"/>
  <c r="B30" i="372"/>
  <c r="C30" i="372" s="1"/>
  <c r="D6" i="372"/>
  <c r="B21" i="372"/>
  <c r="C21" i="372" s="1"/>
  <c r="P12" i="371"/>
  <c r="J4" i="380" a="1"/>
  <c r="K19" i="205" a="1"/>
  <c r="H19" i="205" a="1"/>
  <c r="L19" i="204" a="1"/>
  <c r="L19" i="205" a="1"/>
  <c r="K19" i="204" a="1"/>
  <c r="N19" i="204" a="1"/>
  <c r="J3" i="384" a="1"/>
  <c r="C3" i="329" a="1"/>
  <c r="O19" i="204" a="1"/>
  <c r="M18" i="204" l="1" a="1"/>
  <c r="M18" i="204" s="1"/>
  <c r="O14" i="370"/>
  <c r="J18" i="204" a="1"/>
  <c r="J18" i="204" s="1"/>
  <c r="P5" i="370"/>
  <c r="J18" i="205" s="1" a="1"/>
  <c r="J18" i="205" s="1"/>
  <c r="B4" i="372" a="1"/>
  <c r="B4" i="372" s="1"/>
  <c r="L19" i="371"/>
  <c r="D26" i="371"/>
  <c r="F26" i="371"/>
  <c r="H26" i="371" s="1"/>
  <c r="E18" i="205" a="1"/>
  <c r="D18" i="205" a="1"/>
  <c r="D18" i="205" s="1"/>
  <c r="J3" i="384"/>
  <c r="M3" i="384" s="1"/>
  <c r="C3" i="329"/>
  <c r="O13" i="371"/>
  <c r="N3" i="383"/>
  <c r="K19" i="204"/>
  <c r="J4" i="380"/>
  <c r="N4" i="379"/>
  <c r="M5" i="379"/>
  <c r="N5" i="379" s="1"/>
  <c r="O19" i="204"/>
  <c r="L19" i="204"/>
  <c r="H19" i="205"/>
  <c r="K19" i="205"/>
  <c r="F19" i="205" s="1" a="1"/>
  <c r="E18" i="205"/>
  <c r="D28" i="372"/>
  <c r="J28" i="372"/>
  <c r="K28" i="372" s="1"/>
  <c r="J30" i="372"/>
  <c r="K30" i="372" s="1"/>
  <c r="D30" i="372"/>
  <c r="D18" i="372"/>
  <c r="J18" i="372"/>
  <c r="K18" i="372" s="1"/>
  <c r="J27" i="372"/>
  <c r="K27" i="372" s="1"/>
  <c r="D27" i="372"/>
  <c r="D20" i="372"/>
  <c r="J20" i="372"/>
  <c r="K20" i="372" s="1"/>
  <c r="D17" i="372"/>
  <c r="F17" i="372"/>
  <c r="D22" i="372"/>
  <c r="J22" i="372"/>
  <c r="K22" i="372" s="1"/>
  <c r="D21" i="372"/>
  <c r="J21" i="372"/>
  <c r="K21" i="372" s="1"/>
  <c r="J31" i="372"/>
  <c r="K31" i="372" s="1"/>
  <c r="D31" i="372"/>
  <c r="J24" i="372"/>
  <c r="K24" i="372" s="1"/>
  <c r="D24" i="372"/>
  <c r="J25" i="372"/>
  <c r="K25" i="372" s="1"/>
  <c r="D25" i="372"/>
  <c r="O12" i="371"/>
  <c r="F14" i="372"/>
  <c r="D14" i="372"/>
  <c r="J23" i="372"/>
  <c r="K23" i="372" s="1"/>
  <c r="D23" i="372"/>
  <c r="N19" i="204"/>
  <c r="L19" i="205"/>
  <c r="G19" i="205" s="1" a="1"/>
  <c r="J3" i="385" a="1"/>
  <c r="B15" i="373" a="1"/>
  <c r="B7" i="373" a="1"/>
  <c r="B13" i="373" a="1"/>
  <c r="B10" i="373" a="1"/>
  <c r="B6" i="373" a="1"/>
  <c r="F19" i="204" a="1"/>
  <c r="B12" i="373" a="1"/>
  <c r="B8" i="373" a="1"/>
  <c r="B3" i="373" a="1"/>
  <c r="E19" i="204" a="1"/>
  <c r="S27" i="205" a="1"/>
  <c r="B16" i="373" a="1"/>
  <c r="B5" i="373" a="1"/>
  <c r="O19" i="205" a="1"/>
  <c r="B9" i="373" a="1"/>
  <c r="O4" i="371" l="1"/>
  <c r="L26" i="371"/>
  <c r="N26" i="371"/>
  <c r="D4" i="372"/>
  <c r="B19" i="372"/>
  <c r="C19" i="372" s="1"/>
  <c r="C18" i="205" a="1"/>
  <c r="C18" i="205" s="1"/>
  <c r="M18" i="205" a="1"/>
  <c r="M18" i="205" s="1"/>
  <c r="P18" i="205" s="1"/>
  <c r="C44" i="203" a="1"/>
  <c r="C44" i="203" s="1"/>
  <c r="D44" i="203" s="1"/>
  <c r="N44" i="203" s="1"/>
  <c r="O16" i="370"/>
  <c r="J3" i="385"/>
  <c r="N3" i="384"/>
  <c r="F19" i="204"/>
  <c r="M4" i="380"/>
  <c r="N4" i="380" s="1"/>
  <c r="J5" i="380"/>
  <c r="S27" i="205"/>
  <c r="B6" i="373"/>
  <c r="B5" i="373"/>
  <c r="B3" i="373"/>
  <c r="B13" i="373"/>
  <c r="B9" i="373"/>
  <c r="B8" i="373"/>
  <c r="B7" i="373"/>
  <c r="B10" i="373"/>
  <c r="B16" i="373"/>
  <c r="C16" i="373" s="1"/>
  <c r="B12" i="373"/>
  <c r="B15" i="373"/>
  <c r="C15" i="373" s="1"/>
  <c r="L21" i="372"/>
  <c r="L20" i="372"/>
  <c r="L18" i="372"/>
  <c r="L28" i="372"/>
  <c r="L24" i="372"/>
  <c r="L23" i="372"/>
  <c r="L22" i="372"/>
  <c r="L25" i="372"/>
  <c r="L31" i="372"/>
  <c r="L27" i="372"/>
  <c r="L30" i="372"/>
  <c r="E19" i="204"/>
  <c r="F19" i="205"/>
  <c r="H14" i="372"/>
  <c r="F29" i="372"/>
  <c r="H29" i="372" s="1"/>
  <c r="D29" i="372"/>
  <c r="F32" i="372"/>
  <c r="H32" i="372" s="1"/>
  <c r="D32" i="372"/>
  <c r="H17" i="372"/>
  <c r="O19" i="205"/>
  <c r="R19" i="205" s="1"/>
  <c r="G19" i="205"/>
  <c r="N19" i="205" a="1"/>
  <c r="J4" i="381" a="1"/>
  <c r="D19" i="372" l="1"/>
  <c r="J19" i="372"/>
  <c r="K19" i="372" s="1"/>
  <c r="D11" i="372"/>
  <c r="F11" i="372"/>
  <c r="H11" i="372" s="1"/>
  <c r="P26" i="371"/>
  <c r="P11" i="371" s="1"/>
  <c r="O11" i="371"/>
  <c r="C19" i="204" s="1" a="1"/>
  <c r="C19" i="204" s="1"/>
  <c r="D19" i="204" s="1"/>
  <c r="P4" i="371"/>
  <c r="I19" i="205" s="1" a="1"/>
  <c r="I19" i="205" s="1"/>
  <c r="O5" i="371"/>
  <c r="N19" i="205"/>
  <c r="Q19" i="205" s="1"/>
  <c r="M3" i="385"/>
  <c r="J4" i="381"/>
  <c r="M5" i="380"/>
  <c r="N5" i="380" s="1"/>
  <c r="O3" i="372"/>
  <c r="P3" i="372" s="1"/>
  <c r="O7" i="372"/>
  <c r="N32" i="372"/>
  <c r="P32" i="372" s="1"/>
  <c r="P13" i="372" s="1"/>
  <c r="O6" i="372"/>
  <c r="P6" i="372" s="1"/>
  <c r="L32" i="372"/>
  <c r="L29" i="372"/>
  <c r="N29" i="372"/>
  <c r="P29" i="372" s="1"/>
  <c r="P12" i="372" s="1"/>
  <c r="B30" i="373"/>
  <c r="C30" i="373" s="1"/>
  <c r="D15" i="373"/>
  <c r="B22" i="373"/>
  <c r="C22" i="373" s="1"/>
  <c r="D7" i="373"/>
  <c r="B28" i="373"/>
  <c r="C28" i="373" s="1"/>
  <c r="D13" i="373"/>
  <c r="D12" i="373"/>
  <c r="B27" i="373"/>
  <c r="C27" i="373" s="1"/>
  <c r="D8" i="373"/>
  <c r="B23" i="373"/>
  <c r="C23" i="373" s="1"/>
  <c r="B18" i="373"/>
  <c r="C18" i="373" s="1"/>
  <c r="D3" i="373"/>
  <c r="D16" i="373"/>
  <c r="B31" i="373"/>
  <c r="C31" i="373" s="1"/>
  <c r="B20" i="373"/>
  <c r="C20" i="373" s="1"/>
  <c r="D5" i="373"/>
  <c r="D10" i="373"/>
  <c r="B25" i="373"/>
  <c r="C25" i="373" s="1"/>
  <c r="D9" i="373"/>
  <c r="B24" i="373"/>
  <c r="C24" i="373" s="1"/>
  <c r="D6" i="373"/>
  <c r="B21" i="373"/>
  <c r="C21" i="373" s="1"/>
  <c r="S28" i="205" a="1"/>
  <c r="H20" i="205" a="1"/>
  <c r="J3" i="386" a="1"/>
  <c r="N20" i="204" a="1"/>
  <c r="L20" i="204" a="1"/>
  <c r="K20" i="205" a="1"/>
  <c r="K20" i="204" a="1"/>
  <c r="O20" i="204" a="1"/>
  <c r="J19" i="204" l="1" a="1"/>
  <c r="J19" i="204" s="1"/>
  <c r="P5" i="371"/>
  <c r="J19" i="205" s="1" a="1"/>
  <c r="J19" i="205" s="1"/>
  <c r="M19" i="204" a="1"/>
  <c r="M19" i="204" s="1"/>
  <c r="O14" i="371"/>
  <c r="B4" i="373" a="1"/>
  <c r="B4" i="373" s="1"/>
  <c r="L19" i="372"/>
  <c r="F26" i="372"/>
  <c r="H26" i="372" s="1"/>
  <c r="D26" i="372"/>
  <c r="D19" i="205" a="1"/>
  <c r="J3" i="386"/>
  <c r="M3" i="386" s="1"/>
  <c r="N3" i="385"/>
  <c r="S28" i="205"/>
  <c r="M4" i="381"/>
  <c r="J5" i="381"/>
  <c r="O13" i="372"/>
  <c r="L20" i="204"/>
  <c r="O12" i="372"/>
  <c r="P7" i="372"/>
  <c r="K20" i="204"/>
  <c r="D19" i="205"/>
  <c r="K20" i="205"/>
  <c r="H20" i="205"/>
  <c r="D24" i="373"/>
  <c r="J24" i="373"/>
  <c r="K24" i="373" s="1"/>
  <c r="D31" i="373"/>
  <c r="J31" i="373"/>
  <c r="K31" i="373" s="1"/>
  <c r="J23" i="373"/>
  <c r="K23" i="373" s="1"/>
  <c r="D23" i="373"/>
  <c r="D17" i="373"/>
  <c r="F17" i="373"/>
  <c r="J20" i="373"/>
  <c r="K20" i="373" s="1"/>
  <c r="D20" i="373"/>
  <c r="D28" i="373"/>
  <c r="J28" i="373"/>
  <c r="K28" i="373" s="1"/>
  <c r="J30" i="373"/>
  <c r="K30" i="373" s="1"/>
  <c r="D30" i="373"/>
  <c r="J21" i="373"/>
  <c r="K21" i="373" s="1"/>
  <c r="D21" i="373"/>
  <c r="D25" i="373"/>
  <c r="J25" i="373"/>
  <c r="K25" i="373" s="1"/>
  <c r="J27" i="373"/>
  <c r="K27" i="373" s="1"/>
  <c r="D27" i="373"/>
  <c r="D18" i="373"/>
  <c r="J18" i="373"/>
  <c r="K18" i="373" s="1"/>
  <c r="D14" i="373"/>
  <c r="F14" i="373"/>
  <c r="J22" i="373"/>
  <c r="K22" i="373" s="1"/>
  <c r="D22" i="373"/>
  <c r="N20" i="204"/>
  <c r="O20" i="204"/>
  <c r="F20" i="205" a="1"/>
  <c r="J4" i="382" a="1"/>
  <c r="B7" i="374" a="1"/>
  <c r="B3" i="374" a="1"/>
  <c r="B13" i="374" a="1"/>
  <c r="B12" i="374" a="1"/>
  <c r="F20" i="204" a="1"/>
  <c r="B8" i="374" a="1"/>
  <c r="B9" i="374" a="1"/>
  <c r="E20" i="204" a="1"/>
  <c r="B15" i="374" a="1"/>
  <c r="B16" i="374" a="1"/>
  <c r="J3" i="387" a="1"/>
  <c r="L20" i="205" a="1"/>
  <c r="B5" i="374" a="1"/>
  <c r="B10" i="374" a="1"/>
  <c r="B6" i="374" a="1"/>
  <c r="N20" i="205" a="1"/>
  <c r="N26" i="372" l="1"/>
  <c r="L26" i="372"/>
  <c r="O4" i="372"/>
  <c r="D4" i="373"/>
  <c r="B19" i="373"/>
  <c r="C19" i="373" s="1"/>
  <c r="C47" i="203" a="1"/>
  <c r="C47" i="203" s="1"/>
  <c r="D47" i="203" s="1"/>
  <c r="N47" i="203" s="1"/>
  <c r="O16" i="371"/>
  <c r="E19" i="205" a="1"/>
  <c r="E19" i="205" s="1"/>
  <c r="C19" i="205" a="1"/>
  <c r="C19" i="205" s="1"/>
  <c r="M19" i="205" a="1"/>
  <c r="M19" i="205" s="1"/>
  <c r="P19" i="205" s="1"/>
  <c r="J3" i="387"/>
  <c r="N3" i="386"/>
  <c r="J4" i="382"/>
  <c r="N4" i="381"/>
  <c r="M5" i="381"/>
  <c r="N5" i="381" s="1"/>
  <c r="F20" i="204"/>
  <c r="E20" i="204"/>
  <c r="L20" i="205"/>
  <c r="B13" i="374"/>
  <c r="B16" i="374"/>
  <c r="C16" i="374" s="1"/>
  <c r="B6" i="374"/>
  <c r="B3" i="374"/>
  <c r="B12" i="374"/>
  <c r="B10" i="374"/>
  <c r="B9" i="374"/>
  <c r="B7" i="374"/>
  <c r="B15" i="374"/>
  <c r="C15" i="374" s="1"/>
  <c r="B5" i="374"/>
  <c r="B8" i="374"/>
  <c r="L28" i="373"/>
  <c r="L31" i="373"/>
  <c r="L21" i="373"/>
  <c r="L18" i="373"/>
  <c r="L27" i="373"/>
  <c r="L25" i="373"/>
  <c r="L24" i="373"/>
  <c r="L22" i="373"/>
  <c r="L30" i="373"/>
  <c r="L32" i="373" s="1"/>
  <c r="L20" i="373"/>
  <c r="L23" i="373"/>
  <c r="N20" i="205"/>
  <c r="Q20" i="205" s="1"/>
  <c r="F20" i="205"/>
  <c r="H14" i="373"/>
  <c r="H17" i="373"/>
  <c r="F29" i="373"/>
  <c r="H29" i="373" s="1"/>
  <c r="D29" i="373"/>
  <c r="F32" i="373"/>
  <c r="H32" i="373" s="1"/>
  <c r="D32" i="373"/>
  <c r="G20" i="205" a="1"/>
  <c r="S29" i="205" a="1"/>
  <c r="O20" i="205" a="1"/>
  <c r="D19" i="373" l="1"/>
  <c r="J19" i="373"/>
  <c r="K19" i="373" s="1"/>
  <c r="F11" i="373"/>
  <c r="H11" i="373" s="1"/>
  <c r="D11" i="373"/>
  <c r="P4" i="372"/>
  <c r="I20" i="205" s="1" a="1"/>
  <c r="I20" i="205" s="1"/>
  <c r="O5" i="372"/>
  <c r="P26" i="372"/>
  <c r="P11" i="372" s="1"/>
  <c r="O11" i="372"/>
  <c r="C20" i="204" s="1" a="1"/>
  <c r="C20" i="204" s="1"/>
  <c r="D20" i="204" s="1"/>
  <c r="N32" i="373"/>
  <c r="P32" i="373" s="1"/>
  <c r="P13" i="373" s="1"/>
  <c r="M3" i="387"/>
  <c r="L29" i="373"/>
  <c r="M4" i="382"/>
  <c r="J5" i="382"/>
  <c r="S29" i="205"/>
  <c r="N29" i="373"/>
  <c r="P29" i="373" s="1"/>
  <c r="P12" i="373" s="1"/>
  <c r="G20" i="205"/>
  <c r="O20" i="205"/>
  <c r="R20" i="205" s="1"/>
  <c r="O7" i="373"/>
  <c r="P7" i="373" s="1"/>
  <c r="O6" i="373"/>
  <c r="P6" i="373" s="1"/>
  <c r="O3" i="373"/>
  <c r="D8" i="374"/>
  <c r="B23" i="374"/>
  <c r="C23" i="374" s="1"/>
  <c r="B24" i="374"/>
  <c r="C24" i="374" s="1"/>
  <c r="D9" i="374"/>
  <c r="D5" i="374"/>
  <c r="B20" i="374"/>
  <c r="C20" i="374" s="1"/>
  <c r="B25" i="374"/>
  <c r="C25" i="374" s="1"/>
  <c r="D10" i="374"/>
  <c r="D6" i="374"/>
  <c r="B21" i="374"/>
  <c r="C21" i="374" s="1"/>
  <c r="B30" i="374"/>
  <c r="C30" i="374" s="1"/>
  <c r="D15" i="374"/>
  <c r="B27" i="374"/>
  <c r="C27" i="374" s="1"/>
  <c r="D12" i="374"/>
  <c r="D16" i="374"/>
  <c r="B31" i="374"/>
  <c r="C31" i="374" s="1"/>
  <c r="B22" i="374"/>
  <c r="C22" i="374" s="1"/>
  <c r="D7" i="374"/>
  <c r="D3" i="374"/>
  <c r="B18" i="374"/>
  <c r="C18" i="374" s="1"/>
  <c r="B28" i="374"/>
  <c r="C28" i="374" s="1"/>
  <c r="D13" i="374"/>
  <c r="O13" i="373"/>
  <c r="F21" i="204" a="1"/>
  <c r="J4" i="383" a="1"/>
  <c r="K21" i="205" a="1"/>
  <c r="N21" i="204" a="1"/>
  <c r="O21" i="204" a="1"/>
  <c r="K21" i="204" a="1"/>
  <c r="L21" i="204" a="1"/>
  <c r="L21" i="205" a="1"/>
  <c r="M20" i="204" l="1" a="1"/>
  <c r="M20" i="204" s="1"/>
  <c r="O14" i="372"/>
  <c r="J20" i="204" a="1"/>
  <c r="J20" i="204" s="1"/>
  <c r="P5" i="372"/>
  <c r="J20" i="205" s="1" a="1"/>
  <c r="J20" i="205" s="1"/>
  <c r="B4" i="374" a="1"/>
  <c r="B4" i="374" s="1"/>
  <c r="L19" i="373"/>
  <c r="F26" i="373"/>
  <c r="H26" i="373" s="1"/>
  <c r="D26" i="373"/>
  <c r="N3" i="387"/>
  <c r="J4" i="383"/>
  <c r="N4" i="382"/>
  <c r="M5" i="382"/>
  <c r="N5" i="382" s="1"/>
  <c r="O12" i="373"/>
  <c r="K21" i="204"/>
  <c r="L21" i="204"/>
  <c r="P3" i="373"/>
  <c r="K21" i="205"/>
  <c r="D30" i="374"/>
  <c r="J30" i="374"/>
  <c r="K30" i="374" s="1"/>
  <c r="J25" i="374"/>
  <c r="K25" i="374" s="1"/>
  <c r="D25" i="374"/>
  <c r="J18" i="374"/>
  <c r="K18" i="374" s="1"/>
  <c r="D18" i="374"/>
  <c r="D14" i="374"/>
  <c r="F14" i="374"/>
  <c r="J21" i="374"/>
  <c r="K21" i="374" s="1"/>
  <c r="D21" i="374"/>
  <c r="D20" i="374"/>
  <c r="J20" i="374"/>
  <c r="K20" i="374" s="1"/>
  <c r="J28" i="374"/>
  <c r="K28" i="374" s="1"/>
  <c r="D28" i="374"/>
  <c r="J22" i="374"/>
  <c r="K22" i="374" s="1"/>
  <c r="D22" i="374"/>
  <c r="J27" i="374"/>
  <c r="K27" i="374" s="1"/>
  <c r="D27" i="374"/>
  <c r="J24" i="374"/>
  <c r="K24" i="374" s="1"/>
  <c r="D24" i="374"/>
  <c r="D31" i="374"/>
  <c r="J31" i="374"/>
  <c r="K31" i="374" s="1"/>
  <c r="F17" i="374"/>
  <c r="D17" i="374"/>
  <c r="D23" i="374"/>
  <c r="J23" i="374"/>
  <c r="K23" i="374" s="1"/>
  <c r="L21" i="205"/>
  <c r="G21" i="205" s="1" a="1"/>
  <c r="N21" i="204"/>
  <c r="F21" i="204"/>
  <c r="O21" i="204"/>
  <c r="B6" i="375" a="1"/>
  <c r="S30" i="205" a="1"/>
  <c r="B15" i="375" a="1"/>
  <c r="B13" i="375" a="1"/>
  <c r="O21" i="205" a="1"/>
  <c r="H21" i="205" a="1"/>
  <c r="B9" i="375" a="1"/>
  <c r="B5" i="375" a="1"/>
  <c r="E21" i="204" a="1"/>
  <c r="B16" i="375" a="1"/>
  <c r="B7" i="375" a="1"/>
  <c r="B10" i="375" a="1"/>
  <c r="B8" i="375" a="1"/>
  <c r="B3" i="375" a="1"/>
  <c r="B12" i="375" a="1"/>
  <c r="N21" i="205" a="1"/>
  <c r="N26" i="373" l="1"/>
  <c r="O4" i="373"/>
  <c r="L26" i="373"/>
  <c r="B19" i="374"/>
  <c r="C19" i="374" s="1"/>
  <c r="D4" i="374"/>
  <c r="D20" i="205" a="1"/>
  <c r="D20" i="205" s="1"/>
  <c r="E20" i="205" a="1"/>
  <c r="E20" i="205" s="1"/>
  <c r="C20" i="205" a="1"/>
  <c r="C20" i="205" s="1"/>
  <c r="M20" i="205" a="1"/>
  <c r="M20" i="205" s="1"/>
  <c r="P20" i="205" s="1"/>
  <c r="C50" i="203" a="1"/>
  <c r="C50" i="203" s="1"/>
  <c r="D50" i="203" s="1"/>
  <c r="N50" i="203" s="1"/>
  <c r="O16" i="372"/>
  <c r="F21" i="205" a="1"/>
  <c r="F21" i="205" s="1"/>
  <c r="M4" i="383"/>
  <c r="N4" i="383" s="1"/>
  <c r="J5" i="383"/>
  <c r="S30" i="205"/>
  <c r="E21" i="204"/>
  <c r="H21" i="205"/>
  <c r="B6" i="375"/>
  <c r="B3" i="375"/>
  <c r="B10" i="375"/>
  <c r="B13" i="375"/>
  <c r="B5" i="375"/>
  <c r="B9" i="375"/>
  <c r="B7" i="375"/>
  <c r="B15" i="375"/>
  <c r="C15" i="375" s="1"/>
  <c r="B12" i="375"/>
  <c r="B8" i="375"/>
  <c r="B16" i="375"/>
  <c r="C16" i="375" s="1"/>
  <c r="L21" i="374"/>
  <c r="L18" i="374"/>
  <c r="L25" i="374"/>
  <c r="L28" i="374"/>
  <c r="L20" i="374"/>
  <c r="L24" i="374"/>
  <c r="L22" i="374"/>
  <c r="L30" i="374"/>
  <c r="L27" i="374"/>
  <c r="L23" i="374"/>
  <c r="L31" i="374"/>
  <c r="N21" i="205"/>
  <c r="Q21" i="205" s="1"/>
  <c r="D29" i="374"/>
  <c r="F29" i="374"/>
  <c r="H29" i="374" s="1"/>
  <c r="F32" i="374"/>
  <c r="H32" i="374" s="1"/>
  <c r="D32" i="374"/>
  <c r="H17" i="374"/>
  <c r="H14" i="374"/>
  <c r="O21" i="205"/>
  <c r="R21" i="205" s="1"/>
  <c r="G21" i="205"/>
  <c r="J4" i="384" a="1"/>
  <c r="C4" i="329" a="1"/>
  <c r="D11" i="374" l="1"/>
  <c r="F11" i="374"/>
  <c r="H11" i="374" s="1"/>
  <c r="J19" i="374"/>
  <c r="K19" i="374" s="1"/>
  <c r="D19" i="374"/>
  <c r="P4" i="373"/>
  <c r="I21" i="205" s="1" a="1"/>
  <c r="I21" i="205" s="1"/>
  <c r="O5" i="373"/>
  <c r="P26" i="373"/>
  <c r="P11" i="373" s="1"/>
  <c r="O11" i="373"/>
  <c r="C21" i="204" s="1" a="1"/>
  <c r="C21" i="204" s="1"/>
  <c r="D21" i="204" s="1"/>
  <c r="J4" i="384"/>
  <c r="L29" i="374"/>
  <c r="C4" i="329"/>
  <c r="C5" i="329" s="1"/>
  <c r="M5" i="383"/>
  <c r="N5" i="383" s="1"/>
  <c r="N29" i="374"/>
  <c r="P29" i="374" s="1"/>
  <c r="P12" i="374" s="1"/>
  <c r="O7" i="374"/>
  <c r="L32" i="374"/>
  <c r="N32" i="374"/>
  <c r="P32" i="374" s="1"/>
  <c r="P13" i="374" s="1"/>
  <c r="O6" i="374"/>
  <c r="O3" i="374"/>
  <c r="D15" i="375"/>
  <c r="B30" i="375"/>
  <c r="C30" i="375" s="1"/>
  <c r="D13" i="375"/>
  <c r="B28" i="375"/>
  <c r="C28" i="375" s="1"/>
  <c r="B31" i="375"/>
  <c r="C31" i="375" s="1"/>
  <c r="D16" i="375"/>
  <c r="B22" i="375"/>
  <c r="C22" i="375" s="1"/>
  <c r="D7" i="375"/>
  <c r="D10" i="375"/>
  <c r="B25" i="375"/>
  <c r="C25" i="375" s="1"/>
  <c r="D8" i="375"/>
  <c r="B23" i="375"/>
  <c r="C23" i="375" s="1"/>
  <c r="D9" i="375"/>
  <c r="B24" i="375"/>
  <c r="C24" i="375" s="1"/>
  <c r="B18" i="375"/>
  <c r="C18" i="375" s="1"/>
  <c r="D3" i="375"/>
  <c r="B27" i="375"/>
  <c r="C27" i="375" s="1"/>
  <c r="D12" i="375"/>
  <c r="B20" i="375"/>
  <c r="C20" i="375" s="1"/>
  <c r="D5" i="375"/>
  <c r="B21" i="375"/>
  <c r="C21" i="375" s="1"/>
  <c r="D6" i="375"/>
  <c r="K22" i="204" a="1"/>
  <c r="N22" i="204" a="1"/>
  <c r="O22" i="204" a="1"/>
  <c r="S31" i="205" a="1"/>
  <c r="L22" i="204" a="1"/>
  <c r="M21" i="204" l="1" a="1"/>
  <c r="M21" i="204" s="1"/>
  <c r="O14" i="373"/>
  <c r="J21" i="204" a="1"/>
  <c r="J21" i="204" s="1"/>
  <c r="P5" i="373"/>
  <c r="J21" i="205" s="1" a="1"/>
  <c r="J21" i="205" s="1"/>
  <c r="D26" i="374"/>
  <c r="F26" i="374"/>
  <c r="H26" i="374" s="1"/>
  <c r="B4" i="375" a="1"/>
  <c r="B4" i="375" s="1"/>
  <c r="L19" i="374"/>
  <c r="E21" i="205" a="1"/>
  <c r="E21" i="205" s="1"/>
  <c r="J5" i="384"/>
  <c r="M4" i="384"/>
  <c r="S31" i="205"/>
  <c r="O12" i="374"/>
  <c r="L22" i="204"/>
  <c r="O13" i="374"/>
  <c r="P7" i="374"/>
  <c r="P3" i="374"/>
  <c r="N22" i="204"/>
  <c r="K22" i="204"/>
  <c r="P6" i="374"/>
  <c r="O22" i="204"/>
  <c r="J23" i="375"/>
  <c r="K23" i="375" s="1"/>
  <c r="D23" i="375"/>
  <c r="F17" i="375"/>
  <c r="D17" i="375"/>
  <c r="D20" i="375"/>
  <c r="J20" i="375"/>
  <c r="K20" i="375" s="1"/>
  <c r="J18" i="375"/>
  <c r="K18" i="375" s="1"/>
  <c r="D18" i="375"/>
  <c r="D22" i="375"/>
  <c r="J22" i="375"/>
  <c r="K22" i="375" s="1"/>
  <c r="D28" i="375"/>
  <c r="J28" i="375"/>
  <c r="K28" i="375" s="1"/>
  <c r="D14" i="375"/>
  <c r="F14" i="375"/>
  <c r="D24" i="375"/>
  <c r="J24" i="375"/>
  <c r="K24" i="375" s="1"/>
  <c r="J25" i="375"/>
  <c r="K25" i="375" s="1"/>
  <c r="D25" i="375"/>
  <c r="J21" i="375"/>
  <c r="K21" i="375" s="1"/>
  <c r="D21" i="375"/>
  <c r="D27" i="375"/>
  <c r="J27" i="375"/>
  <c r="K27" i="375" s="1"/>
  <c r="J31" i="375"/>
  <c r="K31" i="375" s="1"/>
  <c r="D31" i="375"/>
  <c r="J30" i="375"/>
  <c r="K30" i="375" s="1"/>
  <c r="D30" i="375"/>
  <c r="B7" i="376" a="1"/>
  <c r="J4" i="385" a="1"/>
  <c r="L22" i="205" a="1"/>
  <c r="K22" i="205" a="1"/>
  <c r="B16" i="376" a="1"/>
  <c r="B12" i="376" a="1"/>
  <c r="H22" i="205" a="1"/>
  <c r="B10" i="376" a="1"/>
  <c r="M21" i="205" a="1"/>
  <c r="B13" i="376" a="1"/>
  <c r="E22" i="204" a="1"/>
  <c r="F22" i="204" a="1"/>
  <c r="B3" i="376" a="1"/>
  <c r="B8" i="376" a="1"/>
  <c r="B9" i="376" a="1"/>
  <c r="B15" i="376" a="1"/>
  <c r="B5" i="376" a="1"/>
  <c r="B6" i="376" a="1"/>
  <c r="N26" i="374" l="1"/>
  <c r="L26" i="374"/>
  <c r="O4" i="374"/>
  <c r="B19" i="375"/>
  <c r="C19" i="375" s="1"/>
  <c r="D4" i="375"/>
  <c r="D21" i="205" a="1"/>
  <c r="D21" i="205" s="1"/>
  <c r="C21" i="205" a="1"/>
  <c r="C21" i="205" s="1"/>
  <c r="C53" i="203" a="1"/>
  <c r="C53" i="203" s="1"/>
  <c r="D53" i="203" s="1"/>
  <c r="N53" i="203" s="1"/>
  <c r="O16" i="373"/>
  <c r="M21" i="205"/>
  <c r="P21" i="205" s="1"/>
  <c r="J4" i="385"/>
  <c r="M5" i="384"/>
  <c r="N5" i="384" s="1"/>
  <c r="N4" i="384"/>
  <c r="E22" i="204"/>
  <c r="F22" i="204"/>
  <c r="L22" i="205"/>
  <c r="H22" i="205"/>
  <c r="B12" i="376"/>
  <c r="B7" i="376"/>
  <c r="B5" i="376"/>
  <c r="B9" i="376"/>
  <c r="B16" i="376"/>
  <c r="C16" i="376" s="1"/>
  <c r="B6" i="376"/>
  <c r="B10" i="376"/>
  <c r="B8" i="376"/>
  <c r="B13" i="376"/>
  <c r="B15" i="376"/>
  <c r="C15" i="376" s="1"/>
  <c r="B3" i="376"/>
  <c r="K22" i="205"/>
  <c r="L27" i="375"/>
  <c r="L22" i="375"/>
  <c r="L20" i="375"/>
  <c r="L24" i="375"/>
  <c r="L31" i="375"/>
  <c r="L21" i="375"/>
  <c r="L25" i="375"/>
  <c r="L23" i="375"/>
  <c r="L28" i="375"/>
  <c r="L30" i="375"/>
  <c r="L18" i="375"/>
  <c r="D29" i="375"/>
  <c r="F29" i="375"/>
  <c r="H29" i="375" s="1"/>
  <c r="H14" i="375"/>
  <c r="H17" i="375"/>
  <c r="F32" i="375"/>
  <c r="H32" i="375" s="1"/>
  <c r="D32" i="375"/>
  <c r="G22" i="205" a="1"/>
  <c r="F22" i="205" a="1"/>
  <c r="O22" i="205" a="1"/>
  <c r="S32" i="205" a="1"/>
  <c r="N22" i="205" a="1"/>
  <c r="F11" i="375" l="1"/>
  <c r="H11" i="375" s="1"/>
  <c r="D11" i="375"/>
  <c r="D19" i="375"/>
  <c r="J19" i="375"/>
  <c r="K19" i="375" s="1"/>
  <c r="P4" i="374"/>
  <c r="I22" i="205" s="1" a="1"/>
  <c r="I22" i="205" s="1"/>
  <c r="O5" i="374"/>
  <c r="P26" i="374"/>
  <c r="P11" i="374" s="1"/>
  <c r="O11" i="374"/>
  <c r="C22" i="204" s="1" a="1"/>
  <c r="C22" i="204" s="1"/>
  <c r="D22" i="204" s="1"/>
  <c r="S32" i="205"/>
  <c r="M4" i="385"/>
  <c r="J5" i="385"/>
  <c r="N29" i="375"/>
  <c r="P29" i="375" s="1"/>
  <c r="P12" i="375" s="1"/>
  <c r="G22" i="205"/>
  <c r="O22" i="205"/>
  <c r="R22" i="205" s="1"/>
  <c r="N32" i="375"/>
  <c r="P32" i="375" s="1"/>
  <c r="P13" i="375" s="1"/>
  <c r="O6" i="375"/>
  <c r="P6" i="375" s="1"/>
  <c r="L29" i="375"/>
  <c r="O3" i="375"/>
  <c r="F22" i="205"/>
  <c r="N22" i="205"/>
  <c r="Q22" i="205" s="1"/>
  <c r="B23" i="376"/>
  <c r="C23" i="376" s="1"/>
  <c r="D8" i="376"/>
  <c r="B24" i="376"/>
  <c r="C24" i="376" s="1"/>
  <c r="D9" i="376"/>
  <c r="L32" i="375"/>
  <c r="D15" i="376"/>
  <c r="B30" i="376"/>
  <c r="C30" i="376" s="1"/>
  <c r="D10" i="376"/>
  <c r="B25" i="376"/>
  <c r="C25" i="376" s="1"/>
  <c r="B20" i="376"/>
  <c r="C20" i="376" s="1"/>
  <c r="D5" i="376"/>
  <c r="O7" i="375"/>
  <c r="P7" i="375" s="1"/>
  <c r="B28" i="376"/>
  <c r="C28" i="376" s="1"/>
  <c r="D13" i="376"/>
  <c r="B21" i="376"/>
  <c r="C21" i="376" s="1"/>
  <c r="D6" i="376"/>
  <c r="B22" i="376"/>
  <c r="C22" i="376" s="1"/>
  <c r="D7" i="376"/>
  <c r="B18" i="376"/>
  <c r="C18" i="376" s="1"/>
  <c r="D3" i="376"/>
  <c r="D16" i="376"/>
  <c r="B31" i="376"/>
  <c r="C31" i="376" s="1"/>
  <c r="D12" i="376"/>
  <c r="B27" i="376"/>
  <c r="C27" i="376" s="1"/>
  <c r="K23" i="204" a="1"/>
  <c r="K23" i="205" a="1"/>
  <c r="L23" i="205" a="1"/>
  <c r="N23" i="204" a="1"/>
  <c r="J4" i="386" a="1"/>
  <c r="L23" i="204" a="1"/>
  <c r="O23" i="204" a="1"/>
  <c r="M22" i="204" l="1" a="1"/>
  <c r="M22" i="204" s="1"/>
  <c r="O14" i="374"/>
  <c r="J22" i="204" a="1"/>
  <c r="J22" i="204" s="1"/>
  <c r="P5" i="374"/>
  <c r="J22" i="205" s="1" a="1"/>
  <c r="J22" i="205" s="1"/>
  <c r="B4" i="376" a="1"/>
  <c r="B4" i="376" s="1"/>
  <c r="L19" i="375"/>
  <c r="F26" i="375"/>
  <c r="H26" i="375" s="1"/>
  <c r="D26" i="375"/>
  <c r="J4" i="386"/>
  <c r="N4" i="385"/>
  <c r="M5" i="385"/>
  <c r="N5" i="385" s="1"/>
  <c r="F17" i="376"/>
  <c r="H17" i="376" s="1"/>
  <c r="O12" i="375"/>
  <c r="O13" i="375"/>
  <c r="K23" i="204"/>
  <c r="N23" i="204"/>
  <c r="P3" i="375"/>
  <c r="L23" i="204"/>
  <c r="J31" i="376"/>
  <c r="K31" i="376" s="1"/>
  <c r="D31" i="376"/>
  <c r="D30" i="376"/>
  <c r="J30" i="376"/>
  <c r="K30" i="376" s="1"/>
  <c r="D22" i="376"/>
  <c r="J22" i="376"/>
  <c r="K22" i="376" s="1"/>
  <c r="J28" i="376"/>
  <c r="K28" i="376" s="1"/>
  <c r="D28" i="376"/>
  <c r="D20" i="376"/>
  <c r="J20" i="376"/>
  <c r="K20" i="376" s="1"/>
  <c r="D17" i="376"/>
  <c r="J24" i="376"/>
  <c r="K24" i="376" s="1"/>
  <c r="D24" i="376"/>
  <c r="D27" i="376"/>
  <c r="J27" i="376"/>
  <c r="K27" i="376" s="1"/>
  <c r="J25" i="376"/>
  <c r="K25" i="376" s="1"/>
  <c r="D25" i="376"/>
  <c r="J23" i="376"/>
  <c r="K23" i="376" s="1"/>
  <c r="D23" i="376"/>
  <c r="F14" i="376"/>
  <c r="D14" i="376"/>
  <c r="D18" i="376"/>
  <c r="J18" i="376"/>
  <c r="K18" i="376" s="1"/>
  <c r="D21" i="376"/>
  <c r="J21" i="376"/>
  <c r="K21" i="376" s="1"/>
  <c r="L23" i="205"/>
  <c r="G23" i="205" s="1" a="1"/>
  <c r="K23" i="205"/>
  <c r="O23" i="204"/>
  <c r="F23" i="205" a="1"/>
  <c r="B9" i="377" a="1"/>
  <c r="B3" i="377" a="1"/>
  <c r="B12" i="377" a="1"/>
  <c r="B8" i="377" a="1"/>
  <c r="F23" i="204" a="1"/>
  <c r="B15" i="377" a="1"/>
  <c r="E23" i="204" a="1"/>
  <c r="B13" i="377" a="1"/>
  <c r="S33" i="205" a="1"/>
  <c r="B7" i="377" a="1"/>
  <c r="H23" i="205" a="1"/>
  <c r="B6" i="377" a="1"/>
  <c r="B5" i="377" a="1"/>
  <c r="B16" i="377" a="1"/>
  <c r="B10" i="377" a="1"/>
  <c r="N23" i="205" a="1"/>
  <c r="O4" i="375" l="1"/>
  <c r="N26" i="375"/>
  <c r="L26" i="375"/>
  <c r="D4" i="376"/>
  <c r="B19" i="376"/>
  <c r="C19" i="376" s="1"/>
  <c r="D22" i="205" a="1"/>
  <c r="D22" i="205" s="1"/>
  <c r="C22" i="205" a="1"/>
  <c r="C22" i="205" s="1"/>
  <c r="E22" i="205" a="1"/>
  <c r="E22" i="205" s="1"/>
  <c r="M22" i="205" a="1"/>
  <c r="M22" i="205" s="1"/>
  <c r="P22" i="205" s="1"/>
  <c r="O16" i="374"/>
  <c r="C56" i="203" a="1"/>
  <c r="C56" i="203" s="1"/>
  <c r="D56" i="203" s="1"/>
  <c r="N56" i="203" s="1"/>
  <c r="J5" i="386"/>
  <c r="M4" i="386"/>
  <c r="N4" i="386" s="1"/>
  <c r="S33" i="205"/>
  <c r="E23" i="204"/>
  <c r="F23" i="204"/>
  <c r="B8" i="377"/>
  <c r="C8" i="377" s="1"/>
  <c r="B9" i="377"/>
  <c r="C9" i="377" s="1"/>
  <c r="B16" i="377"/>
  <c r="C16" i="377" s="1"/>
  <c r="B6" i="377"/>
  <c r="C6" i="377" s="1"/>
  <c r="B12" i="377"/>
  <c r="C12" i="377" s="1"/>
  <c r="B13" i="377"/>
  <c r="C13" i="377" s="1"/>
  <c r="B15" i="377"/>
  <c r="C15" i="377" s="1"/>
  <c r="H23" i="205"/>
  <c r="B3" i="377"/>
  <c r="C3" i="377" s="1"/>
  <c r="B10" i="377"/>
  <c r="C10" i="377" s="1"/>
  <c r="B5" i="377"/>
  <c r="C5" i="377" s="1"/>
  <c r="B7" i="377"/>
  <c r="C7" i="377" s="1"/>
  <c r="L23" i="376"/>
  <c r="L24" i="376"/>
  <c r="L31" i="376"/>
  <c r="L21" i="376"/>
  <c r="L27" i="376"/>
  <c r="L28" i="376"/>
  <c r="L30" i="376"/>
  <c r="L32" i="376" s="1"/>
  <c r="L18" i="376"/>
  <c r="L25" i="376"/>
  <c r="L20" i="376"/>
  <c r="L22" i="376"/>
  <c r="H14" i="376"/>
  <c r="F32" i="376"/>
  <c r="D32" i="376"/>
  <c r="F29" i="376"/>
  <c r="H29" i="376" s="1"/>
  <c r="D29" i="376"/>
  <c r="N23" i="205"/>
  <c r="F23" i="205"/>
  <c r="G23" i="205"/>
  <c r="O23" i="205" a="1"/>
  <c r="J4" i="387" a="1"/>
  <c r="D19" i="376" l="1"/>
  <c r="J19" i="376"/>
  <c r="K19" i="376" s="1"/>
  <c r="F11" i="376"/>
  <c r="H11" i="376" s="1"/>
  <c r="D11" i="376"/>
  <c r="P26" i="375"/>
  <c r="P11" i="375" s="1"/>
  <c r="O11" i="375"/>
  <c r="C23" i="204" s="1" a="1"/>
  <c r="C23" i="204" s="1"/>
  <c r="P4" i="375"/>
  <c r="I23" i="205" s="1" a="1"/>
  <c r="I23" i="205" s="1"/>
  <c r="O5" i="375"/>
  <c r="O23" i="205"/>
  <c r="R23" i="205" s="1"/>
  <c r="N29" i="376"/>
  <c r="P29" i="376" s="1"/>
  <c r="P12" i="376" s="1"/>
  <c r="J4" i="387"/>
  <c r="M5" i="386"/>
  <c r="N5" i="386" s="1"/>
  <c r="N32" i="376"/>
  <c r="P32" i="376" s="1"/>
  <c r="O6" i="376"/>
  <c r="O3" i="376"/>
  <c r="L29" i="376"/>
  <c r="D5" i="377"/>
  <c r="B20" i="377"/>
  <c r="C20" i="377" s="1"/>
  <c r="B30" i="377"/>
  <c r="C30" i="377" s="1"/>
  <c r="D15" i="377"/>
  <c r="B31" i="377"/>
  <c r="C31" i="377" s="1"/>
  <c r="D16" i="377"/>
  <c r="D7" i="377"/>
  <c r="B22" i="377"/>
  <c r="C22" i="377" s="1"/>
  <c r="O7" i="376"/>
  <c r="B25" i="377"/>
  <c r="C25" i="377" s="1"/>
  <c r="D10" i="377"/>
  <c r="B28" i="377"/>
  <c r="C28" i="377" s="1"/>
  <c r="D13" i="377"/>
  <c r="D9" i="377"/>
  <c r="B24" i="377"/>
  <c r="C24" i="377" s="1"/>
  <c r="D6" i="377"/>
  <c r="B21" i="377"/>
  <c r="C21" i="377" s="1"/>
  <c r="D3" i="377"/>
  <c r="B18" i="377"/>
  <c r="C18" i="377" s="1"/>
  <c r="D12" i="377"/>
  <c r="B27" i="377"/>
  <c r="C27" i="377" s="1"/>
  <c r="D8" i="377"/>
  <c r="B23" i="377"/>
  <c r="C23" i="377" s="1"/>
  <c r="O12" i="376"/>
  <c r="H32" i="376"/>
  <c r="D23" i="204"/>
  <c r="P6" i="376"/>
  <c r="Q23" i="205"/>
  <c r="S34" i="205" a="1"/>
  <c r="N24" i="204" a="1"/>
  <c r="E24" i="204" a="1"/>
  <c r="L24" i="204" a="1"/>
  <c r="K24" i="205" a="1"/>
  <c r="K24" i="204" a="1"/>
  <c r="J23" i="204" l="1" a="1"/>
  <c r="J23" i="204" s="1"/>
  <c r="P5" i="375"/>
  <c r="J23" i="205" s="1" a="1"/>
  <c r="J23" i="205" s="1"/>
  <c r="O14" i="375"/>
  <c r="M23" i="204" a="1"/>
  <c r="M23" i="204" s="1"/>
  <c r="B4" i="377" a="1"/>
  <c r="B4" i="377" s="1"/>
  <c r="C4" i="377" s="1"/>
  <c r="L19" i="376"/>
  <c r="D26" i="376"/>
  <c r="F26" i="376"/>
  <c r="H26" i="376" s="1"/>
  <c r="M4" i="387"/>
  <c r="J5" i="387"/>
  <c r="S34" i="205"/>
  <c r="O13" i="376"/>
  <c r="P13" i="376"/>
  <c r="K24" i="204"/>
  <c r="P3" i="376"/>
  <c r="L24" i="204"/>
  <c r="D31" i="377"/>
  <c r="J31" i="377"/>
  <c r="K31" i="377" s="1"/>
  <c r="D27" i="377"/>
  <c r="J27" i="377"/>
  <c r="K27" i="377" s="1"/>
  <c r="J25" i="377"/>
  <c r="K25" i="377" s="1"/>
  <c r="D25" i="377"/>
  <c r="D22" i="377"/>
  <c r="J22" i="377"/>
  <c r="K22" i="377" s="1"/>
  <c r="F17" i="377"/>
  <c r="D17" i="377"/>
  <c r="D14" i="377"/>
  <c r="D21" i="377"/>
  <c r="J21" i="377"/>
  <c r="K21" i="377" s="1"/>
  <c r="F14" i="377"/>
  <c r="P7" i="376"/>
  <c r="J30" i="377"/>
  <c r="K30" i="377" s="1"/>
  <c r="D30" i="377"/>
  <c r="D24" i="377"/>
  <c r="J24" i="377"/>
  <c r="K24" i="377" s="1"/>
  <c r="D23" i="377"/>
  <c r="J23" i="377"/>
  <c r="K23" i="377" s="1"/>
  <c r="D18" i="377"/>
  <c r="J18" i="377"/>
  <c r="K18" i="377" s="1"/>
  <c r="J28" i="377"/>
  <c r="K28" i="377" s="1"/>
  <c r="D28" i="377"/>
  <c r="J20" i="377"/>
  <c r="K20" i="377" s="1"/>
  <c r="D20" i="377"/>
  <c r="E24" i="204"/>
  <c r="K24" i="205"/>
  <c r="N24" i="204"/>
  <c r="F24" i="205" a="1"/>
  <c r="F24" i="204" a="1"/>
  <c r="B13" i="378" a="1"/>
  <c r="B7" i="378" a="1"/>
  <c r="B5" i="378" a="1"/>
  <c r="H24" i="205" a="1"/>
  <c r="B10" i="378" a="1"/>
  <c r="B9" i="378" a="1"/>
  <c r="B3" i="378" a="1"/>
  <c r="N24" i="205" a="1"/>
  <c r="O24" i="204" a="1"/>
  <c r="B6" i="378" a="1"/>
  <c r="B8" i="378" a="1"/>
  <c r="B12" i="378" a="1"/>
  <c r="L24" i="205" a="1"/>
  <c r="B16" i="378" a="1"/>
  <c r="B15" i="378" a="1"/>
  <c r="O4" i="376" l="1"/>
  <c r="L26" i="376"/>
  <c r="N26" i="376"/>
  <c r="B19" i="377"/>
  <c r="C19" i="377" s="1"/>
  <c r="D4" i="377"/>
  <c r="C59" i="203" a="1"/>
  <c r="C59" i="203" s="1"/>
  <c r="D59" i="203" s="1"/>
  <c r="N59" i="203" s="1"/>
  <c r="O16" i="375"/>
  <c r="D23" i="205" a="1"/>
  <c r="D23" i="205" s="1"/>
  <c r="E23" i="205" a="1"/>
  <c r="E23" i="205" s="1"/>
  <c r="C23" i="205" a="1"/>
  <c r="C23" i="205" s="1"/>
  <c r="M23" i="205" a="1"/>
  <c r="M23" i="205" s="1"/>
  <c r="P23" i="205" s="1"/>
  <c r="F29" i="377"/>
  <c r="H29" i="377" s="1"/>
  <c r="N4" i="387"/>
  <c r="M5" i="387"/>
  <c r="N5" i="387" s="1"/>
  <c r="F24" i="204"/>
  <c r="O24" i="204"/>
  <c r="H24" i="205"/>
  <c r="B5" i="378"/>
  <c r="C5" i="378" s="1"/>
  <c r="B12" i="378"/>
  <c r="C12" i="378" s="1"/>
  <c r="B9" i="378"/>
  <c r="C9" i="378" s="1"/>
  <c r="B15" i="378"/>
  <c r="C15" i="378" s="1"/>
  <c r="B7" i="378"/>
  <c r="C7" i="378" s="1"/>
  <c r="B8" i="378"/>
  <c r="C8" i="378" s="1"/>
  <c r="B3" i="378"/>
  <c r="C3" i="378" s="1"/>
  <c r="B13" i="378"/>
  <c r="C13" i="378" s="1"/>
  <c r="B6" i="378"/>
  <c r="C6" i="378" s="1"/>
  <c r="B10" i="378"/>
  <c r="C10" i="378" s="1"/>
  <c r="B16" i="378"/>
  <c r="C16" i="378" s="1"/>
  <c r="L20" i="377"/>
  <c r="L27" i="377"/>
  <c r="L24" i="377"/>
  <c r="L30" i="377"/>
  <c r="L22" i="377"/>
  <c r="L23" i="377"/>
  <c r="L18" i="377"/>
  <c r="L28" i="377"/>
  <c r="L21" i="377"/>
  <c r="L25" i="377"/>
  <c r="L31" i="377"/>
  <c r="O7" i="377" s="1"/>
  <c r="L24" i="205"/>
  <c r="D29" i="377"/>
  <c r="H14" i="377"/>
  <c r="H17" i="377"/>
  <c r="F32" i="377"/>
  <c r="H32" i="377" s="1"/>
  <c r="D32" i="377"/>
  <c r="N24" i="205"/>
  <c r="F24" i="205"/>
  <c r="G24" i="205" a="1"/>
  <c r="L25" i="204" a="1"/>
  <c r="O24" i="205" a="1"/>
  <c r="S35" i="205" a="1"/>
  <c r="D11" i="377" l="1"/>
  <c r="F11" i="377"/>
  <c r="H11" i="377" s="1"/>
  <c r="J19" i="377"/>
  <c r="K19" i="377" s="1"/>
  <c r="D19" i="377"/>
  <c r="P26" i="376"/>
  <c r="P11" i="376" s="1"/>
  <c r="O11" i="376"/>
  <c r="C24" i="204" s="1" a="1"/>
  <c r="C24" i="204" s="1"/>
  <c r="P4" i="376"/>
  <c r="I24" i="205" s="1" a="1"/>
  <c r="I24" i="205" s="1"/>
  <c r="O5" i="376"/>
  <c r="S35" i="205"/>
  <c r="L29" i="377"/>
  <c r="N29" i="377"/>
  <c r="P29" i="377" s="1"/>
  <c r="P12" i="377" s="1"/>
  <c r="O3" i="377"/>
  <c r="O6" i="377"/>
  <c r="L25" i="204"/>
  <c r="P3" i="377"/>
  <c r="P7" i="377"/>
  <c r="L32" i="377"/>
  <c r="B21" i="378"/>
  <c r="C21" i="378" s="1"/>
  <c r="D6" i="378"/>
  <c r="B23" i="378"/>
  <c r="C23" i="378" s="1"/>
  <c r="D8" i="378"/>
  <c r="D12" i="378"/>
  <c r="B27" i="378"/>
  <c r="C27" i="378" s="1"/>
  <c r="N32" i="377"/>
  <c r="P32" i="377" s="1"/>
  <c r="P13" i="377" s="1"/>
  <c r="B28" i="378"/>
  <c r="C28" i="378" s="1"/>
  <c r="D13" i="378"/>
  <c r="D7" i="378"/>
  <c r="B22" i="378"/>
  <c r="C22" i="378" s="1"/>
  <c r="D5" i="378"/>
  <c r="B20" i="378"/>
  <c r="C20" i="378" s="1"/>
  <c r="B25" i="378"/>
  <c r="C25" i="378" s="1"/>
  <c r="D10" i="378"/>
  <c r="D9" i="378"/>
  <c r="B24" i="378"/>
  <c r="C24" i="378" s="1"/>
  <c r="D16" i="378"/>
  <c r="B31" i="378"/>
  <c r="C31" i="378" s="1"/>
  <c r="B18" i="378"/>
  <c r="C18" i="378" s="1"/>
  <c r="D3" i="378"/>
  <c r="D15" i="378"/>
  <c r="B30" i="378"/>
  <c r="C30" i="378" s="1"/>
  <c r="O24" i="205"/>
  <c r="R24" i="205" s="1"/>
  <c r="G24" i="205"/>
  <c r="D24" i="204"/>
  <c r="Q24" i="205"/>
  <c r="H25" i="205" a="1"/>
  <c r="K25" i="204" a="1"/>
  <c r="O25" i="204" a="1"/>
  <c r="N25" i="204" a="1"/>
  <c r="L25" i="205" a="1"/>
  <c r="J24" i="204" l="1" a="1"/>
  <c r="J24" i="204" s="1"/>
  <c r="P5" i="376"/>
  <c r="J24" i="205" s="1" a="1"/>
  <c r="J24" i="205" s="1"/>
  <c r="M24" i="204" a="1"/>
  <c r="M24" i="204" s="1"/>
  <c r="O14" i="376"/>
  <c r="D26" i="377"/>
  <c r="F26" i="377"/>
  <c r="H26" i="377" s="1"/>
  <c r="B4" i="378" a="1"/>
  <c r="B4" i="378" s="1"/>
  <c r="C4" i="378" s="1"/>
  <c r="L19" i="377"/>
  <c r="S36" i="205"/>
  <c r="O12" i="377"/>
  <c r="K25" i="204"/>
  <c r="P6" i="377"/>
  <c r="O13" i="377"/>
  <c r="L25" i="205"/>
  <c r="H25" i="205"/>
  <c r="D17" i="378"/>
  <c r="F17" i="378"/>
  <c r="D25" i="378"/>
  <c r="J25" i="378"/>
  <c r="K25" i="378" s="1"/>
  <c r="D23" i="378"/>
  <c r="J23" i="378"/>
  <c r="K23" i="378" s="1"/>
  <c r="J24" i="378"/>
  <c r="K24" i="378" s="1"/>
  <c r="D24" i="378"/>
  <c r="J20" i="378"/>
  <c r="K20" i="378" s="1"/>
  <c r="D20" i="378"/>
  <c r="D27" i="378"/>
  <c r="J27" i="378"/>
  <c r="K27" i="378" s="1"/>
  <c r="D18" i="378"/>
  <c r="J18" i="378"/>
  <c r="K18" i="378" s="1"/>
  <c r="D28" i="378"/>
  <c r="J28" i="378"/>
  <c r="K28" i="378" s="1"/>
  <c r="D14" i="378"/>
  <c r="F14" i="378"/>
  <c r="J21" i="378"/>
  <c r="K21" i="378" s="1"/>
  <c r="D21" i="378"/>
  <c r="D30" i="378"/>
  <c r="J30" i="378"/>
  <c r="K30" i="378" s="1"/>
  <c r="D31" i="378"/>
  <c r="J31" i="378"/>
  <c r="K31" i="378" s="1"/>
  <c r="D22" i="378"/>
  <c r="J22" i="378"/>
  <c r="K22" i="378" s="1"/>
  <c r="N25" i="204"/>
  <c r="O25" i="204"/>
  <c r="G25" i="205" a="1"/>
  <c r="E25" i="204" a="1"/>
  <c r="B3" i="379" a="1"/>
  <c r="B12" i="379" a="1"/>
  <c r="O25" i="205" a="1"/>
  <c r="B6" i="379" a="1"/>
  <c r="K25" i="205" a="1"/>
  <c r="F25" i="204" a="1"/>
  <c r="B15" i="379" a="1"/>
  <c r="B9" i="379" a="1"/>
  <c r="B16" i="379" a="1"/>
  <c r="B5" i="379" a="1"/>
  <c r="B10" i="379" a="1"/>
  <c r="B7" i="379" a="1"/>
  <c r="B13" i="379" a="1"/>
  <c r="B8" i="379" a="1"/>
  <c r="N26" i="377" l="1"/>
  <c r="L26" i="377"/>
  <c r="O4" i="377"/>
  <c r="D4" i="378"/>
  <c r="B19" i="378"/>
  <c r="C19" i="378" s="1"/>
  <c r="C62" i="203" a="1"/>
  <c r="C62" i="203" s="1"/>
  <c r="D62" i="203" s="1"/>
  <c r="N62" i="203" s="1"/>
  <c r="O16" i="376"/>
  <c r="E24" i="205" a="1"/>
  <c r="E24" i="205" s="1"/>
  <c r="C24" i="205" a="1"/>
  <c r="C24" i="205" s="1"/>
  <c r="D24" i="205" a="1"/>
  <c r="D24" i="205" s="1"/>
  <c r="M24" i="205" a="1"/>
  <c r="M24" i="205" s="1"/>
  <c r="P24" i="205" s="1"/>
  <c r="E25" i="204"/>
  <c r="B13" i="379"/>
  <c r="C13" i="379" s="1"/>
  <c r="B9" i="379"/>
  <c r="C9" i="379" s="1"/>
  <c r="B16" i="379"/>
  <c r="C16" i="379" s="1"/>
  <c r="B12" i="379"/>
  <c r="C12" i="379" s="1"/>
  <c r="B7" i="379"/>
  <c r="C7" i="379" s="1"/>
  <c r="B15" i="379"/>
  <c r="C15" i="379" s="1"/>
  <c r="B6" i="379"/>
  <c r="C6" i="379" s="1"/>
  <c r="B3" i="379"/>
  <c r="C3" i="379" s="1"/>
  <c r="B10" i="379"/>
  <c r="C10" i="379" s="1"/>
  <c r="F25" i="204"/>
  <c r="B8" i="379"/>
  <c r="C8" i="379" s="1"/>
  <c r="B5" i="379"/>
  <c r="C5" i="379" s="1"/>
  <c r="K25" i="205"/>
  <c r="L28" i="378"/>
  <c r="L24" i="378"/>
  <c r="L31" i="378"/>
  <c r="L27" i="378"/>
  <c r="L22" i="378"/>
  <c r="L30" i="378"/>
  <c r="L21" i="378"/>
  <c r="L18" i="378"/>
  <c r="L25" i="378"/>
  <c r="L23" i="378"/>
  <c r="L20" i="378"/>
  <c r="G25" i="205"/>
  <c r="O25" i="205"/>
  <c r="R25" i="205" s="1"/>
  <c r="D29" i="378"/>
  <c r="F29" i="378"/>
  <c r="H29" i="378" s="1"/>
  <c r="F32" i="378"/>
  <c r="H32" i="378" s="1"/>
  <c r="D32" i="378"/>
  <c r="H17" i="378"/>
  <c r="H14" i="378"/>
  <c r="F25" i="205" a="1"/>
  <c r="N25" i="205" a="1"/>
  <c r="J19" i="378" l="1"/>
  <c r="K19" i="378" s="1"/>
  <c r="D19" i="378"/>
  <c r="D11" i="378"/>
  <c r="F11" i="378"/>
  <c r="H11" i="378" s="1"/>
  <c r="P4" i="377"/>
  <c r="I25" i="205" s="1" a="1"/>
  <c r="I25" i="205" s="1"/>
  <c r="O5" i="377"/>
  <c r="P26" i="377"/>
  <c r="P11" i="377" s="1"/>
  <c r="O11" i="377"/>
  <c r="C25" i="204" s="1" a="1"/>
  <c r="C25" i="204" s="1"/>
  <c r="D25" i="204" s="1"/>
  <c r="L29" i="378"/>
  <c r="O6" i="378"/>
  <c r="P6" i="378" s="1"/>
  <c r="N29" i="378"/>
  <c r="P29" i="378" s="1"/>
  <c r="P12" i="378" s="1"/>
  <c r="L32" i="378"/>
  <c r="O3" i="378"/>
  <c r="P3" i="378" s="1"/>
  <c r="F25" i="205"/>
  <c r="N25" i="205"/>
  <c r="Q25" i="205" s="1"/>
  <c r="B20" i="379"/>
  <c r="C20" i="379" s="1"/>
  <c r="D5" i="379"/>
  <c r="D10" i="379"/>
  <c r="B25" i="379"/>
  <c r="C25" i="379" s="1"/>
  <c r="D7" i="379"/>
  <c r="B22" i="379"/>
  <c r="C22" i="379" s="1"/>
  <c r="B28" i="379"/>
  <c r="C28" i="379" s="1"/>
  <c r="D13" i="379"/>
  <c r="N32" i="378"/>
  <c r="O7" i="378"/>
  <c r="D3" i="379"/>
  <c r="B18" i="379"/>
  <c r="C18" i="379" s="1"/>
  <c r="B27" i="379"/>
  <c r="C27" i="379" s="1"/>
  <c r="D12" i="379"/>
  <c r="B23" i="379"/>
  <c r="C23" i="379" s="1"/>
  <c r="D8" i="379"/>
  <c r="B21" i="379"/>
  <c r="C21" i="379" s="1"/>
  <c r="D6" i="379"/>
  <c r="B31" i="379"/>
  <c r="C31" i="379" s="1"/>
  <c r="D16" i="379"/>
  <c r="B30" i="379"/>
  <c r="C30" i="379" s="1"/>
  <c r="D15" i="379"/>
  <c r="B24" i="379"/>
  <c r="C24" i="379" s="1"/>
  <c r="D9" i="379"/>
  <c r="N26" i="204" a="1"/>
  <c r="K26" i="205" a="1"/>
  <c r="H26" i="205" a="1"/>
  <c r="L26" i="204" a="1"/>
  <c r="K26" i="204" a="1"/>
  <c r="M25" i="204" l="1" a="1"/>
  <c r="M25" i="204" s="1"/>
  <c r="O14" i="377"/>
  <c r="J25" i="204" a="1"/>
  <c r="J25" i="204" s="1"/>
  <c r="P5" i="377"/>
  <c r="J25" i="205" s="1" a="1"/>
  <c r="J25" i="205" s="1"/>
  <c r="F26" i="378"/>
  <c r="H26" i="378" s="1"/>
  <c r="D26" i="378"/>
  <c r="B4" i="379" a="1"/>
  <c r="B4" i="379" s="1"/>
  <c r="C4" i="379" s="1"/>
  <c r="L19" i="378"/>
  <c r="D25" i="205" a="1"/>
  <c r="E25" i="205" a="1"/>
  <c r="O12" i="378"/>
  <c r="K26" i="204"/>
  <c r="H26" i="205"/>
  <c r="N26" i="204"/>
  <c r="L26" i="204"/>
  <c r="K26" i="205"/>
  <c r="J28" i="379"/>
  <c r="K28" i="379" s="1"/>
  <c r="D28" i="379"/>
  <c r="J30" i="379"/>
  <c r="K30" i="379" s="1"/>
  <c r="D30" i="379"/>
  <c r="J21" i="379"/>
  <c r="K21" i="379" s="1"/>
  <c r="D21" i="379"/>
  <c r="J27" i="379"/>
  <c r="K27" i="379" s="1"/>
  <c r="D27" i="379"/>
  <c r="D22" i="379"/>
  <c r="J22" i="379"/>
  <c r="K22" i="379" s="1"/>
  <c r="J18" i="379"/>
  <c r="K18" i="379" s="1"/>
  <c r="D18" i="379"/>
  <c r="P7" i="378"/>
  <c r="J20" i="379"/>
  <c r="K20" i="379" s="1"/>
  <c r="D20" i="379"/>
  <c r="F17" i="379"/>
  <c r="D17" i="379"/>
  <c r="F14" i="379"/>
  <c r="D14" i="379"/>
  <c r="J24" i="379"/>
  <c r="K24" i="379" s="1"/>
  <c r="D24" i="379"/>
  <c r="D31" i="379"/>
  <c r="J31" i="379"/>
  <c r="K31" i="379" s="1"/>
  <c r="J23" i="379"/>
  <c r="K23" i="379" s="1"/>
  <c r="D23" i="379"/>
  <c r="P32" i="378"/>
  <c r="P13" i="378" s="1"/>
  <c r="O13" i="378"/>
  <c r="D25" i="379"/>
  <c r="J25" i="379"/>
  <c r="K25" i="379" s="1"/>
  <c r="D25" i="205"/>
  <c r="E25" i="205"/>
  <c r="F26" i="205" a="1"/>
  <c r="B7" i="380" a="1"/>
  <c r="B8" i="380" a="1"/>
  <c r="B9" i="380" a="1"/>
  <c r="O26" i="204" a="1"/>
  <c r="L26" i="205" a="1"/>
  <c r="B3" i="380" a="1"/>
  <c r="F26" i="204" a="1"/>
  <c r="B5" i="380" a="1"/>
  <c r="B12" i="380" a="1"/>
  <c r="B16" i="380" a="1"/>
  <c r="B15" i="380" a="1"/>
  <c r="E26" i="204" a="1"/>
  <c r="B13" i="380" a="1"/>
  <c r="B6" i="380" a="1"/>
  <c r="B10" i="380" a="1"/>
  <c r="N26" i="205" a="1"/>
  <c r="L26" i="378" l="1"/>
  <c r="N26" i="378"/>
  <c r="O4" i="378"/>
  <c r="D4" i="379"/>
  <c r="B19" i="379"/>
  <c r="C19" i="379" s="1"/>
  <c r="C25" i="205" a="1"/>
  <c r="C25" i="205" s="1"/>
  <c r="M25" i="205" a="1"/>
  <c r="M25" i="205" s="1"/>
  <c r="C65" i="203" a="1"/>
  <c r="C65" i="203" s="1"/>
  <c r="D65" i="203" s="1"/>
  <c r="N65" i="203" s="1"/>
  <c r="O16" i="377"/>
  <c r="E26" i="204"/>
  <c r="B10" i="380"/>
  <c r="C10" i="380" s="1"/>
  <c r="B16" i="380"/>
  <c r="C16" i="380" s="1"/>
  <c r="B9" i="380"/>
  <c r="C9" i="380" s="1"/>
  <c r="B6" i="380"/>
  <c r="C6" i="380" s="1"/>
  <c r="B12" i="380"/>
  <c r="C12" i="380" s="1"/>
  <c r="B15" i="380"/>
  <c r="C15" i="380" s="1"/>
  <c r="B8" i="380"/>
  <c r="C8" i="380" s="1"/>
  <c r="B13" i="380"/>
  <c r="C13" i="380" s="1"/>
  <c r="B5" i="380"/>
  <c r="C5" i="380" s="1"/>
  <c r="B3" i="380"/>
  <c r="C3" i="380" s="1"/>
  <c r="B7" i="380"/>
  <c r="C7" i="380" s="1"/>
  <c r="L25" i="379"/>
  <c r="L31" i="379"/>
  <c r="L24" i="379"/>
  <c r="L21" i="379"/>
  <c r="L27" i="379"/>
  <c r="L30" i="379"/>
  <c r="L23" i="379"/>
  <c r="L28" i="379"/>
  <c r="L20" i="379"/>
  <c r="L18" i="379"/>
  <c r="L22" i="379"/>
  <c r="F26" i="204"/>
  <c r="L26" i="205"/>
  <c r="F26" i="205"/>
  <c r="N26" i="205"/>
  <c r="Q26" i="205" s="1"/>
  <c r="O26" i="204"/>
  <c r="D32" i="379"/>
  <c r="F32" i="379"/>
  <c r="H32" i="379" s="1"/>
  <c r="H17" i="379"/>
  <c r="F29" i="379"/>
  <c r="H29" i="379" s="1"/>
  <c r="D29" i="379"/>
  <c r="H14" i="379"/>
  <c r="P25" i="205"/>
  <c r="G26" i="205" a="1"/>
  <c r="O26" i="205" a="1"/>
  <c r="D19" i="379" l="1"/>
  <c r="J19" i="379"/>
  <c r="K19" i="379" s="1"/>
  <c r="F11" i="379"/>
  <c r="H11" i="379" s="1"/>
  <c r="D11" i="379"/>
  <c r="P4" i="378"/>
  <c r="I26" i="205" s="1" a="1"/>
  <c r="I26" i="205" s="1"/>
  <c r="O5" i="378"/>
  <c r="P26" i="378"/>
  <c r="P11" i="378" s="1"/>
  <c r="O11" i="378"/>
  <c r="C26" i="204" s="1" a="1"/>
  <c r="C26" i="204" s="1"/>
  <c r="N29" i="379"/>
  <c r="P29" i="379" s="1"/>
  <c r="P12" i="379" s="1"/>
  <c r="L29" i="379"/>
  <c r="L32" i="379"/>
  <c r="N32" i="379"/>
  <c r="P32" i="379" s="1"/>
  <c r="P13" i="379" s="1"/>
  <c r="O6" i="379"/>
  <c r="O7" i="379"/>
  <c r="D13" i="380"/>
  <c r="B28" i="380"/>
  <c r="C28" i="380" s="1"/>
  <c r="B21" i="380"/>
  <c r="C21" i="380" s="1"/>
  <c r="D6" i="380"/>
  <c r="B25" i="380"/>
  <c r="C25" i="380" s="1"/>
  <c r="D10" i="380"/>
  <c r="O3" i="379"/>
  <c r="B22" i="380"/>
  <c r="C22" i="380" s="1"/>
  <c r="D7" i="380"/>
  <c r="D8" i="380"/>
  <c r="B23" i="380"/>
  <c r="C23" i="380" s="1"/>
  <c r="B24" i="380"/>
  <c r="C24" i="380" s="1"/>
  <c r="D9" i="380"/>
  <c r="D3" i="380"/>
  <c r="B18" i="380"/>
  <c r="C18" i="380" s="1"/>
  <c r="B30" i="380"/>
  <c r="C30" i="380" s="1"/>
  <c r="D15" i="380"/>
  <c r="D5" i="380"/>
  <c r="B20" i="380"/>
  <c r="C20" i="380" s="1"/>
  <c r="D12" i="380"/>
  <c r="B27" i="380"/>
  <c r="C27" i="380" s="1"/>
  <c r="D16" i="380"/>
  <c r="B31" i="380"/>
  <c r="C31" i="380" s="1"/>
  <c r="G26" i="205"/>
  <c r="O26" i="205"/>
  <c r="R26" i="205" s="1"/>
  <c r="D26" i="204"/>
  <c r="K27" i="204" a="1"/>
  <c r="L27" i="204" a="1"/>
  <c r="O27" i="204" a="1"/>
  <c r="N27" i="204" a="1"/>
  <c r="M26" i="204" l="1" a="1"/>
  <c r="M26" i="204" s="1"/>
  <c r="O14" i="378"/>
  <c r="J26" i="204" a="1"/>
  <c r="J26" i="204" s="1"/>
  <c r="P5" i="378"/>
  <c r="J26" i="205" s="1" a="1"/>
  <c r="J26" i="205" s="1"/>
  <c r="B4" i="380" a="1"/>
  <c r="B4" i="380" s="1"/>
  <c r="C4" i="380" s="1"/>
  <c r="L19" i="379"/>
  <c r="D26" i="379"/>
  <c r="F26" i="379"/>
  <c r="H26" i="379" s="1"/>
  <c r="O13" i="379"/>
  <c r="O12" i="379"/>
  <c r="F17" i="380"/>
  <c r="H17" i="380" s="1"/>
  <c r="N27" i="204"/>
  <c r="L27" i="204"/>
  <c r="K27" i="204"/>
  <c r="O27" i="204"/>
  <c r="D24" i="380"/>
  <c r="J24" i="380"/>
  <c r="K24" i="380" s="1"/>
  <c r="D22" i="380"/>
  <c r="J22" i="380"/>
  <c r="K22" i="380" s="1"/>
  <c r="J31" i="380"/>
  <c r="K31" i="380" s="1"/>
  <c r="D31" i="380"/>
  <c r="D20" i="380"/>
  <c r="J20" i="380"/>
  <c r="K20" i="380" s="1"/>
  <c r="D23" i="380"/>
  <c r="J23" i="380"/>
  <c r="K23" i="380" s="1"/>
  <c r="P3" i="379"/>
  <c r="P7" i="379"/>
  <c r="D21" i="380"/>
  <c r="J21" i="380"/>
  <c r="K21" i="380" s="1"/>
  <c r="P6" i="379"/>
  <c r="D14" i="380"/>
  <c r="F14" i="380"/>
  <c r="J30" i="380"/>
  <c r="K30" i="380" s="1"/>
  <c r="D30" i="380"/>
  <c r="J25" i="380"/>
  <c r="K25" i="380" s="1"/>
  <c r="D25" i="380"/>
  <c r="D18" i="380"/>
  <c r="J18" i="380"/>
  <c r="K18" i="380" s="1"/>
  <c r="D27" i="380"/>
  <c r="J27" i="380"/>
  <c r="K27" i="380" s="1"/>
  <c r="D17" i="380"/>
  <c r="J28" i="380"/>
  <c r="K28" i="380" s="1"/>
  <c r="D28" i="380"/>
  <c r="B9" i="381" a="1"/>
  <c r="B16" i="381" a="1"/>
  <c r="B6" i="381" a="1"/>
  <c r="H27" i="205" a="1"/>
  <c r="L27" i="205" a="1"/>
  <c r="F27" i="204" a="1"/>
  <c r="K27" i="205" a="1"/>
  <c r="E27" i="204" a="1"/>
  <c r="B3" i="381" a="1"/>
  <c r="B5" i="381" a="1"/>
  <c r="B12" i="381" a="1"/>
  <c r="B10" i="381" a="1"/>
  <c r="B15" i="381" a="1"/>
  <c r="B13" i="381" a="1"/>
  <c r="B8" i="381" a="1"/>
  <c r="B7" i="381" a="1"/>
  <c r="O4" i="379" l="1"/>
  <c r="N26" i="379"/>
  <c r="L26" i="379"/>
  <c r="D4" i="380"/>
  <c r="B19" i="380"/>
  <c r="C19" i="380" s="1"/>
  <c r="E26" i="205" a="1"/>
  <c r="E26" i="205" s="1"/>
  <c r="C26" i="205" a="1"/>
  <c r="C26" i="205" s="1"/>
  <c r="D26" i="205" a="1"/>
  <c r="D26" i="205" s="1"/>
  <c r="M26" i="205" a="1"/>
  <c r="M26" i="205" s="1"/>
  <c r="O16" i="378"/>
  <c r="C68" i="203" a="1"/>
  <c r="C68" i="203" s="1"/>
  <c r="D68" i="203" s="1"/>
  <c r="N68" i="203" s="1"/>
  <c r="F27" i="204"/>
  <c r="E27" i="204"/>
  <c r="D32" i="380"/>
  <c r="B12" i="381"/>
  <c r="C12" i="381" s="1"/>
  <c r="B15" i="381"/>
  <c r="C15" i="381" s="1"/>
  <c r="B6" i="381"/>
  <c r="C6" i="381" s="1"/>
  <c r="B8" i="381"/>
  <c r="C8" i="381" s="1"/>
  <c r="B5" i="381"/>
  <c r="C5" i="381" s="1"/>
  <c r="B7" i="381"/>
  <c r="C7" i="381" s="1"/>
  <c r="B16" i="381"/>
  <c r="C16" i="381" s="1"/>
  <c r="B13" i="381"/>
  <c r="C13" i="381" s="1"/>
  <c r="B3" i="381"/>
  <c r="C3" i="381" s="1"/>
  <c r="B10" i="381"/>
  <c r="C10" i="381" s="1"/>
  <c r="B9" i="381"/>
  <c r="C9" i="381" s="1"/>
  <c r="L27" i="380"/>
  <c r="L30" i="380"/>
  <c r="L21" i="380"/>
  <c r="L23" i="380"/>
  <c r="L20" i="380"/>
  <c r="L22" i="380"/>
  <c r="L31" i="380"/>
  <c r="L28" i="380"/>
  <c r="L18" i="380"/>
  <c r="L25" i="380"/>
  <c r="L24" i="380"/>
  <c r="L27" i="205"/>
  <c r="K27" i="205"/>
  <c r="F27" i="205" s="1" a="1"/>
  <c r="H27" i="205"/>
  <c r="F32" i="380"/>
  <c r="H14" i="380"/>
  <c r="F29" i="380"/>
  <c r="H29" i="380" s="1"/>
  <c r="D29" i="380"/>
  <c r="P26" i="205"/>
  <c r="G27" i="205" a="1"/>
  <c r="N27" i="205" a="1"/>
  <c r="O27" i="205" a="1"/>
  <c r="J19" i="380" l="1"/>
  <c r="K19" i="380" s="1"/>
  <c r="D19" i="380"/>
  <c r="F11" i="380"/>
  <c r="H11" i="380" s="1"/>
  <c r="D11" i="380"/>
  <c r="P26" i="379"/>
  <c r="P11" i="379" s="1"/>
  <c r="O11" i="379"/>
  <c r="C27" i="204" s="1" a="1"/>
  <c r="C27" i="204" s="1"/>
  <c r="D27" i="204" s="1"/>
  <c r="P4" i="379"/>
  <c r="I27" i="205" s="1" a="1"/>
  <c r="I27" i="205" s="1"/>
  <c r="O5" i="379"/>
  <c r="N29" i="380"/>
  <c r="P29" i="380" s="1"/>
  <c r="P12" i="380" s="1"/>
  <c r="O3" i="380"/>
  <c r="N32" i="380"/>
  <c r="P32" i="380" s="1"/>
  <c r="O7" i="380"/>
  <c r="O6" i="380"/>
  <c r="P6" i="380" s="1"/>
  <c r="L29" i="380"/>
  <c r="P3" i="380"/>
  <c r="B24" i="381"/>
  <c r="C24" i="381" s="1"/>
  <c r="D9" i="381"/>
  <c r="D16" i="381"/>
  <c r="B31" i="381"/>
  <c r="C31" i="381" s="1"/>
  <c r="B21" i="381"/>
  <c r="C21" i="381" s="1"/>
  <c r="D6" i="381"/>
  <c r="L32" i="380"/>
  <c r="B25" i="381"/>
  <c r="C25" i="381" s="1"/>
  <c r="D10" i="381"/>
  <c r="B22" i="381"/>
  <c r="C22" i="381" s="1"/>
  <c r="D7" i="381"/>
  <c r="B30" i="381"/>
  <c r="C30" i="381" s="1"/>
  <c r="D15" i="381"/>
  <c r="D3" i="381"/>
  <c r="B18" i="381"/>
  <c r="C18" i="381" s="1"/>
  <c r="D5" i="381"/>
  <c r="B20" i="381"/>
  <c r="C20" i="381" s="1"/>
  <c r="D12" i="381"/>
  <c r="B27" i="381"/>
  <c r="C27" i="381" s="1"/>
  <c r="D13" i="381"/>
  <c r="B28" i="381"/>
  <c r="C28" i="381" s="1"/>
  <c r="B23" i="381"/>
  <c r="C23" i="381" s="1"/>
  <c r="D8" i="381"/>
  <c r="F27" i="205"/>
  <c r="N27" i="205"/>
  <c r="G27" i="205"/>
  <c r="O27" i="205"/>
  <c r="R27" i="205" s="1"/>
  <c r="H32" i="380"/>
  <c r="P13" i="380" s="1"/>
  <c r="O13" i="380"/>
  <c r="L28" i="204" a="1"/>
  <c r="K28" i="205" a="1"/>
  <c r="F28" i="204" a="1"/>
  <c r="K28" i="204" a="1"/>
  <c r="H28" i="205" a="1"/>
  <c r="O28" i="204" a="1"/>
  <c r="N28" i="204" a="1"/>
  <c r="J27" i="204" l="1" a="1"/>
  <c r="J27" i="204" s="1"/>
  <c r="P5" i="379"/>
  <c r="J27" i="205" s="1" a="1"/>
  <c r="J27" i="205" s="1"/>
  <c r="M27" i="204" a="1"/>
  <c r="M27" i="204" s="1"/>
  <c r="O14" i="379"/>
  <c r="F26" i="380"/>
  <c r="D26" i="380"/>
  <c r="B4" i="381" a="1"/>
  <c r="B4" i="381" s="1"/>
  <c r="C4" i="381" s="1"/>
  <c r="L19" i="380"/>
  <c r="E27" i="205" a="1"/>
  <c r="C27" i="205" a="1"/>
  <c r="O12" i="380"/>
  <c r="L28" i="204"/>
  <c r="P7" i="380"/>
  <c r="K28" i="204"/>
  <c r="H28" i="205"/>
  <c r="J28" i="381"/>
  <c r="K28" i="381" s="1"/>
  <c r="D28" i="381"/>
  <c r="F17" i="381"/>
  <c r="D17" i="381"/>
  <c r="J24" i="381"/>
  <c r="K24" i="381" s="1"/>
  <c r="D24" i="381"/>
  <c r="J30" i="381"/>
  <c r="K30" i="381" s="1"/>
  <c r="D30" i="381"/>
  <c r="J25" i="381"/>
  <c r="K25" i="381" s="1"/>
  <c r="D25" i="381"/>
  <c r="D31" i="381"/>
  <c r="J31" i="381"/>
  <c r="K31" i="381" s="1"/>
  <c r="D21" i="381"/>
  <c r="J21" i="381"/>
  <c r="K21" i="381" s="1"/>
  <c r="D27" i="381"/>
  <c r="J27" i="381"/>
  <c r="K27" i="381" s="1"/>
  <c r="J18" i="381"/>
  <c r="K18" i="381" s="1"/>
  <c r="D18" i="381"/>
  <c r="J20" i="381"/>
  <c r="K20" i="381" s="1"/>
  <c r="D20" i="381"/>
  <c r="D23" i="381"/>
  <c r="J23" i="381"/>
  <c r="K23" i="381" s="1"/>
  <c r="D14" i="381"/>
  <c r="F14" i="381"/>
  <c r="D22" i="381"/>
  <c r="J22" i="381"/>
  <c r="K22" i="381" s="1"/>
  <c r="E27" i="205"/>
  <c r="C27" i="205"/>
  <c r="F28" i="204"/>
  <c r="O28" i="204"/>
  <c r="N28" i="204"/>
  <c r="K28" i="205"/>
  <c r="F28" i="205" s="1" a="1"/>
  <c r="Q27" i="205"/>
  <c r="E28" i="204" a="1"/>
  <c r="B12" i="382" a="1"/>
  <c r="B9" i="382" a="1"/>
  <c r="N28" i="205" a="1"/>
  <c r="B7" i="382" a="1"/>
  <c r="B6" i="382" a="1"/>
  <c r="B15" i="382" a="1"/>
  <c r="B3" i="382" a="1"/>
  <c r="L28" i="205" a="1"/>
  <c r="B10" i="382" a="1"/>
  <c r="B8" i="382" a="1"/>
  <c r="B5" i="382" a="1"/>
  <c r="B16" i="382" a="1"/>
  <c r="B13" i="382" a="1"/>
  <c r="O4" i="380" l="1"/>
  <c r="L26" i="380"/>
  <c r="N26" i="380"/>
  <c r="P26" i="380" s="1"/>
  <c r="B19" i="381"/>
  <c r="C19" i="381" s="1"/>
  <c r="D4" i="381"/>
  <c r="H26" i="380"/>
  <c r="P11" i="380" s="1"/>
  <c r="O11" i="380"/>
  <c r="C28" i="204" s="1" a="1"/>
  <c r="C28" i="204" s="1"/>
  <c r="O16" i="379"/>
  <c r="C71" i="203" a="1"/>
  <c r="C71" i="203" s="1"/>
  <c r="D71" i="203" s="1"/>
  <c r="N71" i="203" s="1"/>
  <c r="D27" i="205" a="1"/>
  <c r="D27" i="205" s="1"/>
  <c r="M27" i="205" a="1"/>
  <c r="M27" i="205" s="1"/>
  <c r="E28" i="204"/>
  <c r="L28" i="205"/>
  <c r="B5" i="382"/>
  <c r="C5" i="382" s="1"/>
  <c r="B15" i="382"/>
  <c r="C15" i="382" s="1"/>
  <c r="B9" i="382"/>
  <c r="C9" i="382" s="1"/>
  <c r="B13" i="382"/>
  <c r="C13" i="382" s="1"/>
  <c r="B8" i="382"/>
  <c r="C8" i="382" s="1"/>
  <c r="B6" i="382"/>
  <c r="C6" i="382" s="1"/>
  <c r="B3" i="382"/>
  <c r="C3" i="382" s="1"/>
  <c r="B10" i="382"/>
  <c r="C10" i="382" s="1"/>
  <c r="B7" i="382"/>
  <c r="C7" i="382" s="1"/>
  <c r="B12" i="382"/>
  <c r="C12" i="382" s="1"/>
  <c r="B16" i="382"/>
  <c r="C16" i="382" s="1"/>
  <c r="L20" i="381"/>
  <c r="L30" i="381"/>
  <c r="L24" i="381"/>
  <c r="L28" i="381"/>
  <c r="L23" i="381"/>
  <c r="L21" i="381"/>
  <c r="L18" i="381"/>
  <c r="L25" i="381"/>
  <c r="L22" i="381"/>
  <c r="L27" i="381"/>
  <c r="L31" i="381"/>
  <c r="F29" i="381"/>
  <c r="H29" i="381" s="1"/>
  <c r="D29" i="381"/>
  <c r="H17" i="381"/>
  <c r="H14" i="381"/>
  <c r="F32" i="381"/>
  <c r="H32" i="381" s="1"/>
  <c r="D32" i="381"/>
  <c r="N28" i="205"/>
  <c r="F28" i="205"/>
  <c r="D28" i="204"/>
  <c r="P27" i="205"/>
  <c r="G28" i="205" a="1"/>
  <c r="O28" i="205" a="1"/>
  <c r="M28" i="204" l="1" a="1"/>
  <c r="M28" i="204" s="1"/>
  <c r="O14" i="380"/>
  <c r="F11" i="381"/>
  <c r="H11" i="381" s="1"/>
  <c r="D11" i="381"/>
  <c r="D19" i="381"/>
  <c r="J19" i="381"/>
  <c r="K19" i="381" s="1"/>
  <c r="P4" i="380"/>
  <c r="I28" i="205" s="1" a="1"/>
  <c r="I28" i="205" s="1"/>
  <c r="O5" i="380"/>
  <c r="N32" i="381"/>
  <c r="P32" i="381" s="1"/>
  <c r="O6" i="381"/>
  <c r="P6" i="381" s="1"/>
  <c r="O28" i="205"/>
  <c r="R28" i="205" s="1"/>
  <c r="G28" i="205"/>
  <c r="L29" i="381"/>
  <c r="N29" i="381"/>
  <c r="P29" i="381" s="1"/>
  <c r="P12" i="381" s="1"/>
  <c r="L32" i="381"/>
  <c r="O7" i="381"/>
  <c r="D7" i="382"/>
  <c r="B22" i="382"/>
  <c r="C22" i="382" s="1"/>
  <c r="B31" i="382"/>
  <c r="C31" i="382" s="1"/>
  <c r="D16" i="382"/>
  <c r="D3" i="382"/>
  <c r="B18" i="382"/>
  <c r="C18" i="382" s="1"/>
  <c r="D13" i="382"/>
  <c r="B28" i="382"/>
  <c r="C28" i="382" s="1"/>
  <c r="D6" i="382"/>
  <c r="B21" i="382"/>
  <c r="C21" i="382" s="1"/>
  <c r="O3" i="381"/>
  <c r="D12" i="382"/>
  <c r="B27" i="382"/>
  <c r="C27" i="382" s="1"/>
  <c r="D9" i="382"/>
  <c r="B24" i="382"/>
  <c r="C24" i="382" s="1"/>
  <c r="D15" i="382"/>
  <c r="B30" i="382"/>
  <c r="C30" i="382" s="1"/>
  <c r="P7" i="381"/>
  <c r="B25" i="382"/>
  <c r="C25" i="382" s="1"/>
  <c r="D10" i="382"/>
  <c r="D8" i="382"/>
  <c r="B23" i="382"/>
  <c r="C23" i="382" s="1"/>
  <c r="D5" i="382"/>
  <c r="B20" i="382"/>
  <c r="C20" i="382" s="1"/>
  <c r="O13" i="381"/>
  <c r="P13" i="381"/>
  <c r="Q28" i="205"/>
  <c r="K29" i="204" a="1"/>
  <c r="L29" i="205" a="1"/>
  <c r="O29" i="204" a="1"/>
  <c r="K29" i="205" a="1"/>
  <c r="N29" i="204" a="1"/>
  <c r="L29" i="204" a="1"/>
  <c r="F29" i="204" a="1"/>
  <c r="J28" i="204" l="1" a="1"/>
  <c r="J28" i="204" s="1"/>
  <c r="P5" i="380"/>
  <c r="J28" i="205" s="1" a="1"/>
  <c r="J28" i="205" s="1"/>
  <c r="B4" i="382" a="1"/>
  <c r="B4" i="382" s="1"/>
  <c r="C4" i="382" s="1"/>
  <c r="L19" i="381"/>
  <c r="F26" i="381"/>
  <c r="H26" i="381" s="1"/>
  <c r="D26" i="381"/>
  <c r="C74" i="203" a="1"/>
  <c r="C74" i="203" s="1"/>
  <c r="D74" i="203" s="1"/>
  <c r="N74" i="203" s="1"/>
  <c r="O16" i="380"/>
  <c r="D28" i="205" a="1"/>
  <c r="D28" i="205" s="1"/>
  <c r="K29" i="204"/>
  <c r="O12" i="381"/>
  <c r="L29" i="204"/>
  <c r="N29" i="204"/>
  <c r="L29" i="205"/>
  <c r="J24" i="382"/>
  <c r="K24" i="382" s="1"/>
  <c r="D24" i="382"/>
  <c r="D21" i="382"/>
  <c r="J21" i="382"/>
  <c r="K21" i="382" s="1"/>
  <c r="D20" i="382"/>
  <c r="J20" i="382"/>
  <c r="K20" i="382" s="1"/>
  <c r="J25" i="382"/>
  <c r="K25" i="382" s="1"/>
  <c r="D25" i="382"/>
  <c r="D30" i="382"/>
  <c r="J30" i="382"/>
  <c r="K30" i="382" s="1"/>
  <c r="P3" i="381"/>
  <c r="J28" i="382"/>
  <c r="K28" i="382" s="1"/>
  <c r="D28" i="382"/>
  <c r="D22" i="382"/>
  <c r="J22" i="382"/>
  <c r="K22" i="382" s="1"/>
  <c r="D27" i="382"/>
  <c r="J27" i="382"/>
  <c r="K27" i="382" s="1"/>
  <c r="J23" i="382"/>
  <c r="K23" i="382" s="1"/>
  <c r="D23" i="382"/>
  <c r="F17" i="382"/>
  <c r="D17" i="382"/>
  <c r="D14" i="382"/>
  <c r="J31" i="382"/>
  <c r="K31" i="382" s="1"/>
  <c r="D31" i="382"/>
  <c r="J18" i="382"/>
  <c r="K18" i="382" s="1"/>
  <c r="D18" i="382"/>
  <c r="F14" i="382"/>
  <c r="O29" i="204"/>
  <c r="K29" i="205"/>
  <c r="F29" i="204"/>
  <c r="G29" i="205" a="1"/>
  <c r="M28" i="205" a="1"/>
  <c r="B10" i="383" a="1"/>
  <c r="B5" i="383" a="1"/>
  <c r="B16" i="383" a="1"/>
  <c r="E29" i="204" a="1"/>
  <c r="B8" i="383" a="1"/>
  <c r="B3" i="383" a="1"/>
  <c r="B15" i="383" a="1"/>
  <c r="O29" i="205" a="1"/>
  <c r="B7" i="383" a="1"/>
  <c r="B6" i="383" a="1"/>
  <c r="B9" i="383" a="1"/>
  <c r="B12" i="383" a="1"/>
  <c r="H29" i="205" a="1"/>
  <c r="B13" i="383" a="1"/>
  <c r="N29" i="205" a="1"/>
  <c r="O4" i="381" l="1"/>
  <c r="L26" i="381"/>
  <c r="N26" i="381"/>
  <c r="B19" i="382"/>
  <c r="C19" i="382" s="1"/>
  <c r="D4" i="382"/>
  <c r="C28" i="205" a="1"/>
  <c r="C28" i="205" s="1"/>
  <c r="E28" i="205" a="1"/>
  <c r="E28" i="205" s="1"/>
  <c r="M28" i="205"/>
  <c r="P28" i="205" s="1"/>
  <c r="F29" i="205" a="1"/>
  <c r="E29" i="204"/>
  <c r="B16" i="383"/>
  <c r="C16" i="383" s="1"/>
  <c r="B12" i="383"/>
  <c r="C12" i="383" s="1"/>
  <c r="B15" i="383"/>
  <c r="C15" i="383" s="1"/>
  <c r="B5" i="383"/>
  <c r="C5" i="383" s="1"/>
  <c r="B13" i="383"/>
  <c r="C13" i="383" s="1"/>
  <c r="B9" i="383"/>
  <c r="C9" i="383" s="1"/>
  <c r="B3" i="383"/>
  <c r="C3" i="383" s="1"/>
  <c r="B7" i="383"/>
  <c r="C7" i="383" s="1"/>
  <c r="B6" i="383"/>
  <c r="C6" i="383" s="1"/>
  <c r="B8" i="383"/>
  <c r="C8" i="383" s="1"/>
  <c r="B10" i="383"/>
  <c r="C10" i="383" s="1"/>
  <c r="L31" i="382"/>
  <c r="L27" i="382"/>
  <c r="L30" i="382"/>
  <c r="L20" i="382"/>
  <c r="L28" i="382"/>
  <c r="L24" i="382"/>
  <c r="L18" i="382"/>
  <c r="L22" i="382"/>
  <c r="L21" i="382"/>
  <c r="L23" i="382"/>
  <c r="L25" i="382"/>
  <c r="H29" i="205"/>
  <c r="O29" i="205"/>
  <c r="R29" i="205" s="1"/>
  <c r="G29" i="205"/>
  <c r="H14" i="382"/>
  <c r="H17" i="382"/>
  <c r="F29" i="382"/>
  <c r="H29" i="382" s="1"/>
  <c r="D29" i="382"/>
  <c r="D32" i="382"/>
  <c r="F32" i="382"/>
  <c r="H32" i="382" s="1"/>
  <c r="F29" i="205"/>
  <c r="N29" i="205"/>
  <c r="F15" i="329" a="1"/>
  <c r="C20" i="329" a="1"/>
  <c r="F21" i="329" a="1"/>
  <c r="C21" i="329" a="1"/>
  <c r="C17" i="329" a="1"/>
  <c r="C22" i="329" a="1"/>
  <c r="F16" i="329" a="1"/>
  <c r="C18" i="329" a="1"/>
  <c r="C16" i="329" a="1"/>
  <c r="C15" i="329" a="1"/>
  <c r="C19" i="329" a="1"/>
  <c r="F11" i="382" l="1"/>
  <c r="H11" i="382" s="1"/>
  <c r="D11" i="382"/>
  <c r="D19" i="382"/>
  <c r="J19" i="382"/>
  <c r="K19" i="382" s="1"/>
  <c r="P26" i="381"/>
  <c r="P11" i="381" s="1"/>
  <c r="O11" i="381"/>
  <c r="C29" i="204" s="1" a="1"/>
  <c r="C29" i="204" s="1"/>
  <c r="D29" i="204" s="1"/>
  <c r="P4" i="381"/>
  <c r="I29" i="205" s="1" a="1"/>
  <c r="I29" i="205" s="1"/>
  <c r="O5" i="381"/>
  <c r="L32" i="382"/>
  <c r="O6" i="382"/>
  <c r="N32" i="382"/>
  <c r="P32" i="382" s="1"/>
  <c r="P13" i="382" s="1"/>
  <c r="O7" i="382"/>
  <c r="L29" i="382"/>
  <c r="O3" i="382"/>
  <c r="P3" i="382" s="1"/>
  <c r="C22" i="329"/>
  <c r="C16" i="329"/>
  <c r="C17" i="329"/>
  <c r="C20" i="329"/>
  <c r="C15" i="329"/>
  <c r="C18" i="329"/>
  <c r="C21" i="329"/>
  <c r="F15" i="329"/>
  <c r="C19" i="329"/>
  <c r="F16" i="329"/>
  <c r="F21" i="329"/>
  <c r="B25" i="383"/>
  <c r="C25" i="383" s="1"/>
  <c r="D10" i="383"/>
  <c r="B20" i="383"/>
  <c r="C20" i="383" s="1"/>
  <c r="D5" i="383"/>
  <c r="D8" i="383"/>
  <c r="B23" i="383"/>
  <c r="C23" i="383" s="1"/>
  <c r="D3" i="383"/>
  <c r="B18" i="383"/>
  <c r="C18" i="383" s="1"/>
  <c r="B30" i="383"/>
  <c r="C30" i="383" s="1"/>
  <c r="D15" i="383"/>
  <c r="N29" i="382"/>
  <c r="P29" i="382" s="1"/>
  <c r="P12" i="382" s="1"/>
  <c r="D6" i="383"/>
  <c r="B21" i="383"/>
  <c r="C21" i="383" s="1"/>
  <c r="B24" i="383"/>
  <c r="C24" i="383" s="1"/>
  <c r="D9" i="383"/>
  <c r="B27" i="383"/>
  <c r="C27" i="383" s="1"/>
  <c r="D12" i="383"/>
  <c r="D7" i="383"/>
  <c r="B22" i="383"/>
  <c r="C22" i="383" s="1"/>
  <c r="B28" i="383"/>
  <c r="C28" i="383" s="1"/>
  <c r="D13" i="383"/>
  <c r="B31" i="383"/>
  <c r="C31" i="383" s="1"/>
  <c r="D16" i="383"/>
  <c r="P6" i="382"/>
  <c r="Q29" i="205"/>
  <c r="C34" i="329" a="1"/>
  <c r="L30" i="204" a="1"/>
  <c r="H30" i="205" a="1"/>
  <c r="C32" i="329" a="1"/>
  <c r="K30" i="205" a="1"/>
  <c r="C36" i="329" a="1"/>
  <c r="K30" i="204" a="1"/>
  <c r="C30" i="329" a="1"/>
  <c r="C31" i="329" a="1"/>
  <c r="F36" i="329" a="1"/>
  <c r="C37" i="329" a="1"/>
  <c r="F31" i="329" a="1"/>
  <c r="O30" i="204" a="1"/>
  <c r="F30" i="329" a="1"/>
  <c r="C33" i="329" a="1"/>
  <c r="C35" i="329" a="1"/>
  <c r="N30" i="204" a="1"/>
  <c r="J29" i="204" l="1" a="1"/>
  <c r="J29" i="204" s="1"/>
  <c r="P5" i="381"/>
  <c r="J29" i="205" s="1" a="1"/>
  <c r="J29" i="205" s="1"/>
  <c r="M29" i="204" a="1"/>
  <c r="M29" i="204" s="1"/>
  <c r="O14" i="381"/>
  <c r="B4" i="383" a="1"/>
  <c r="B4" i="383" s="1"/>
  <c r="C4" i="383" s="1"/>
  <c r="L19" i="382"/>
  <c r="F26" i="382"/>
  <c r="D26" i="382"/>
  <c r="K30" i="204"/>
  <c r="O13" i="382"/>
  <c r="O30" i="204"/>
  <c r="O12" i="382"/>
  <c r="L30" i="204"/>
  <c r="P7" i="382"/>
  <c r="C37" i="329"/>
  <c r="C36" i="329"/>
  <c r="C35" i="329"/>
  <c r="F36" i="329"/>
  <c r="C32" i="329"/>
  <c r="F31" i="329"/>
  <c r="C33" i="329"/>
  <c r="C31" i="329"/>
  <c r="H30" i="205"/>
  <c r="C34" i="329"/>
  <c r="F30" i="329"/>
  <c r="C30" i="329"/>
  <c r="D25" i="383"/>
  <c r="J25" i="383"/>
  <c r="K25" i="383" s="1"/>
  <c r="D24" i="383"/>
  <c r="J24" i="383"/>
  <c r="K24" i="383" s="1"/>
  <c r="D17" i="383"/>
  <c r="F17" i="383"/>
  <c r="D23" i="383"/>
  <c r="J23" i="383"/>
  <c r="K23" i="383" s="1"/>
  <c r="J31" i="383"/>
  <c r="K31" i="383" s="1"/>
  <c r="D31" i="383"/>
  <c r="D20" i="383"/>
  <c r="J20" i="383"/>
  <c r="K20" i="383" s="1"/>
  <c r="D28" i="383"/>
  <c r="J28" i="383"/>
  <c r="K28" i="383" s="1"/>
  <c r="F14" i="383"/>
  <c r="D14" i="383"/>
  <c r="D21" i="383"/>
  <c r="J21" i="383"/>
  <c r="K21" i="383" s="1"/>
  <c r="D30" i="383"/>
  <c r="J30" i="383"/>
  <c r="K30" i="383" s="1"/>
  <c r="D22" i="383"/>
  <c r="J22" i="383"/>
  <c r="K22" i="383" s="1"/>
  <c r="J27" i="383"/>
  <c r="K27" i="383" s="1"/>
  <c r="D27" i="383"/>
  <c r="J18" i="383"/>
  <c r="K18" i="383" s="1"/>
  <c r="D18" i="383"/>
  <c r="K30" i="205"/>
  <c r="F30" i="205" s="1" a="1"/>
  <c r="N30" i="204"/>
  <c r="E30" i="204" a="1"/>
  <c r="B15" i="384" a="1"/>
  <c r="B6" i="384" a="1"/>
  <c r="B3" i="384" a="1"/>
  <c r="C48" i="329" a="1"/>
  <c r="C47" i="329" a="1"/>
  <c r="C45" i="329" a="1"/>
  <c r="C49" i="329" a="1"/>
  <c r="L30" i="205" a="1"/>
  <c r="C46" i="329" a="1"/>
  <c r="B9" i="384" a="1"/>
  <c r="C26" i="329" a="1"/>
  <c r="B8" i="384" a="1"/>
  <c r="B10" i="384" a="1"/>
  <c r="B5" i="384" a="1"/>
  <c r="F45" i="329" a="1"/>
  <c r="C50" i="329" a="1"/>
  <c r="F51" i="329" a="1"/>
  <c r="N30" i="205" a="1"/>
  <c r="F30" i="204" a="1"/>
  <c r="B12" i="384" a="1"/>
  <c r="B13" i="384" a="1"/>
  <c r="B16" i="384" a="1"/>
  <c r="B7" i="384" a="1"/>
  <c r="C51" i="329" a="1"/>
  <c r="C25" i="329" a="1"/>
  <c r="F46" i="329" a="1"/>
  <c r="C52" i="329" a="1"/>
  <c r="H26" i="382" l="1"/>
  <c r="O4" i="382"/>
  <c r="N26" i="382"/>
  <c r="L26" i="382"/>
  <c r="B19" i="383"/>
  <c r="C19" i="383" s="1"/>
  <c r="D4" i="383"/>
  <c r="O16" i="381"/>
  <c r="C77" i="203" a="1"/>
  <c r="C77" i="203" s="1"/>
  <c r="D77" i="203" s="1"/>
  <c r="N77" i="203" s="1"/>
  <c r="C29" i="205" a="1"/>
  <c r="C29" i="205" s="1"/>
  <c r="E29" i="205" a="1"/>
  <c r="E29" i="205" s="1"/>
  <c r="D29" i="205" a="1"/>
  <c r="D29" i="205" s="1"/>
  <c r="M29" i="205" a="1"/>
  <c r="M29" i="205" s="1"/>
  <c r="F30" i="204"/>
  <c r="E30" i="204"/>
  <c r="L30" i="205"/>
  <c r="G30" i="205" s="1" a="1"/>
  <c r="B7" i="384"/>
  <c r="C7" i="384" s="1"/>
  <c r="B5" i="384"/>
  <c r="C5" i="384" s="1"/>
  <c r="B3" i="384"/>
  <c r="C3" i="384" s="1"/>
  <c r="B16" i="384"/>
  <c r="C16" i="384" s="1"/>
  <c r="B10" i="384"/>
  <c r="C10" i="384" s="1"/>
  <c r="B6" i="384"/>
  <c r="C6" i="384" s="1"/>
  <c r="B13" i="384"/>
  <c r="C13" i="384" s="1"/>
  <c r="B8" i="384"/>
  <c r="C8" i="384" s="1"/>
  <c r="B9" i="384"/>
  <c r="C9" i="384" s="1"/>
  <c r="B15" i="384"/>
  <c r="C15" i="384" s="1"/>
  <c r="B12" i="384"/>
  <c r="C12" i="384" s="1"/>
  <c r="L30" i="383"/>
  <c r="C49" i="329"/>
  <c r="F46" i="329"/>
  <c r="F51" i="329"/>
  <c r="C52" i="329"/>
  <c r="C45" i="329"/>
  <c r="C25" i="329"/>
  <c r="C50" i="329"/>
  <c r="C26" i="329"/>
  <c r="C47" i="329"/>
  <c r="C51" i="329"/>
  <c r="F45" i="329"/>
  <c r="C46" i="329"/>
  <c r="C48" i="329"/>
  <c r="L22" i="383"/>
  <c r="L28" i="383"/>
  <c r="L31" i="383"/>
  <c r="H17" i="383"/>
  <c r="L25" i="383"/>
  <c r="L18" i="383"/>
  <c r="L23" i="383"/>
  <c r="F29" i="383"/>
  <c r="H29" i="383" s="1"/>
  <c r="D29" i="383"/>
  <c r="D32" i="383"/>
  <c r="F32" i="383"/>
  <c r="H32" i="383" s="1"/>
  <c r="L20" i="383"/>
  <c r="L24" i="383"/>
  <c r="L27" i="383"/>
  <c r="L21" i="383"/>
  <c r="H14" i="383"/>
  <c r="N30" i="205"/>
  <c r="F30" i="205"/>
  <c r="P29" i="205"/>
  <c r="C41" i="329" a="1"/>
  <c r="O30" i="205" a="1"/>
  <c r="C40" i="329" a="1"/>
  <c r="F11" i="383" l="1"/>
  <c r="H11" i="383" s="1"/>
  <c r="D11" i="383"/>
  <c r="D19" i="383"/>
  <c r="J19" i="383"/>
  <c r="K19" i="383" s="1"/>
  <c r="P26" i="382"/>
  <c r="O11" i="382"/>
  <c r="C30" i="204" s="1" a="1"/>
  <c r="C30" i="204" s="1"/>
  <c r="D30" i="204" s="1"/>
  <c r="P4" i="382"/>
  <c r="I30" i="205" s="1" a="1"/>
  <c r="I30" i="205" s="1"/>
  <c r="O5" i="382"/>
  <c r="P11" i="382"/>
  <c r="L32" i="383"/>
  <c r="O30" i="205"/>
  <c r="R30" i="205" s="1"/>
  <c r="G30" i="205"/>
  <c r="N32" i="383"/>
  <c r="P32" i="383" s="1"/>
  <c r="B31" i="384"/>
  <c r="C31" i="384" s="1"/>
  <c r="D16" i="384"/>
  <c r="B30" i="384"/>
  <c r="C30" i="384" s="1"/>
  <c r="D15" i="384"/>
  <c r="D6" i="384"/>
  <c r="B21" i="384"/>
  <c r="C21" i="384" s="1"/>
  <c r="D3" i="384"/>
  <c r="B18" i="384"/>
  <c r="C18" i="384" s="1"/>
  <c r="B27" i="384"/>
  <c r="C27" i="384" s="1"/>
  <c r="D12" i="384"/>
  <c r="B24" i="384"/>
  <c r="C24" i="384" s="1"/>
  <c r="D9" i="384"/>
  <c r="D13" i="384"/>
  <c r="B28" i="384"/>
  <c r="C28" i="384" s="1"/>
  <c r="B23" i="384"/>
  <c r="C23" i="384" s="1"/>
  <c r="D8" i="384"/>
  <c r="D10" i="384"/>
  <c r="B25" i="384"/>
  <c r="C25" i="384" s="1"/>
  <c r="D5" i="384"/>
  <c r="B20" i="384"/>
  <c r="C20" i="384" s="1"/>
  <c r="B22" i="384"/>
  <c r="C22" i="384" s="1"/>
  <c r="D7" i="384"/>
  <c r="C41" i="329"/>
  <c r="C40" i="329"/>
  <c r="O7" i="383"/>
  <c r="L29" i="383"/>
  <c r="N29" i="383"/>
  <c r="O13" i="383"/>
  <c r="O6" i="383"/>
  <c r="O3" i="383"/>
  <c r="P13" i="383"/>
  <c r="Q30" i="205"/>
  <c r="O31" i="204" a="1"/>
  <c r="C55" i="329" a="1"/>
  <c r="F31" i="204" a="1"/>
  <c r="L31" i="204" a="1"/>
  <c r="K31" i="204" a="1"/>
  <c r="F20" i="329" a="1"/>
  <c r="C56" i="329" a="1"/>
  <c r="M30" i="204" l="1" a="1"/>
  <c r="M30" i="204" s="1"/>
  <c r="O14" i="382"/>
  <c r="J30" i="204" a="1"/>
  <c r="J30" i="204" s="1"/>
  <c r="P5" i="382"/>
  <c r="J30" i="205" s="1" a="1"/>
  <c r="J30" i="205" s="1"/>
  <c r="B4" i="384" a="1"/>
  <c r="B4" i="384" s="1"/>
  <c r="C4" i="384" s="1"/>
  <c r="L19" i="383"/>
  <c r="F26" i="383"/>
  <c r="H26" i="383" s="1"/>
  <c r="D26" i="383"/>
  <c r="D30" i="205" a="1"/>
  <c r="C30" i="205" a="1"/>
  <c r="D30" i="205"/>
  <c r="C30" i="205"/>
  <c r="J23" i="384"/>
  <c r="K23" i="384" s="1"/>
  <c r="D23" i="384"/>
  <c r="D14" i="384"/>
  <c r="F14" i="384"/>
  <c r="J21" i="384"/>
  <c r="K21" i="384" s="1"/>
  <c r="D21" i="384"/>
  <c r="D25" i="384"/>
  <c r="J25" i="384"/>
  <c r="K25" i="384" s="1"/>
  <c r="D28" i="384"/>
  <c r="J28" i="384"/>
  <c r="K28" i="384" s="1"/>
  <c r="J27" i="384"/>
  <c r="K27" i="384" s="1"/>
  <c r="D27" i="384"/>
  <c r="D31" i="384"/>
  <c r="J31" i="384"/>
  <c r="K31" i="384" s="1"/>
  <c r="D20" i="384"/>
  <c r="J20" i="384"/>
  <c r="K20" i="384" s="1"/>
  <c r="J30" i="384"/>
  <c r="K30" i="384" s="1"/>
  <c r="D30" i="384"/>
  <c r="D22" i="384"/>
  <c r="J22" i="384"/>
  <c r="K22" i="384" s="1"/>
  <c r="D24" i="384"/>
  <c r="J24" i="384"/>
  <c r="K24" i="384" s="1"/>
  <c r="J18" i="384"/>
  <c r="K18" i="384" s="1"/>
  <c r="D18" i="384"/>
  <c r="F17" i="384"/>
  <c r="D17" i="384"/>
  <c r="C55" i="329"/>
  <c r="K31" i="204"/>
  <c r="L31" i="204"/>
  <c r="F31" i="204"/>
  <c r="O31" i="204"/>
  <c r="C56" i="329"/>
  <c r="P6" i="383"/>
  <c r="P7" i="383"/>
  <c r="P29" i="383"/>
  <c r="P12" i="383" s="1"/>
  <c r="O12" i="383"/>
  <c r="P3" i="383"/>
  <c r="F20" i="329"/>
  <c r="B7" i="385" a="1"/>
  <c r="B16" i="385" a="1"/>
  <c r="B12" i="385" a="1"/>
  <c r="L31" i="205" a="1"/>
  <c r="N31" i="204" a="1"/>
  <c r="K31" i="205" a="1"/>
  <c r="B8" i="385" a="1"/>
  <c r="B9" i="385" a="1"/>
  <c r="B3" i="385" a="1"/>
  <c r="H31" i="205" a="1"/>
  <c r="F35" i="329" a="1"/>
  <c r="B10" i="385" a="1"/>
  <c r="B15" i="385" a="1"/>
  <c r="B5" i="385" a="1"/>
  <c r="B13" i="385" a="1"/>
  <c r="B6" i="385" a="1"/>
  <c r="E31" i="204" a="1"/>
  <c r="O4" i="383" l="1"/>
  <c r="L26" i="383"/>
  <c r="N26" i="383"/>
  <c r="B19" i="384"/>
  <c r="C19" i="384" s="1"/>
  <c r="D4" i="384"/>
  <c r="E30" i="205" a="1"/>
  <c r="E30" i="205" s="1"/>
  <c r="M30" i="205" a="1"/>
  <c r="M30" i="205" s="1"/>
  <c r="P30" i="205" s="1"/>
  <c r="O16" i="382"/>
  <c r="C80" i="203" a="1"/>
  <c r="C80" i="203" s="1"/>
  <c r="D80" i="203" s="1"/>
  <c r="N80" i="203" s="1"/>
  <c r="B3" i="385"/>
  <c r="C3" i="385" s="1"/>
  <c r="B12" i="385"/>
  <c r="C12" i="385" s="1"/>
  <c r="B6" i="385"/>
  <c r="C6" i="385" s="1"/>
  <c r="B9" i="385"/>
  <c r="C9" i="385" s="1"/>
  <c r="B16" i="385"/>
  <c r="C16" i="385" s="1"/>
  <c r="B13" i="385"/>
  <c r="C13" i="385" s="1"/>
  <c r="B15" i="385"/>
  <c r="C15" i="385" s="1"/>
  <c r="B8" i="385"/>
  <c r="C8" i="385" s="1"/>
  <c r="B7" i="385"/>
  <c r="C7" i="385" s="1"/>
  <c r="B5" i="385"/>
  <c r="C5" i="385" s="1"/>
  <c r="B10" i="385"/>
  <c r="C10" i="385" s="1"/>
  <c r="L18" i="384"/>
  <c r="L27" i="384"/>
  <c r="L21" i="384"/>
  <c r="L24" i="384"/>
  <c r="L31" i="384"/>
  <c r="L28" i="384"/>
  <c r="L30" i="384"/>
  <c r="O7" i="384" s="1"/>
  <c r="L23" i="384"/>
  <c r="L22" i="384"/>
  <c r="L20" i="384"/>
  <c r="L25" i="384"/>
  <c r="F29" i="384"/>
  <c r="H29" i="384" s="1"/>
  <c r="D29" i="384"/>
  <c r="H14" i="384"/>
  <c r="H17" i="384"/>
  <c r="F32" i="384"/>
  <c r="H32" i="384" s="1"/>
  <c r="D32" i="384"/>
  <c r="H31" i="205"/>
  <c r="N31" i="204"/>
  <c r="L31" i="205"/>
  <c r="G31" i="205" s="1" a="1"/>
  <c r="E31" i="204"/>
  <c r="K31" i="205"/>
  <c r="F35" i="329"/>
  <c r="F31" i="205" a="1"/>
  <c r="L32" i="204" a="1"/>
  <c r="C27" i="329" a="1"/>
  <c r="F50" i="329" a="1"/>
  <c r="N31" i="205" a="1"/>
  <c r="O31" i="205" a="1"/>
  <c r="D11" i="384" l="1"/>
  <c r="F11" i="384"/>
  <c r="H11" i="384" s="1"/>
  <c r="J19" i="384"/>
  <c r="K19" i="384" s="1"/>
  <c r="D19" i="384"/>
  <c r="P26" i="383"/>
  <c r="P11" i="383" s="1"/>
  <c r="O11" i="383"/>
  <c r="C31" i="204" s="1" a="1"/>
  <c r="C31" i="204" s="1"/>
  <c r="P4" i="383"/>
  <c r="I31" i="205" s="1" a="1"/>
  <c r="I31" i="205" s="1"/>
  <c r="O5" i="383"/>
  <c r="N29" i="384"/>
  <c r="P29" i="384" s="1"/>
  <c r="L32" i="384"/>
  <c r="O6" i="384"/>
  <c r="N32" i="384"/>
  <c r="P32" i="384" s="1"/>
  <c r="P13" i="384" s="1"/>
  <c r="L29" i="384"/>
  <c r="O3" i="384"/>
  <c r="P3" i="384" s="1"/>
  <c r="L32" i="204"/>
  <c r="P7" i="384"/>
  <c r="B25" i="385"/>
  <c r="C25" i="385" s="1"/>
  <c r="D10" i="385"/>
  <c r="B30" i="385"/>
  <c r="C30" i="385" s="1"/>
  <c r="D15" i="385"/>
  <c r="D5" i="385"/>
  <c r="B20" i="385"/>
  <c r="C20" i="385" s="1"/>
  <c r="B28" i="385"/>
  <c r="C28" i="385" s="1"/>
  <c r="D13" i="385"/>
  <c r="B21" i="385"/>
  <c r="C21" i="385" s="1"/>
  <c r="D6" i="385"/>
  <c r="D7" i="385"/>
  <c r="B22" i="385"/>
  <c r="C22" i="385" s="1"/>
  <c r="D16" i="385"/>
  <c r="B31" i="385"/>
  <c r="C31" i="385" s="1"/>
  <c r="B27" i="385"/>
  <c r="C27" i="385" s="1"/>
  <c r="D12" i="385"/>
  <c r="B23" i="385"/>
  <c r="C23" i="385" s="1"/>
  <c r="D8" i="385"/>
  <c r="D9" i="385"/>
  <c r="B24" i="385"/>
  <c r="C24" i="385" s="1"/>
  <c r="B18" i="385"/>
  <c r="C18" i="385" s="1"/>
  <c r="D3" i="385"/>
  <c r="P12" i="384"/>
  <c r="O12" i="384"/>
  <c r="N31" i="205"/>
  <c r="F31" i="205"/>
  <c r="O31" i="205"/>
  <c r="R31" i="205" s="1"/>
  <c r="G31" i="205"/>
  <c r="D31" i="204"/>
  <c r="C27" i="329"/>
  <c r="F50" i="329"/>
  <c r="H32" i="205" a="1"/>
  <c r="N32" i="204" a="1"/>
  <c r="K32" i="204" a="1"/>
  <c r="C42" i="329" a="1"/>
  <c r="L32" i="205" a="1"/>
  <c r="E32" i="204" a="1"/>
  <c r="O32" i="204" a="1"/>
  <c r="J31" i="204" l="1" a="1"/>
  <c r="J31" i="204" s="1"/>
  <c r="P5" i="383"/>
  <c r="J31" i="205" s="1" a="1"/>
  <c r="J31" i="205" s="1"/>
  <c r="M31" i="204" a="1"/>
  <c r="M31" i="204" s="1"/>
  <c r="O14" i="383"/>
  <c r="D26" i="384"/>
  <c r="F26" i="384"/>
  <c r="B4" i="385" a="1"/>
  <c r="B4" i="385" s="1"/>
  <c r="C4" i="385" s="1"/>
  <c r="L19" i="384"/>
  <c r="O13" i="384"/>
  <c r="K32" i="204"/>
  <c r="P6" i="384"/>
  <c r="L32" i="205"/>
  <c r="H32" i="205"/>
  <c r="J27" i="385"/>
  <c r="K27" i="385" s="1"/>
  <c r="D27" i="385"/>
  <c r="D31" i="385"/>
  <c r="J31" i="385"/>
  <c r="K31" i="385" s="1"/>
  <c r="J28" i="385"/>
  <c r="K28" i="385" s="1"/>
  <c r="D28" i="385"/>
  <c r="D25" i="385"/>
  <c r="J25" i="385"/>
  <c r="K25" i="385" s="1"/>
  <c r="J18" i="385"/>
  <c r="K18" i="385" s="1"/>
  <c r="D18" i="385"/>
  <c r="J23" i="385"/>
  <c r="K23" i="385" s="1"/>
  <c r="D23" i="385"/>
  <c r="J20" i="385"/>
  <c r="K20" i="385" s="1"/>
  <c r="D20" i="385"/>
  <c r="F17" i="385"/>
  <c r="D17" i="385"/>
  <c r="J24" i="385"/>
  <c r="K24" i="385" s="1"/>
  <c r="D24" i="385"/>
  <c r="D14" i="385"/>
  <c r="F14" i="385"/>
  <c r="J22" i="385"/>
  <c r="K22" i="385" s="1"/>
  <c r="D22" i="385"/>
  <c r="D21" i="385"/>
  <c r="J21" i="385"/>
  <c r="K21" i="385" s="1"/>
  <c r="J30" i="385"/>
  <c r="K30" i="385" s="1"/>
  <c r="D30" i="385"/>
  <c r="O32" i="204"/>
  <c r="E32" i="204"/>
  <c r="N32" i="204"/>
  <c r="Q31" i="205"/>
  <c r="C42" i="329"/>
  <c r="G32" i="205" a="1"/>
  <c r="B5" i="386" a="1"/>
  <c r="B6" i="386" a="1"/>
  <c r="B15" i="386" a="1"/>
  <c r="B12" i="386" a="1"/>
  <c r="B8" i="386" a="1"/>
  <c r="B3" i="386" a="1"/>
  <c r="B7" i="386" a="1"/>
  <c r="K32" i="205" a="1"/>
  <c r="B16" i="386" a="1"/>
  <c r="B13" i="386" a="1"/>
  <c r="B10" i="386" a="1"/>
  <c r="C57" i="329" a="1"/>
  <c r="O32" i="205" a="1"/>
  <c r="F32" i="204" a="1"/>
  <c r="B9" i="386" a="1"/>
  <c r="N26" i="384" l="1"/>
  <c r="P26" i="384" s="1"/>
  <c r="O4" i="384"/>
  <c r="L26" i="384"/>
  <c r="B19" i="385"/>
  <c r="C19" i="385" s="1"/>
  <c r="D4" i="385"/>
  <c r="H26" i="384"/>
  <c r="P11" i="384" s="1"/>
  <c r="O11" i="384"/>
  <c r="C32" i="204" s="1" a="1"/>
  <c r="C32" i="204" s="1"/>
  <c r="C83" i="203" a="1"/>
  <c r="C83" i="203" s="1"/>
  <c r="D83" i="203" s="1"/>
  <c r="N83" i="203" s="1"/>
  <c r="O16" i="383"/>
  <c r="E31" i="205" a="1"/>
  <c r="E31" i="205" s="1"/>
  <c r="D31" i="205" a="1"/>
  <c r="D31" i="205" s="1"/>
  <c r="C31" i="205" a="1"/>
  <c r="C31" i="205" s="1"/>
  <c r="M31" i="205" a="1"/>
  <c r="M31" i="205" s="1"/>
  <c r="F32" i="204"/>
  <c r="K32" i="205"/>
  <c r="B10" i="386"/>
  <c r="C10" i="386" s="1"/>
  <c r="B15" i="386"/>
  <c r="C15" i="386" s="1"/>
  <c r="B7" i="386"/>
  <c r="C7" i="386" s="1"/>
  <c r="B8" i="386"/>
  <c r="C8" i="386" s="1"/>
  <c r="B13" i="386"/>
  <c r="C13" i="386" s="1"/>
  <c r="B6" i="386"/>
  <c r="C6" i="386" s="1"/>
  <c r="B9" i="386"/>
  <c r="C9" i="386" s="1"/>
  <c r="B16" i="386"/>
  <c r="C16" i="386" s="1"/>
  <c r="B5" i="386"/>
  <c r="C5" i="386" s="1"/>
  <c r="B3" i="386"/>
  <c r="C3" i="386" s="1"/>
  <c r="B12" i="386"/>
  <c r="C12" i="386" s="1"/>
  <c r="L25" i="385"/>
  <c r="L30" i="385"/>
  <c r="L22" i="385"/>
  <c r="L23" i="385"/>
  <c r="L28" i="385"/>
  <c r="L21" i="385"/>
  <c r="L24" i="385"/>
  <c r="L31" i="385"/>
  <c r="O7" i="385" s="1"/>
  <c r="L20" i="385"/>
  <c r="L18" i="385"/>
  <c r="L27" i="385"/>
  <c r="G32" i="205"/>
  <c r="O32" i="205"/>
  <c r="R32" i="205" s="1"/>
  <c r="F32" i="385"/>
  <c r="H32" i="385" s="1"/>
  <c r="D32" i="385"/>
  <c r="H14" i="385"/>
  <c r="N32" i="385"/>
  <c r="P32" i="385" s="1"/>
  <c r="H17" i="385"/>
  <c r="D29" i="385"/>
  <c r="F29" i="385"/>
  <c r="H29" i="385" s="1"/>
  <c r="D32" i="204"/>
  <c r="P31" i="205"/>
  <c r="C57" i="329"/>
  <c r="F32" i="205" a="1"/>
  <c r="N32" i="205" a="1"/>
  <c r="F4" i="329" a="1"/>
  <c r="L33" i="204" a="1"/>
  <c r="M32" i="204" l="1" a="1"/>
  <c r="M32" i="204" s="1"/>
  <c r="O14" i="384"/>
  <c r="F11" i="385"/>
  <c r="H11" i="385" s="1"/>
  <c r="D11" i="385"/>
  <c r="D19" i="385"/>
  <c r="J19" i="385"/>
  <c r="K19" i="385" s="1"/>
  <c r="P4" i="384"/>
  <c r="I32" i="205" s="1" a="1"/>
  <c r="I32" i="205" s="1"/>
  <c r="O5" i="384"/>
  <c r="N29" i="385"/>
  <c r="P29" i="385" s="1"/>
  <c r="L32" i="385"/>
  <c r="N32" i="205"/>
  <c r="Q32" i="205" s="1"/>
  <c r="F32" i="205"/>
  <c r="O6" i="385"/>
  <c r="D13" i="386"/>
  <c r="B28" i="386"/>
  <c r="C28" i="386" s="1"/>
  <c r="D10" i="386"/>
  <c r="B25" i="386"/>
  <c r="C25" i="386" s="1"/>
  <c r="P13" i="385"/>
  <c r="L29" i="385"/>
  <c r="D12" i="386"/>
  <c r="B27" i="386"/>
  <c r="C27" i="386" s="1"/>
  <c r="D8" i="386"/>
  <c r="B23" i="386"/>
  <c r="C23" i="386" s="1"/>
  <c r="B31" i="386"/>
  <c r="C31" i="386" s="1"/>
  <c r="D16" i="386"/>
  <c r="P12" i="385"/>
  <c r="O3" i="385"/>
  <c r="B18" i="386"/>
  <c r="C18" i="386" s="1"/>
  <c r="D3" i="386"/>
  <c r="D9" i="386"/>
  <c r="B24" i="386"/>
  <c r="C24" i="386" s="1"/>
  <c r="D7" i="386"/>
  <c r="B22" i="386"/>
  <c r="C22" i="386" s="1"/>
  <c r="D5" i="386"/>
  <c r="B20" i="386"/>
  <c r="C20" i="386" s="1"/>
  <c r="B21" i="386"/>
  <c r="C21" i="386" s="1"/>
  <c r="D6" i="386"/>
  <c r="B30" i="386"/>
  <c r="C30" i="386" s="1"/>
  <c r="D15" i="386"/>
  <c r="L33" i="204"/>
  <c r="P7" i="385"/>
  <c r="O13" i="385"/>
  <c r="F4" i="329"/>
  <c r="K33" i="204" a="1"/>
  <c r="F33" i="204" a="1"/>
  <c r="N33" i="204" a="1"/>
  <c r="L33" i="205" a="1"/>
  <c r="F6" i="329" a="1"/>
  <c r="O33" i="204" a="1"/>
  <c r="J32" i="204" l="1" a="1"/>
  <c r="J32" i="204" s="1"/>
  <c r="P5" i="384"/>
  <c r="J32" i="205" s="1" a="1"/>
  <c r="J32" i="205" s="1"/>
  <c r="B4" i="386" a="1"/>
  <c r="B4" i="386" s="1"/>
  <c r="C4" i="386" s="1"/>
  <c r="L19" i="385"/>
  <c r="F26" i="385"/>
  <c r="D26" i="385"/>
  <c r="O16" i="384"/>
  <c r="C86" i="203" a="1"/>
  <c r="C86" i="203" s="1"/>
  <c r="D86" i="203" s="1"/>
  <c r="N86" i="203" s="1"/>
  <c r="O12" i="385"/>
  <c r="O33" i="204"/>
  <c r="N33" i="204"/>
  <c r="K33" i="204"/>
  <c r="D17" i="386"/>
  <c r="F17" i="386"/>
  <c r="J20" i="386"/>
  <c r="K20" i="386" s="1"/>
  <c r="D20" i="386"/>
  <c r="D18" i="386"/>
  <c r="J18" i="386"/>
  <c r="K18" i="386" s="1"/>
  <c r="J28" i="386"/>
  <c r="K28" i="386" s="1"/>
  <c r="D28" i="386"/>
  <c r="J21" i="386"/>
  <c r="K21" i="386" s="1"/>
  <c r="D21" i="386"/>
  <c r="D30" i="386"/>
  <c r="J30" i="386"/>
  <c r="K30" i="386" s="1"/>
  <c r="J24" i="386"/>
  <c r="K24" i="386" s="1"/>
  <c r="D24" i="386"/>
  <c r="P3" i="385"/>
  <c r="J31" i="386"/>
  <c r="K31" i="386" s="1"/>
  <c r="D31" i="386"/>
  <c r="F14" i="386"/>
  <c r="J22" i="386"/>
  <c r="K22" i="386" s="1"/>
  <c r="D22" i="386"/>
  <c r="D14" i="386"/>
  <c r="J23" i="386"/>
  <c r="K23" i="386" s="1"/>
  <c r="D23" i="386"/>
  <c r="D27" i="386"/>
  <c r="J27" i="386"/>
  <c r="K27" i="386" s="1"/>
  <c r="J25" i="386"/>
  <c r="K25" i="386" s="1"/>
  <c r="D25" i="386"/>
  <c r="P6" i="385"/>
  <c r="F33" i="204"/>
  <c r="L33" i="205"/>
  <c r="G33" i="205" s="1" a="1"/>
  <c r="F6" i="329"/>
  <c r="E33" i="204" a="1"/>
  <c r="B9" i="387" a="1"/>
  <c r="B12" i="387" a="1"/>
  <c r="B15" i="387" a="1"/>
  <c r="B16" i="387" a="1"/>
  <c r="B13" i="387" a="1"/>
  <c r="B8" i="387" a="1"/>
  <c r="B7" i="387" a="1"/>
  <c r="H33" i="205" a="1"/>
  <c r="B10" i="387" a="1"/>
  <c r="B5" i="387" a="1"/>
  <c r="B6" i="387" a="1"/>
  <c r="B3" i="387" a="1"/>
  <c r="K33" i="205" a="1"/>
  <c r="O33" i="205" a="1"/>
  <c r="H26" i="385" l="1"/>
  <c r="N26" i="385"/>
  <c r="L26" i="385"/>
  <c r="O4" i="385"/>
  <c r="D4" i="386"/>
  <c r="B19" i="386"/>
  <c r="C19" i="386" s="1"/>
  <c r="E32" i="205" a="1"/>
  <c r="E32" i="205" s="1"/>
  <c r="D32" i="205" a="1"/>
  <c r="D32" i="205" s="1"/>
  <c r="C32" i="205" a="1"/>
  <c r="C32" i="205" s="1"/>
  <c r="M32" i="205" a="1"/>
  <c r="M32" i="205" s="1"/>
  <c r="P32" i="205" s="1"/>
  <c r="E33" i="204"/>
  <c r="B15" i="387"/>
  <c r="C15" i="387" s="1"/>
  <c r="B3" i="387"/>
  <c r="C3" i="387" s="1"/>
  <c r="B7" i="387"/>
  <c r="C7" i="387" s="1"/>
  <c r="B13" i="387"/>
  <c r="C13" i="387" s="1"/>
  <c r="B12" i="387"/>
  <c r="C12" i="387" s="1"/>
  <c r="B10" i="387"/>
  <c r="C10" i="387" s="1"/>
  <c r="B8" i="387"/>
  <c r="C8" i="387" s="1"/>
  <c r="B16" i="387"/>
  <c r="C16" i="387" s="1"/>
  <c r="B9" i="387"/>
  <c r="C9" i="387" s="1"/>
  <c r="B6" i="387"/>
  <c r="C6" i="387" s="1"/>
  <c r="B5" i="387"/>
  <c r="C5" i="387" s="1"/>
  <c r="L30" i="386"/>
  <c r="L18" i="386"/>
  <c r="L22" i="386"/>
  <c r="L28" i="386"/>
  <c r="L27" i="386"/>
  <c r="L25" i="386"/>
  <c r="L23" i="386"/>
  <c r="L31" i="386"/>
  <c r="L32" i="386" s="1"/>
  <c r="L24" i="386"/>
  <c r="L21" i="386"/>
  <c r="L20" i="386"/>
  <c r="K33" i="205"/>
  <c r="H33" i="205"/>
  <c r="H14" i="386"/>
  <c r="F32" i="386"/>
  <c r="H32" i="386" s="1"/>
  <c r="D32" i="386"/>
  <c r="H17" i="386"/>
  <c r="F29" i="386"/>
  <c r="H29" i="386" s="1"/>
  <c r="D29" i="386"/>
  <c r="G33" i="205"/>
  <c r="O33" i="205"/>
  <c r="R33" i="205" s="1"/>
  <c r="F33" i="205" a="1"/>
  <c r="N33" i="205" a="1"/>
  <c r="J19" i="386" l="1"/>
  <c r="K19" i="386" s="1"/>
  <c r="D19" i="386"/>
  <c r="F11" i="386"/>
  <c r="H11" i="386" s="1"/>
  <c r="D11" i="386"/>
  <c r="P4" i="385"/>
  <c r="I33" i="205" s="1" a="1"/>
  <c r="I33" i="205" s="1"/>
  <c r="O5" i="385"/>
  <c r="P26" i="385"/>
  <c r="O11" i="385"/>
  <c r="C33" i="204" s="1" a="1"/>
  <c r="C33" i="204" s="1"/>
  <c r="D33" i="204" s="1"/>
  <c r="P11" i="385"/>
  <c r="N29" i="386"/>
  <c r="P29" i="386" s="1"/>
  <c r="O7" i="386"/>
  <c r="N32" i="386"/>
  <c r="P32" i="386" s="1"/>
  <c r="O3" i="386"/>
  <c r="L29" i="386"/>
  <c r="D5" i="387"/>
  <c r="B20" i="387"/>
  <c r="C20" i="387" s="1"/>
  <c r="D16" i="387"/>
  <c r="B31" i="387"/>
  <c r="C31" i="387" s="1"/>
  <c r="B28" i="387"/>
  <c r="C28" i="387" s="1"/>
  <c r="D13" i="387"/>
  <c r="B23" i="387"/>
  <c r="C23" i="387" s="1"/>
  <c r="D8" i="387"/>
  <c r="D7" i="387"/>
  <c r="B22" i="387"/>
  <c r="C22" i="387" s="1"/>
  <c r="O6" i="386"/>
  <c r="B21" i="387"/>
  <c r="C21" i="387" s="1"/>
  <c r="D6" i="387"/>
  <c r="B25" i="387"/>
  <c r="C25" i="387" s="1"/>
  <c r="D10" i="387"/>
  <c r="B18" i="387"/>
  <c r="C18" i="387" s="1"/>
  <c r="D3" i="387"/>
  <c r="P13" i="386"/>
  <c r="B24" i="387"/>
  <c r="C24" i="387" s="1"/>
  <c r="D9" i="387"/>
  <c r="B27" i="387"/>
  <c r="C27" i="387" s="1"/>
  <c r="D12" i="387"/>
  <c r="B30" i="387"/>
  <c r="C30" i="387" s="1"/>
  <c r="D15" i="387"/>
  <c r="F33" i="205"/>
  <c r="N33" i="205"/>
  <c r="P12" i="386"/>
  <c r="P7" i="386"/>
  <c r="O13" i="386"/>
  <c r="O12" i="386"/>
  <c r="F34" i="204" a="1"/>
  <c r="N34" i="204" a="1"/>
  <c r="O34" i="204" a="1"/>
  <c r="E34" i="204" a="1"/>
  <c r="L34" i="205" a="1"/>
  <c r="L34" i="204" a="1"/>
  <c r="K34" i="204" a="1"/>
  <c r="O14" i="385" l="1"/>
  <c r="M33" i="204" a="1"/>
  <c r="M33" i="204" s="1"/>
  <c r="J33" i="204" a="1"/>
  <c r="J33" i="204" s="1"/>
  <c r="P5" i="385"/>
  <c r="J33" i="205" s="1" a="1"/>
  <c r="J33" i="205" s="1"/>
  <c r="F26" i="386"/>
  <c r="H26" i="386" s="1"/>
  <c r="D26" i="386"/>
  <c r="B4" i="387" a="1"/>
  <c r="B4" i="387" s="1"/>
  <c r="C4" i="387" s="1"/>
  <c r="L19" i="386"/>
  <c r="L34" i="204"/>
  <c r="P3" i="386"/>
  <c r="O34" i="204"/>
  <c r="K34" i="204"/>
  <c r="F14" i="387"/>
  <c r="D14" i="387"/>
  <c r="J25" i="387"/>
  <c r="K25" i="387" s="1"/>
  <c r="L25" i="387" s="1"/>
  <c r="D25" i="387"/>
  <c r="D23" i="387"/>
  <c r="J23" i="387"/>
  <c r="K23" i="387" s="1"/>
  <c r="L23" i="387" s="1"/>
  <c r="J28" i="387"/>
  <c r="K28" i="387" s="1"/>
  <c r="L28" i="387" s="1"/>
  <c r="D28" i="387"/>
  <c r="J27" i="387"/>
  <c r="K27" i="387" s="1"/>
  <c r="L27" i="387" s="1"/>
  <c r="D27" i="387"/>
  <c r="J22" i="387"/>
  <c r="K22" i="387" s="1"/>
  <c r="L22" i="387" s="1"/>
  <c r="D22" i="387"/>
  <c r="J31" i="387"/>
  <c r="K31" i="387" s="1"/>
  <c r="L31" i="387" s="1"/>
  <c r="D31" i="387"/>
  <c r="F17" i="387"/>
  <c r="D18" i="387"/>
  <c r="J18" i="387"/>
  <c r="K18" i="387" s="1"/>
  <c r="L18" i="387" s="1"/>
  <c r="J21" i="387"/>
  <c r="K21" i="387" s="1"/>
  <c r="L21" i="387" s="1"/>
  <c r="D21" i="387"/>
  <c r="D17" i="387"/>
  <c r="J30" i="387"/>
  <c r="K30" i="387" s="1"/>
  <c r="L30" i="387" s="1"/>
  <c r="N32" i="387" s="1"/>
  <c r="P32" i="387" s="1"/>
  <c r="D30" i="387"/>
  <c r="J24" i="387"/>
  <c r="K24" i="387" s="1"/>
  <c r="L24" i="387" s="1"/>
  <c r="D24" i="387"/>
  <c r="P6" i="386"/>
  <c r="D20" i="387"/>
  <c r="J20" i="387"/>
  <c r="K20" i="387" s="1"/>
  <c r="L20" i="387" s="1"/>
  <c r="N34" i="204"/>
  <c r="E34" i="204"/>
  <c r="F34" i="204"/>
  <c r="L34" i="205"/>
  <c r="G34" i="205" s="1" a="1"/>
  <c r="Q33" i="205"/>
  <c r="K34" i="205" a="1"/>
  <c r="O34" i="205" a="1"/>
  <c r="H34" i="205" a="1"/>
  <c r="O4" i="386" l="1"/>
  <c r="L26" i="386"/>
  <c r="N26" i="386"/>
  <c r="D4" i="387"/>
  <c r="B19" i="387"/>
  <c r="C19" i="387" s="1"/>
  <c r="E33" i="205" a="1"/>
  <c r="E33" i="205" s="1"/>
  <c r="C33" i="205" a="1"/>
  <c r="C33" i="205" s="1"/>
  <c r="D33" i="205" a="1"/>
  <c r="D33" i="205" s="1"/>
  <c r="M33" i="205" a="1"/>
  <c r="M33" i="205" s="1"/>
  <c r="C89" i="203" a="1"/>
  <c r="C89" i="203" s="1"/>
  <c r="D89" i="203" s="1"/>
  <c r="N89" i="203" s="1"/>
  <c r="O16" i="385"/>
  <c r="H34" i="205"/>
  <c r="O3" i="387"/>
  <c r="L32" i="387"/>
  <c r="K34" i="205"/>
  <c r="P3" i="387"/>
  <c r="F29" i="387"/>
  <c r="H29" i="387" s="1"/>
  <c r="D29" i="387"/>
  <c r="F32" i="387"/>
  <c r="H32" i="387" s="1"/>
  <c r="D32" i="387"/>
  <c r="O7" i="387"/>
  <c r="N29" i="387"/>
  <c r="P29" i="387" s="1"/>
  <c r="L29" i="387"/>
  <c r="O6" i="387"/>
  <c r="H17" i="387"/>
  <c r="H14" i="387"/>
  <c r="O12" i="387"/>
  <c r="O34" i="205"/>
  <c r="R34" i="205" s="1"/>
  <c r="G34" i="205"/>
  <c r="P33" i="205"/>
  <c r="F34" i="205" a="1"/>
  <c r="N34" i="205" a="1"/>
  <c r="K35" i="204" a="1"/>
  <c r="E35" i="204" a="1"/>
  <c r="H35" i="205" a="1"/>
  <c r="L35" i="204" a="1"/>
  <c r="J19" i="387" l="1"/>
  <c r="K19" i="387" s="1"/>
  <c r="L19" i="387" s="1"/>
  <c r="D19" i="387"/>
  <c r="F11" i="387"/>
  <c r="H11" i="387" s="1"/>
  <c r="D11" i="387"/>
  <c r="P26" i="386"/>
  <c r="P11" i="386" s="1"/>
  <c r="O11" i="386"/>
  <c r="C34" i="204" s="1" a="1"/>
  <c r="C34" i="204" s="1"/>
  <c r="D34" i="204" s="1"/>
  <c r="P4" i="386"/>
  <c r="I34" i="205" s="1" a="1"/>
  <c r="I34" i="205" s="1"/>
  <c r="O5" i="386"/>
  <c r="P12" i="387"/>
  <c r="O13" i="387"/>
  <c r="P13" i="387"/>
  <c r="K35" i="204"/>
  <c r="H35" i="205"/>
  <c r="H36" i="205" s="1"/>
  <c r="E35" i="204"/>
  <c r="E36" i="204" s="1"/>
  <c r="N34" i="205"/>
  <c r="F34" i="205"/>
  <c r="L35" i="204"/>
  <c r="L36" i="204" s="1"/>
  <c r="P6" i="387"/>
  <c r="P7" i="387"/>
  <c r="F35" i="204" a="1"/>
  <c r="O35" i="204" a="1"/>
  <c r="K35" i="205" a="1"/>
  <c r="N35" i="204" a="1"/>
  <c r="L35" i="205" a="1"/>
  <c r="P5" i="386" l="1"/>
  <c r="J34" i="205" s="1" a="1"/>
  <c r="J34" i="205" s="1"/>
  <c r="J34" i="204" a="1"/>
  <c r="J34" i="204" s="1"/>
  <c r="M34" i="204" a="1"/>
  <c r="M34" i="204" s="1"/>
  <c r="O14" i="386"/>
  <c r="O4" i="387"/>
  <c r="D26" i="387"/>
  <c r="F26" i="387"/>
  <c r="L26" i="387"/>
  <c r="N26" i="387"/>
  <c r="P26" i="387" s="1"/>
  <c r="N35" i="204"/>
  <c r="N36" i="204" s="1"/>
  <c r="O35" i="204"/>
  <c r="O36" i="204" s="1"/>
  <c r="F35" i="204"/>
  <c r="F36" i="204" s="1"/>
  <c r="K35" i="205"/>
  <c r="L35" i="205"/>
  <c r="G35" i="205" s="1" a="1"/>
  <c r="Q34" i="205"/>
  <c r="K36" i="204"/>
  <c r="F35" i="205" a="1"/>
  <c r="O35" i="205" a="1"/>
  <c r="N35" i="205" a="1"/>
  <c r="H26" i="387" l="1"/>
  <c r="P11" i="387" s="1"/>
  <c r="O11" i="387"/>
  <c r="C35" i="204" s="1" a="1"/>
  <c r="C35" i="204" s="1"/>
  <c r="P4" i="387"/>
  <c r="I35" i="205" s="1" a="1"/>
  <c r="I35" i="205" s="1"/>
  <c r="I36" i="205" s="1"/>
  <c r="O5" i="387"/>
  <c r="C92" i="203" a="1"/>
  <c r="C92" i="203" s="1"/>
  <c r="D92" i="203" s="1"/>
  <c r="N92" i="203" s="1"/>
  <c r="O16" i="386"/>
  <c r="C34" i="205" a="1"/>
  <c r="C34" i="205" s="1"/>
  <c r="D34" i="205" a="1"/>
  <c r="D34" i="205" s="1"/>
  <c r="E34" i="205" a="1"/>
  <c r="E34" i="205" s="1"/>
  <c r="M34" i="205" a="1"/>
  <c r="M34" i="205" s="1"/>
  <c r="P34" i="205" s="1"/>
  <c r="G35" i="205"/>
  <c r="O35" i="205"/>
  <c r="N35" i="205"/>
  <c r="F35" i="205"/>
  <c r="L36" i="205"/>
  <c r="K36" i="205"/>
  <c r="P5" i="387" l="1"/>
  <c r="J35" i="205" s="1" a="1"/>
  <c r="J35" i="205" s="1"/>
  <c r="J35" i="204" a="1"/>
  <c r="J35" i="204" s="1"/>
  <c r="D35" i="204"/>
  <c r="C36" i="204"/>
  <c r="M35" i="204" a="1"/>
  <c r="M35" i="204" s="1"/>
  <c r="M36" i="204" s="1"/>
  <c r="O14" i="387"/>
  <c r="Q35" i="205"/>
  <c r="Q36" i="205" s="1"/>
  <c r="N36" i="205"/>
  <c r="O36" i="205"/>
  <c r="R35" i="205"/>
  <c r="R36" i="205" s="1"/>
  <c r="C95" i="203" l="1" a="1"/>
  <c r="C95" i="203" s="1"/>
  <c r="O16" i="387"/>
  <c r="J36" i="204"/>
  <c r="C35" i="205" a="1"/>
  <c r="C35" i="205" s="1"/>
  <c r="E35" i="205" a="1"/>
  <c r="E35" i="205" s="1"/>
  <c r="D35" i="205" a="1"/>
  <c r="D35" i="205" s="1"/>
  <c r="M35" i="205" a="1"/>
  <c r="M35" i="205" s="1"/>
  <c r="J36" i="205"/>
  <c r="P35" i="205" l="1"/>
  <c r="P36" i="205" s="1"/>
  <c r="M36" i="205"/>
  <c r="D95" i="203"/>
  <c r="C98" i="203"/>
  <c r="D98" i="203" l="1"/>
  <c r="N95" i="20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<sst xmlns="http://schemas.openxmlformats.org/spreadsheetml/2006/main" count="1787" uniqueCount="123">
  <si>
    <t>SALES</t>
  </si>
  <si>
    <t>Sheet</t>
  </si>
  <si>
    <t>Date</t>
  </si>
  <si>
    <t>Sales (Volume)</t>
  </si>
  <si>
    <t>Price 1</t>
  </si>
  <si>
    <t>Dispensed</t>
  </si>
  <si>
    <t>Sales (Amount)</t>
  </si>
  <si>
    <t>PMS</t>
  </si>
  <si>
    <t>AGO</t>
  </si>
  <si>
    <t>DPK</t>
  </si>
  <si>
    <t xml:space="preserve">PMS </t>
  </si>
  <si>
    <t>INVENTORY</t>
  </si>
  <si>
    <t>Closing Stok</t>
  </si>
  <si>
    <t>Tank OV/SH</t>
  </si>
  <si>
    <t>Actual OV/SH</t>
  </si>
  <si>
    <t>VARIANCE</t>
  </si>
  <si>
    <t>UGT Dispensed</t>
  </si>
  <si>
    <t>Expected Supply</t>
  </si>
  <si>
    <t>Actual Supply</t>
  </si>
  <si>
    <t>Driver's Shortage</t>
  </si>
  <si>
    <t>PMS 1</t>
  </si>
  <si>
    <t>PMS 2</t>
  </si>
  <si>
    <t>Total</t>
  </si>
  <si>
    <t>PMS CONSUMPTION</t>
  </si>
  <si>
    <t>AGO CONSUMPTION</t>
  </si>
  <si>
    <t>DPK CUNSUMPTION</t>
  </si>
  <si>
    <t>Rate (N)</t>
  </si>
  <si>
    <t xml:space="preserve">Station Manager </t>
  </si>
  <si>
    <t>Area Manager</t>
  </si>
  <si>
    <t>Police/Army</t>
  </si>
  <si>
    <t>W&amp;M</t>
  </si>
  <si>
    <t>Regional Manager</t>
  </si>
  <si>
    <t>DPR</t>
  </si>
  <si>
    <t>Vigilante</t>
  </si>
  <si>
    <t>Others</t>
  </si>
  <si>
    <t>Security Agents</t>
  </si>
  <si>
    <t xml:space="preserve"> Pour back</t>
  </si>
  <si>
    <t xml:space="preserve">Generator </t>
  </si>
  <si>
    <t>Pour Back</t>
  </si>
  <si>
    <t>Logistics</t>
  </si>
  <si>
    <t>W&amp;M/ DPR</t>
  </si>
  <si>
    <t>A.M Pour back</t>
  </si>
  <si>
    <t>R.M pump inspection</t>
  </si>
  <si>
    <t>Pour back</t>
  </si>
  <si>
    <t>Taskforce</t>
  </si>
  <si>
    <t>LODGEMENT</t>
  </si>
  <si>
    <t>Total Sales</t>
  </si>
  <si>
    <t xml:space="preserve">Expected  </t>
  </si>
  <si>
    <t>Analysis of POS by Banks</t>
  </si>
  <si>
    <t>Total POS</t>
  </si>
  <si>
    <t xml:space="preserve">Actual </t>
  </si>
  <si>
    <t>GTBank 1</t>
  </si>
  <si>
    <t>GTBank 2</t>
  </si>
  <si>
    <t>GTBank 3</t>
  </si>
  <si>
    <t>GTB TF 1</t>
  </si>
  <si>
    <t>GTB TF 2</t>
  </si>
  <si>
    <t>GTB TF  3</t>
  </si>
  <si>
    <t>LUBRICANTS</t>
  </si>
  <si>
    <t>Supreme (1L)</t>
  </si>
  <si>
    <t>Supreme (4L)</t>
  </si>
  <si>
    <t>Universal (1L)</t>
  </si>
  <si>
    <t>Universal (4L)</t>
  </si>
  <si>
    <t>Universal (25L)</t>
  </si>
  <si>
    <t>GTX Ess (1L)</t>
  </si>
  <si>
    <t>GTX Ess (4L)</t>
  </si>
  <si>
    <t>Magnatec(1L)</t>
  </si>
  <si>
    <t>Magnatec(4L)</t>
  </si>
  <si>
    <t>Edge</t>
  </si>
  <si>
    <t>ATF Dex</t>
  </si>
  <si>
    <t>Brake Fluid</t>
  </si>
  <si>
    <t>TOTAL</t>
  </si>
  <si>
    <t>OPENING</t>
  </si>
  <si>
    <t>Amount Sold</t>
  </si>
  <si>
    <t>Lodgement</t>
  </si>
  <si>
    <t>Balance</t>
  </si>
  <si>
    <t>RECEIVED</t>
  </si>
  <si>
    <t xml:space="preserve"> SALES</t>
  </si>
  <si>
    <t xml:space="preserve">CLOSING </t>
  </si>
  <si>
    <t>TOTAL BALANCE =</t>
  </si>
  <si>
    <t>Payment</t>
  </si>
  <si>
    <t>Sales</t>
  </si>
  <si>
    <t>EASYLIFE</t>
  </si>
  <si>
    <t xml:space="preserve">  </t>
  </si>
  <si>
    <t>JONASCO</t>
  </si>
  <si>
    <t>DAY</t>
  </si>
  <si>
    <t>Summary</t>
  </si>
  <si>
    <t>POS</t>
  </si>
  <si>
    <t>CAH</t>
  </si>
  <si>
    <t>Product Received</t>
  </si>
  <si>
    <t>Transfer</t>
  </si>
  <si>
    <t xml:space="preserve">DPK </t>
  </si>
  <si>
    <t>Total volume sold</t>
  </si>
  <si>
    <t>PMS &gt;</t>
  </si>
  <si>
    <t>AGO &gt;</t>
  </si>
  <si>
    <t>DPK  &gt;</t>
  </si>
  <si>
    <t xml:space="preserve">Total volume sold </t>
  </si>
  <si>
    <t>DAILY SALES OPERATION</t>
  </si>
  <si>
    <t>PREV SHEET</t>
  </si>
  <si>
    <t>DATE</t>
  </si>
  <si>
    <t>Pumps</t>
  </si>
  <si>
    <t>Opening</t>
  </si>
  <si>
    <t>Closing</t>
  </si>
  <si>
    <t>Consumed</t>
  </si>
  <si>
    <t>Actual</t>
  </si>
  <si>
    <t>Price</t>
  </si>
  <si>
    <t>Amount</t>
  </si>
  <si>
    <t>Tank</t>
  </si>
  <si>
    <t xml:space="preserve">Opening </t>
  </si>
  <si>
    <t>Waybill Supply</t>
  </si>
  <si>
    <t>Difference</t>
  </si>
  <si>
    <t>OV/SH</t>
  </si>
  <si>
    <t>Consumption</t>
  </si>
  <si>
    <t>P/b</t>
  </si>
  <si>
    <t>S.M</t>
  </si>
  <si>
    <t>AGO 1</t>
  </si>
  <si>
    <t>Gen</t>
  </si>
  <si>
    <t>R.M</t>
  </si>
  <si>
    <t xml:space="preserve">SALES  </t>
  </si>
  <si>
    <t>DPK 1</t>
  </si>
  <si>
    <t>A.M</t>
  </si>
  <si>
    <t xml:space="preserve">POS  </t>
  </si>
  <si>
    <t xml:space="preserve">CAH  </t>
  </si>
  <si>
    <t>ugomail2017@gmail.com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</si>
</sst>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dd\,\ d\ mmmm\,\ yyyy"/>
    <numFmt numFmtId="166" formatCode="[$-F800]dddd\,\ mmmm\ dd\,\ yyyy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orbel"/>
      <family val="2"/>
    </font>
    <font>
      <b/>
      <sz val="11"/>
      <color theme="1"/>
      <name val="Corbel"/>
      <family val="2"/>
    </font>
    <font>
      <b/>
      <sz val="11"/>
      <name val="Corbe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Corbe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orbel"/>
      <family val="2"/>
    </font>
    <font>
      <b/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 tint="0.249977111117893"/>
      <name val="Corbel"/>
      <family val="2"/>
    </font>
    <font>
      <b/>
      <sz val="14"/>
      <color theme="1"/>
      <name val="Corbel"/>
      <family val="2"/>
    </font>
    <font>
      <b/>
      <sz val="11"/>
      <color rgb="FF000000"/>
      <name val="Corbel"/>
      <family val="2"/>
    </font>
  </fonts>
  <fills count="21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BDD6EE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8" tint="-0.499984740745262"/>
        <bgColor theme="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0"/>
        <bgColor rgb="FFBDD6EE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rgb="FFE2EFD9"/>
      </patternFill>
    </fill>
    <fill>
      <patternFill patternType="solid">
        <fgColor theme="8" tint="-0.499984740745262"/>
        <bgColor rgb="FFBDD6EE"/>
      </patternFill>
    </fill>
    <fill>
      <patternFill patternType="solid">
        <fgColor theme="8" tint="0.79998168889431442"/>
        <bgColor rgb="FFBDD6E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rgb="FFBDD6EE"/>
      </patternFill>
    </fill>
    <fill>
      <patternFill patternType="solid">
        <fgColor rgb="FFFFFFFF"/>
        <bgColor rgb="FFFFFFFF"/>
      </patternFill>
    </fill>
  </fills>
  <borders count="20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0" tint="-0.14999847407452621"/>
      </left>
      <right/>
      <top style="medium">
        <color indexed="64"/>
      </top>
      <bottom/>
      <diagonal/>
    </border>
    <border>
      <left/>
      <right style="medium">
        <color theme="0" tint="-0.1499984740745262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indexed="64"/>
      </top>
      <bottom style="thin">
        <color theme="1" tint="0.249977111117893"/>
      </bottom>
      <diagonal/>
    </border>
    <border>
      <left/>
      <right/>
      <top style="thin">
        <color indexed="64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1"/>
      </bottom>
      <diagonal/>
    </border>
    <border>
      <left/>
      <right style="thin">
        <color theme="1" tint="0.249977111117893"/>
      </right>
      <top style="thin">
        <color indexed="64"/>
      </top>
      <bottom style="thin">
        <color theme="1" tint="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/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/>
      <diagonal/>
    </border>
    <border>
      <left/>
      <right style="thin">
        <color theme="1"/>
      </right>
      <top style="thin">
        <color theme="0" tint="-0.34998626667073579"/>
      </top>
      <bottom/>
      <diagonal/>
    </border>
    <border>
      <left style="thin">
        <color theme="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1"/>
      </bottom>
      <diagonal/>
    </border>
    <border>
      <left style="thin">
        <color theme="0" tint="-0.34998626667073579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/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1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/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theme="0" tint="-0.34998626667073579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0" tint="-0.34998626667073579"/>
      </top>
      <bottom style="thin">
        <color theme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</borders>
  <cellStyleXfs count="7">
    <xf numFmtId="0" fontId="0" fillId="0" borderId="0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6" fillId="0" borderId="1"/>
    <xf numFmtId="0" fontId="1" fillId="0" borderId="1"/>
    <xf numFmtId="0" fontId="10" fillId="0" borderId="1"/>
    <xf numFmtId="0" fontId="11" fillId="0" borderId="0" applyNumberFormat="0" applyFill="0" applyBorder="0" applyAlignment="0" applyProtection="0"/>
  </cellStyleXfs>
  <cellXfs count="388">
    <xf numFmtId="0" fontId="0" fillId="0" borderId="0" xfId="0"/>
    <xf numFmtId="38" fontId="4" fillId="0" borderId="18" xfId="0" applyNumberFormat="1" applyFont="1" applyBorder="1" applyProtection="1">
      <protection locked="0"/>
    </xf>
    <xf numFmtId="38" fontId="4" fillId="0" borderId="10" xfId="0" applyNumberFormat="1" applyFont="1" applyBorder="1" applyProtection="1">
      <protection locked="0"/>
    </xf>
    <xf numFmtId="38" fontId="4" fillId="6" borderId="29" xfId="0" applyNumberFormat="1" applyFont="1" applyFill="1" applyBorder="1" applyProtection="1">
      <protection locked="0"/>
    </xf>
    <xf numFmtId="38" fontId="4" fillId="6" borderId="35" xfId="0" applyNumberFormat="1" applyFont="1" applyFill="1" applyBorder="1" applyProtection="1">
      <protection locked="0"/>
    </xf>
    <xf numFmtId="38" fontId="4" fillId="8" borderId="10" xfId="0" applyNumberFormat="1" applyFont="1" applyFill="1" applyBorder="1" applyProtection="1">
      <protection locked="0"/>
    </xf>
    <xf numFmtId="38" fontId="4" fillId="6" borderId="10" xfId="0" applyNumberFormat="1" applyFont="1" applyFill="1" applyBorder="1" applyProtection="1">
      <protection locked="0"/>
    </xf>
    <xf numFmtId="38" fontId="4" fillId="8" borderId="27" xfId="0" applyNumberFormat="1" applyFont="1" applyFill="1" applyBorder="1" applyProtection="1">
      <protection locked="0"/>
    </xf>
    <xf numFmtId="38" fontId="4" fillId="6" borderId="37" xfId="0" applyNumberFormat="1" applyFont="1" applyFill="1" applyBorder="1" applyProtection="1">
      <protection locked="0"/>
    </xf>
    <xf numFmtId="38" fontId="4" fillId="6" borderId="40" xfId="0" applyNumberFormat="1" applyFont="1" applyFill="1" applyBorder="1" applyProtection="1">
      <protection locked="0"/>
    </xf>
    <xf numFmtId="38" fontId="4" fillId="6" borderId="45" xfId="0" applyNumberFormat="1" applyFont="1" applyFill="1" applyBorder="1" applyProtection="1">
      <protection locked="0"/>
    </xf>
    <xf numFmtId="164" fontId="4" fillId="12" borderId="29" xfId="0" applyNumberFormat="1" applyFont="1" applyFill="1" applyBorder="1" applyProtection="1">
      <protection locked="0"/>
    </xf>
    <xf numFmtId="164" fontId="4" fillId="12" borderId="44" xfId="0" applyNumberFormat="1" applyFont="1" applyFill="1" applyBorder="1" applyProtection="1">
      <protection locked="0"/>
    </xf>
    <xf numFmtId="38" fontId="4" fillId="8" borderId="19" xfId="0" applyNumberFormat="1" applyFont="1" applyFill="1" applyBorder="1" applyProtection="1">
      <protection locked="0"/>
    </xf>
    <xf numFmtId="38" fontId="4" fillId="6" borderId="19" xfId="0" applyNumberFormat="1" applyFont="1" applyFill="1" applyBorder="1" applyProtection="1">
      <protection locked="0"/>
    </xf>
    <xf numFmtId="38" fontId="5" fillId="3" borderId="29" xfId="0" applyNumberFormat="1" applyFont="1" applyFill="1" applyBorder="1" applyProtection="1">
      <protection locked="0"/>
    </xf>
    <xf numFmtId="38" fontId="5" fillId="3" borderId="35" xfId="0" applyNumberFormat="1" applyFont="1" applyFill="1" applyBorder="1" applyProtection="1">
      <protection locked="0"/>
    </xf>
    <xf numFmtId="38" fontId="5" fillId="3" borderId="10" xfId="0" applyNumberFormat="1" applyFont="1" applyFill="1" applyBorder="1" applyProtection="1">
      <protection locked="0"/>
    </xf>
    <xf numFmtId="38" fontId="5" fillId="3" borderId="19" xfId="0" applyNumberFormat="1" applyFont="1" applyFill="1" applyBorder="1" applyProtection="1">
      <protection locked="0"/>
    </xf>
    <xf numFmtId="38" fontId="5" fillId="12" borderId="54" xfId="0" applyNumberFormat="1" applyFont="1" applyFill="1" applyBorder="1" applyAlignment="1" applyProtection="1">
      <alignment horizontal="center" vertical="center" wrapText="1"/>
      <protection locked="0"/>
    </xf>
    <xf numFmtId="38" fontId="5" fillId="12" borderId="55" xfId="0" applyNumberFormat="1" applyFont="1" applyFill="1" applyBorder="1" applyAlignment="1" applyProtection="1">
      <alignment horizontal="center" vertical="center" wrapText="1"/>
      <protection locked="0"/>
    </xf>
    <xf numFmtId="38" fontId="4" fillId="12" borderId="13" xfId="0" applyNumberFormat="1" applyFont="1" applyFill="1" applyBorder="1" applyAlignment="1" applyProtection="1">
      <alignment horizontal="center" vertical="center" wrapText="1"/>
      <protection locked="0"/>
    </xf>
    <xf numFmtId="38" fontId="4" fillId="3" borderId="29" xfId="0" applyNumberFormat="1" applyFont="1" applyFill="1" applyBorder="1" applyProtection="1">
      <protection locked="0"/>
    </xf>
    <xf numFmtId="38" fontId="4" fillId="3" borderId="34" xfId="0" applyNumberFormat="1" applyFont="1" applyFill="1" applyBorder="1" applyProtection="1">
      <protection locked="0"/>
    </xf>
    <xf numFmtId="38" fontId="4" fillId="3" borderId="40" xfId="0" applyNumberFormat="1" applyFont="1" applyFill="1" applyBorder="1" applyProtection="1">
      <protection locked="0"/>
    </xf>
    <xf numFmtId="38" fontId="4" fillId="3" borderId="47" xfId="0" applyNumberFormat="1" applyFont="1" applyFill="1" applyBorder="1" applyProtection="1">
      <protection locked="0"/>
    </xf>
    <xf numFmtId="38" fontId="4" fillId="3" borderId="35" xfId="0" applyNumberFormat="1" applyFont="1" applyFill="1" applyBorder="1" applyProtection="1">
      <protection locked="0"/>
    </xf>
    <xf numFmtId="38" fontId="4" fillId="3" borderId="42" xfId="0" applyNumberFormat="1" applyFont="1" applyFill="1" applyBorder="1" applyProtection="1">
      <protection locked="0"/>
    </xf>
    <xf numFmtId="38" fontId="4" fillId="3" borderId="69" xfId="0" applyNumberFormat="1" applyFont="1" applyFill="1" applyBorder="1" applyProtection="1">
      <protection locked="0"/>
    </xf>
    <xf numFmtId="38" fontId="4" fillId="3" borderId="84" xfId="0" applyNumberFormat="1" applyFont="1" applyFill="1" applyBorder="1" applyProtection="1">
      <protection locked="0"/>
    </xf>
    <xf numFmtId="38" fontId="12" fillId="15" borderId="54" xfId="0" applyNumberFormat="1" applyFont="1" applyFill="1" applyBorder="1" applyAlignment="1">
      <alignment horizontal="center" vertical="center" wrapText="1"/>
    </xf>
    <xf numFmtId="38" fontId="5" fillId="16" borderId="54" xfId="0" applyNumberFormat="1" applyFont="1" applyFill="1" applyBorder="1" applyAlignment="1">
      <alignment horizontal="center" vertical="center" wrapText="1"/>
    </xf>
    <xf numFmtId="0" fontId="8" fillId="0" borderId="0" xfId="0" applyFont="1"/>
    <xf numFmtId="38" fontId="4" fillId="5" borderId="36" xfId="0" applyNumberFormat="1" applyFont="1" applyFill="1" applyBorder="1" applyAlignment="1">
      <alignment horizontal="center" vertical="center" wrapText="1"/>
    </xf>
    <xf numFmtId="38" fontId="4" fillId="5" borderId="37" xfId="0" applyNumberFormat="1" applyFont="1" applyFill="1" applyBorder="1" applyAlignment="1">
      <alignment horizontal="center" vertical="center" wrapText="1"/>
    </xf>
    <xf numFmtId="38" fontId="4" fillId="5" borderId="49" xfId="0" applyNumberFormat="1" applyFont="1" applyFill="1" applyBorder="1" applyAlignment="1">
      <alignment horizontal="center" vertical="center" wrapText="1"/>
    </xf>
    <xf numFmtId="14" fontId="4" fillId="5" borderId="50" xfId="0" applyNumberFormat="1" applyFont="1" applyFill="1" applyBorder="1" applyAlignment="1">
      <alignment horizontal="center" vertical="center" wrapText="1"/>
    </xf>
    <xf numFmtId="14" fontId="4" fillId="5" borderId="30" xfId="0" applyNumberFormat="1" applyFont="1" applyFill="1" applyBorder="1" applyAlignment="1">
      <alignment horizontal="center" vertical="center" wrapText="1"/>
    </xf>
    <xf numFmtId="14" fontId="4" fillId="5" borderId="3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14" borderId="39" xfId="0" applyFont="1" applyFill="1" applyBorder="1" applyAlignment="1">
      <alignment horizontal="right"/>
    </xf>
    <xf numFmtId="38" fontId="4" fillId="13" borderId="29" xfId="0" applyNumberFormat="1" applyFont="1" applyFill="1" applyBorder="1"/>
    <xf numFmtId="38" fontId="4" fillId="13" borderId="48" xfId="0" applyNumberFormat="1" applyFont="1" applyFill="1" applyBorder="1"/>
    <xf numFmtId="14" fontId="4" fillId="14" borderId="12" xfId="0" applyNumberFormat="1" applyFont="1" applyFill="1" applyBorder="1"/>
    <xf numFmtId="38" fontId="5" fillId="13" borderId="10" xfId="0" applyNumberFormat="1" applyFont="1" applyFill="1" applyBorder="1"/>
    <xf numFmtId="38" fontId="5" fillId="13" borderId="11" xfId="0" applyNumberFormat="1" applyFont="1" applyFill="1" applyBorder="1"/>
    <xf numFmtId="14" fontId="4" fillId="14" borderId="17" xfId="0" applyNumberFormat="1" applyFont="1" applyFill="1" applyBorder="1"/>
    <xf numFmtId="38" fontId="5" fillId="13" borderId="19" xfId="0" applyNumberFormat="1" applyFont="1" applyFill="1" applyBorder="1"/>
    <xf numFmtId="38" fontId="5" fillId="13" borderId="20" xfId="0" applyNumberFormat="1" applyFont="1" applyFill="1" applyBorder="1"/>
    <xf numFmtId="14" fontId="4" fillId="14" borderId="58" xfId="0" applyNumberFormat="1" applyFont="1" applyFill="1" applyBorder="1"/>
    <xf numFmtId="38" fontId="5" fillId="13" borderId="59" xfId="0" applyNumberFormat="1" applyFont="1" applyFill="1" applyBorder="1"/>
    <xf numFmtId="38" fontId="5" fillId="13" borderId="60" xfId="0" applyNumberFormat="1" applyFont="1" applyFill="1" applyBorder="1"/>
    <xf numFmtId="0" fontId="4" fillId="4" borderId="5" xfId="0" applyFont="1" applyFill="1" applyBorder="1"/>
    <xf numFmtId="0" fontId="4" fillId="4" borderId="82" xfId="0" applyFont="1" applyFill="1" applyBorder="1"/>
    <xf numFmtId="0" fontId="4" fillId="4" borderId="6" xfId="0" applyFont="1" applyFill="1" applyBorder="1"/>
    <xf numFmtId="0" fontId="4" fillId="4" borderId="74" xfId="0" applyFont="1" applyFill="1" applyBorder="1"/>
    <xf numFmtId="0" fontId="4" fillId="4" borderId="67" xfId="0" applyFont="1" applyFill="1" applyBorder="1"/>
    <xf numFmtId="38" fontId="4" fillId="11" borderId="13" xfId="0" applyNumberFormat="1" applyFont="1" applyFill="1" applyBorder="1"/>
    <xf numFmtId="38" fontId="4" fillId="11" borderId="13" xfId="0" applyNumberFormat="1" applyFont="1" applyFill="1" applyBorder="1" applyAlignment="1">
      <alignment horizontal="center"/>
    </xf>
    <xf numFmtId="38" fontId="4" fillId="11" borderId="21" xfId="0" applyNumberFormat="1" applyFont="1" applyFill="1" applyBorder="1" applyAlignment="1">
      <alignment horizontal="center"/>
    </xf>
    <xf numFmtId="0" fontId="4" fillId="5" borderId="39" xfId="0" applyFont="1" applyFill="1" applyBorder="1"/>
    <xf numFmtId="164" fontId="9" fillId="5" borderId="29" xfId="0" applyNumberFormat="1" applyFont="1" applyFill="1" applyBorder="1" applyAlignment="1">
      <alignment horizontal="center" vertical="center"/>
    </xf>
    <xf numFmtId="164" fontId="4" fillId="5" borderId="29" xfId="0" applyNumberFormat="1" applyFont="1" applyFill="1" applyBorder="1"/>
    <xf numFmtId="164" fontId="4" fillId="5" borderId="48" xfId="0" applyNumberFormat="1" applyFont="1" applyFill="1" applyBorder="1"/>
    <xf numFmtId="38" fontId="4" fillId="13" borderId="39" xfId="0" applyNumberFormat="1" applyFont="1" applyFill="1" applyBorder="1"/>
    <xf numFmtId="38" fontId="4" fillId="13" borderId="80" xfId="0" applyNumberFormat="1" applyFont="1" applyFill="1" applyBorder="1"/>
    <xf numFmtId="38" fontId="4" fillId="13" borderId="71" xfId="0" applyNumberFormat="1" applyFont="1" applyFill="1" applyBorder="1"/>
    <xf numFmtId="38" fontId="4" fillId="13" borderId="35" xfId="0" applyNumberFormat="1" applyFont="1" applyFill="1" applyBorder="1"/>
    <xf numFmtId="38" fontId="4" fillId="13" borderId="42" xfId="0" applyNumberFormat="1" applyFont="1" applyFill="1" applyBorder="1"/>
    <xf numFmtId="0" fontId="4" fillId="14" borderId="41" xfId="0" applyFont="1" applyFill="1" applyBorder="1" applyAlignment="1">
      <alignment horizontal="right"/>
    </xf>
    <xf numFmtId="38" fontId="4" fillId="13" borderId="69" xfId="0" applyNumberFormat="1" applyFont="1" applyFill="1" applyBorder="1"/>
    <xf numFmtId="38" fontId="4" fillId="13" borderId="79" xfId="0" applyNumberFormat="1" applyFont="1" applyFill="1" applyBorder="1"/>
    <xf numFmtId="38" fontId="4" fillId="13" borderId="72" xfId="0" applyNumberFormat="1" applyFont="1" applyFill="1" applyBorder="1"/>
    <xf numFmtId="38" fontId="4" fillId="13" borderId="40" xfId="0" applyNumberFormat="1" applyFont="1" applyFill="1" applyBorder="1"/>
    <xf numFmtId="38" fontId="4" fillId="13" borderId="77" xfId="0" applyNumberFormat="1" applyFont="1" applyFill="1" applyBorder="1"/>
    <xf numFmtId="38" fontId="4" fillId="13" borderId="78" xfId="0" applyNumberFormat="1" applyFont="1" applyFill="1" applyBorder="1"/>
    <xf numFmtId="38" fontId="4" fillId="13" borderId="44" xfId="0" applyNumberFormat="1" applyFont="1" applyFill="1" applyBorder="1"/>
    <xf numFmtId="38" fontId="4" fillId="13" borderId="45" xfId="0" applyNumberFormat="1" applyFont="1" applyFill="1" applyBorder="1"/>
    <xf numFmtId="38" fontId="12" fillId="9" borderId="80" xfId="0" applyNumberFormat="1" applyFont="1" applyFill="1" applyBorder="1"/>
    <xf numFmtId="38" fontId="12" fillId="9" borderId="71" xfId="0" applyNumberFormat="1" applyFont="1" applyFill="1" applyBorder="1"/>
    <xf numFmtId="38" fontId="12" fillId="9" borderId="79" xfId="0" applyNumberFormat="1" applyFont="1" applyFill="1" applyBorder="1"/>
    <xf numFmtId="38" fontId="12" fillId="9" borderId="72" xfId="0" applyNumberFormat="1" applyFont="1" applyFill="1" applyBorder="1"/>
    <xf numFmtId="38" fontId="4" fillId="13" borderId="43" xfId="0" applyNumberFormat="1" applyFont="1" applyFill="1" applyBorder="1"/>
    <xf numFmtId="38" fontId="12" fillId="9" borderId="77" xfId="0" applyNumberFormat="1" applyFont="1" applyFill="1" applyBorder="1"/>
    <xf numFmtId="38" fontId="12" fillId="9" borderId="78" xfId="0" applyNumberFormat="1" applyFont="1" applyFill="1" applyBorder="1"/>
    <xf numFmtId="0" fontId="4" fillId="5" borderId="43" xfId="0" applyFont="1" applyFill="1" applyBorder="1"/>
    <xf numFmtId="164" fontId="9" fillId="5" borderId="44" xfId="0" applyNumberFormat="1" applyFont="1" applyFill="1" applyBorder="1" applyAlignment="1">
      <alignment horizontal="center" vertical="center"/>
    </xf>
    <xf numFmtId="164" fontId="4" fillId="5" borderId="44" xfId="0" applyNumberFormat="1" applyFont="1" applyFill="1" applyBorder="1"/>
    <xf numFmtId="164" fontId="4" fillId="5" borderId="45" xfId="0" applyNumberFormat="1" applyFont="1" applyFill="1" applyBorder="1"/>
    <xf numFmtId="0" fontId="4" fillId="4" borderId="7" xfId="0" applyFont="1" applyFill="1" applyBorder="1"/>
    <xf numFmtId="0" fontId="4" fillId="4" borderId="1" xfId="0" applyFont="1" applyFill="1" applyBorder="1"/>
    <xf numFmtId="0" fontId="4" fillId="4" borderId="8" xfId="0" applyFont="1" applyFill="1" applyBorder="1"/>
    <xf numFmtId="38" fontId="5" fillId="13" borderId="29" xfId="0" applyNumberFormat="1" applyFont="1" applyFill="1" applyBorder="1"/>
    <xf numFmtId="0" fontId="4" fillId="14" borderId="36" xfId="0" applyFont="1" applyFill="1" applyBorder="1" applyAlignment="1">
      <alignment horizontal="right"/>
    </xf>
    <xf numFmtId="38" fontId="5" fillId="13" borderId="37" xfId="0" applyNumberFormat="1" applyFont="1" applyFill="1" applyBorder="1"/>
    <xf numFmtId="38" fontId="4" fillId="13" borderId="37" xfId="0" applyNumberFormat="1" applyFont="1" applyFill="1" applyBorder="1"/>
    <xf numFmtId="38" fontId="4" fillId="13" borderId="38" xfId="0" applyNumberFormat="1" applyFont="1" applyFill="1" applyBorder="1"/>
    <xf numFmtId="164" fontId="4" fillId="5" borderId="40" xfId="0" applyNumberFormat="1" applyFont="1" applyFill="1" applyBorder="1"/>
    <xf numFmtId="38" fontId="5" fillId="13" borderId="35" xfId="0" applyNumberFormat="1" applyFont="1" applyFill="1" applyBorder="1"/>
    <xf numFmtId="40" fontId="4" fillId="7" borderId="10" xfId="0" applyNumberFormat="1" applyFont="1" applyFill="1" applyBorder="1" applyProtection="1">
      <protection locked="0"/>
    </xf>
    <xf numFmtId="40" fontId="4" fillId="7" borderId="19" xfId="0" applyNumberFormat="1" applyFont="1" applyFill="1" applyBorder="1" applyProtection="1">
      <protection locked="0"/>
    </xf>
    <xf numFmtId="40" fontId="4" fillId="7" borderId="27" xfId="0" applyNumberFormat="1" applyFont="1" applyFill="1" applyBorder="1" applyProtection="1">
      <protection locked="0"/>
    </xf>
    <xf numFmtId="38" fontId="5" fillId="16" borderId="55" xfId="0" applyNumberFormat="1" applyFont="1" applyFill="1" applyBorder="1" applyAlignment="1">
      <alignment horizontal="center" vertical="center" wrapText="1"/>
    </xf>
    <xf numFmtId="14" fontId="4" fillId="14" borderId="26" xfId="0" applyNumberFormat="1" applyFont="1" applyFill="1" applyBorder="1"/>
    <xf numFmtId="38" fontId="5" fillId="13" borderId="27" xfId="0" applyNumberFormat="1" applyFont="1" applyFill="1" applyBorder="1"/>
    <xf numFmtId="38" fontId="5" fillId="13" borderId="28" xfId="0" applyNumberFormat="1" applyFont="1" applyFill="1" applyBorder="1"/>
    <xf numFmtId="0" fontId="7" fillId="0" borderId="1" xfId="4" applyFont="1"/>
    <xf numFmtId="0" fontId="7" fillId="0" borderId="1" xfId="4" applyFont="1" applyAlignment="1">
      <alignment horizontal="center" vertical="center"/>
    </xf>
    <xf numFmtId="38" fontId="4" fillId="5" borderId="63" xfId="0" applyNumberFormat="1" applyFont="1" applyFill="1" applyBorder="1" applyAlignment="1">
      <alignment horizontal="center" vertical="center" wrapText="1"/>
    </xf>
    <xf numFmtId="38" fontId="4" fillId="5" borderId="41" xfId="0" applyNumberFormat="1" applyFont="1" applyFill="1" applyBorder="1" applyAlignment="1">
      <alignment horizontal="center" vertical="center" wrapText="1"/>
    </xf>
    <xf numFmtId="38" fontId="4" fillId="5" borderId="35" xfId="0" applyNumberFormat="1" applyFont="1" applyFill="1" applyBorder="1" applyAlignment="1">
      <alignment horizontal="center" vertical="center" wrapText="1"/>
    </xf>
    <xf numFmtId="38" fontId="4" fillId="5" borderId="42" xfId="0" applyNumberFormat="1" applyFont="1" applyFill="1" applyBorder="1" applyAlignment="1">
      <alignment horizontal="center" vertical="center" wrapText="1"/>
    </xf>
    <xf numFmtId="38" fontId="4" fillId="13" borderId="61" xfId="0" applyNumberFormat="1" applyFont="1" applyFill="1" applyBorder="1"/>
    <xf numFmtId="38" fontId="4" fillId="13" borderId="61" xfId="0" applyNumberFormat="1" applyFont="1" applyFill="1" applyBorder="1" applyAlignment="1">
      <alignment horizontal="center"/>
    </xf>
    <xf numFmtId="38" fontId="9" fillId="13" borderId="39" xfId="0" applyNumberFormat="1" applyFont="1" applyFill="1" applyBorder="1"/>
    <xf numFmtId="38" fontId="9" fillId="13" borderId="29" xfId="0" applyNumberFormat="1" applyFont="1" applyFill="1" applyBorder="1"/>
    <xf numFmtId="38" fontId="9" fillId="13" borderId="40" xfId="0" applyNumberFormat="1" applyFont="1" applyFill="1" applyBorder="1"/>
    <xf numFmtId="38" fontId="4" fillId="13" borderId="62" xfId="0" applyNumberFormat="1" applyFont="1" applyFill="1" applyBorder="1"/>
    <xf numFmtId="38" fontId="4" fillId="13" borderId="62" xfId="0" applyNumberFormat="1" applyFont="1" applyFill="1" applyBorder="1" applyAlignment="1">
      <alignment horizontal="center"/>
    </xf>
    <xf numFmtId="38" fontId="4" fillId="13" borderId="46" xfId="0" applyNumberFormat="1" applyFont="1" applyFill="1" applyBorder="1"/>
    <xf numFmtId="38" fontId="4" fillId="13" borderId="34" xfId="0" applyNumberFormat="1" applyFont="1" applyFill="1" applyBorder="1"/>
    <xf numFmtId="38" fontId="4" fillId="13" borderId="47" xfId="0" applyNumberFormat="1" applyFont="1" applyFill="1" applyBorder="1"/>
    <xf numFmtId="38" fontId="9" fillId="13" borderId="46" xfId="0" applyNumberFormat="1" applyFont="1" applyFill="1" applyBorder="1"/>
    <xf numFmtId="38" fontId="9" fillId="13" borderId="34" xfId="0" applyNumberFormat="1" applyFont="1" applyFill="1" applyBorder="1"/>
    <xf numFmtId="38" fontId="9" fillId="13" borderId="47" xfId="0" applyNumberFormat="1" applyFont="1" applyFill="1" applyBorder="1"/>
    <xf numFmtId="38" fontId="4" fillId="11" borderId="65" xfId="0" applyNumberFormat="1" applyFont="1" applyFill="1" applyBorder="1"/>
    <xf numFmtId="38" fontId="4" fillId="11" borderId="66" xfId="0" applyNumberFormat="1" applyFont="1" applyFill="1" applyBorder="1"/>
    <xf numFmtId="38" fontId="4" fillId="11" borderId="83" xfId="0" applyNumberFormat="1" applyFont="1" applyFill="1" applyBorder="1"/>
    <xf numFmtId="38" fontId="4" fillId="5" borderId="64" xfId="0" applyNumberFormat="1" applyFont="1" applyFill="1" applyBorder="1" applyAlignment="1">
      <alignment horizontal="center" vertical="center" wrapText="1"/>
    </xf>
    <xf numFmtId="38" fontId="4" fillId="5" borderId="25" xfId="0" applyNumberFormat="1" applyFont="1" applyFill="1" applyBorder="1" applyAlignment="1">
      <alignment horizontal="center" vertical="center" wrapText="1"/>
    </xf>
    <xf numFmtId="38" fontId="4" fillId="5" borderId="16" xfId="0" applyNumberFormat="1" applyFont="1" applyFill="1" applyBorder="1" applyAlignment="1">
      <alignment horizontal="center" vertical="center" wrapText="1"/>
    </xf>
    <xf numFmtId="38" fontId="4" fillId="13" borderId="33" xfId="0" applyNumberFormat="1" applyFont="1" applyFill="1" applyBorder="1"/>
    <xf numFmtId="38" fontId="4" fillId="13" borderId="73" xfId="0" applyNumberFormat="1" applyFont="1" applyFill="1" applyBorder="1"/>
    <xf numFmtId="38" fontId="4" fillId="13" borderId="53" xfId="0" applyNumberFormat="1" applyFont="1" applyFill="1" applyBorder="1"/>
    <xf numFmtId="38" fontId="4" fillId="16" borderId="13" xfId="0" applyNumberFormat="1" applyFont="1" applyFill="1" applyBorder="1" applyAlignment="1">
      <alignment horizontal="center" vertical="center" wrapText="1"/>
    </xf>
    <xf numFmtId="38" fontId="3" fillId="16" borderId="16" xfId="4" applyNumberFormat="1" applyFont="1" applyFill="1" applyBorder="1" applyAlignment="1">
      <alignment horizontal="center" vertical="center" wrapText="1"/>
    </xf>
    <xf numFmtId="38" fontId="3" fillId="16" borderId="13" xfId="4" applyNumberFormat="1" applyFont="1" applyFill="1" applyBorder="1" applyAlignment="1">
      <alignment horizontal="center" vertical="center" wrapText="1"/>
    </xf>
    <xf numFmtId="38" fontId="3" fillId="15" borderId="70" xfId="4" applyNumberFormat="1" applyFont="1" applyFill="1" applyBorder="1" applyAlignment="1">
      <alignment horizontal="center" vertical="center" wrapText="1"/>
    </xf>
    <xf numFmtId="0" fontId="0" fillId="18" borderId="0" xfId="0" applyFill="1"/>
    <xf numFmtId="38" fontId="4" fillId="13" borderId="41" xfId="0" applyNumberFormat="1" applyFont="1" applyFill="1" applyBorder="1"/>
    <xf numFmtId="38" fontId="4" fillId="9" borderId="71" xfId="0" applyNumberFormat="1" applyFont="1" applyFill="1" applyBorder="1"/>
    <xf numFmtId="38" fontId="4" fillId="9" borderId="72" xfId="0" applyNumberFormat="1" applyFont="1" applyFill="1" applyBorder="1"/>
    <xf numFmtId="38" fontId="4" fillId="9" borderId="73" xfId="0" applyNumberFormat="1" applyFont="1" applyFill="1" applyBorder="1"/>
    <xf numFmtId="38" fontId="4" fillId="13" borderId="65" xfId="0" applyNumberFormat="1" applyFont="1" applyFill="1" applyBorder="1"/>
    <xf numFmtId="38" fontId="4" fillId="13" borderId="66" xfId="0" applyNumberFormat="1" applyFont="1" applyFill="1" applyBorder="1"/>
    <xf numFmtId="38" fontId="4" fillId="9" borderId="66" xfId="0" applyNumberFormat="1" applyFont="1" applyFill="1" applyBorder="1"/>
    <xf numFmtId="38" fontId="4" fillId="13" borderId="83" xfId="0" applyNumberFormat="1" applyFont="1" applyFill="1" applyBorder="1"/>
    <xf numFmtId="38" fontId="3" fillId="12" borderId="13" xfId="4" applyNumberFormat="1" applyFont="1" applyFill="1" applyBorder="1" applyAlignment="1" applyProtection="1">
      <alignment horizontal="center" vertical="center" wrapText="1"/>
      <protection locked="0"/>
    </xf>
    <xf numFmtId="38" fontId="3" fillId="12" borderId="14" xfId="4" applyNumberFormat="1" applyFont="1" applyFill="1" applyBorder="1" applyAlignment="1" applyProtection="1">
      <alignment horizontal="center" vertical="center" wrapText="1"/>
      <protection locked="0"/>
    </xf>
    <xf numFmtId="38" fontId="3" fillId="12" borderId="21" xfId="4" applyNumberFormat="1" applyFont="1" applyFill="1" applyBorder="1" applyAlignment="1" applyProtection="1">
      <alignment horizontal="center" vertical="center" wrapText="1"/>
      <protection locked="0"/>
    </xf>
    <xf numFmtId="38" fontId="4" fillId="13" borderId="29" xfId="0" applyNumberFormat="1" applyFont="1" applyFill="1" applyBorder="1" applyAlignment="1">
      <alignment horizontal="center"/>
    </xf>
    <xf numFmtId="38" fontId="4" fillId="13" borderId="1" xfId="0" applyNumberFormat="1" applyFont="1" applyFill="1" applyBorder="1"/>
    <xf numFmtId="38" fontId="4" fillId="17" borderId="18" xfId="0" applyNumberFormat="1" applyFont="1" applyFill="1" applyBorder="1"/>
    <xf numFmtId="38" fontId="4" fillId="11" borderId="40" xfId="0" applyNumberFormat="1" applyFont="1" applyFill="1" applyBorder="1"/>
    <xf numFmtId="38" fontId="4" fillId="17" borderId="10" xfId="0" applyNumberFormat="1" applyFont="1" applyFill="1" applyBorder="1"/>
    <xf numFmtId="38" fontId="4" fillId="7" borderId="10" xfId="0" applyNumberFormat="1" applyFont="1" applyFill="1" applyBorder="1" applyProtection="1">
      <protection locked="0"/>
    </xf>
    <xf numFmtId="38" fontId="4" fillId="7" borderId="19" xfId="0" applyNumberFormat="1" applyFont="1" applyFill="1" applyBorder="1" applyProtection="1">
      <protection locked="0"/>
    </xf>
    <xf numFmtId="38" fontId="4" fillId="11" borderId="39" xfId="0" applyNumberFormat="1" applyFont="1" applyFill="1" applyBorder="1"/>
    <xf numFmtId="38" fontId="4" fillId="11" borderId="29" xfId="0" applyNumberFormat="1" applyFont="1" applyFill="1" applyBorder="1"/>
    <xf numFmtId="38" fontId="4" fillId="11" borderId="46" xfId="0" applyNumberFormat="1" applyFont="1" applyFill="1" applyBorder="1"/>
    <xf numFmtId="38" fontId="4" fillId="11" borderId="34" xfId="0" applyNumberFormat="1" applyFont="1" applyFill="1" applyBorder="1"/>
    <xf numFmtId="38" fontId="4" fillId="11" borderId="47" xfId="0" applyNumberFormat="1" applyFont="1" applyFill="1" applyBorder="1"/>
    <xf numFmtId="38" fontId="9" fillId="11" borderId="29" xfId="0" applyNumberFormat="1" applyFont="1" applyFill="1" applyBorder="1"/>
    <xf numFmtId="38" fontId="9" fillId="11" borderId="34" xfId="0" applyNumberFormat="1" applyFont="1" applyFill="1" applyBorder="1"/>
    <xf numFmtId="38" fontId="4" fillId="13" borderId="85" xfId="0" applyNumberFormat="1" applyFont="1" applyFill="1" applyBorder="1"/>
    <xf numFmtId="38" fontId="3" fillId="15" borderId="32" xfId="4" applyNumberFormat="1" applyFont="1" applyFill="1" applyBorder="1" applyAlignment="1">
      <alignment horizontal="center" vertical="center" wrapText="1"/>
    </xf>
    <xf numFmtId="38" fontId="4" fillId="9" borderId="76" xfId="0" applyNumberFormat="1" applyFont="1" applyFill="1" applyBorder="1"/>
    <xf numFmtId="38" fontId="4" fillId="9" borderId="56" xfId="0" applyNumberFormat="1" applyFont="1" applyFill="1" applyBorder="1"/>
    <xf numFmtId="38" fontId="4" fillId="9" borderId="86" xfId="0" applyNumberFormat="1" applyFont="1" applyFill="1" applyBorder="1"/>
    <xf numFmtId="38" fontId="4" fillId="9" borderId="87" xfId="0" applyNumberFormat="1" applyFont="1" applyFill="1" applyBorder="1"/>
    <xf numFmtId="38" fontId="7" fillId="0" borderId="1" xfId="4" applyNumberFormat="1" applyFont="1"/>
    <xf numFmtId="38" fontId="12" fillId="9" borderId="66" xfId="0" applyNumberFormat="1" applyFont="1" applyFill="1" applyBorder="1"/>
    <xf numFmtId="38" fontId="4" fillId="5" borderId="15" xfId="0" applyNumberFormat="1" applyFont="1" applyFill="1" applyBorder="1" applyAlignment="1">
      <alignment horizontal="center" vertical="center" wrapText="1"/>
    </xf>
    <xf numFmtId="38" fontId="4" fillId="5" borderId="21" xfId="0" applyNumberFormat="1" applyFont="1" applyFill="1" applyBorder="1" applyAlignment="1">
      <alignment horizontal="center" vertical="center" wrapText="1"/>
    </xf>
    <xf numFmtId="0" fontId="4" fillId="0" borderId="94" xfId="0" applyFont="1" applyBorder="1" applyAlignment="1" applyProtection="1">
      <alignment horizontal="center"/>
      <protection locked="0"/>
    </xf>
    <xf numFmtId="38" fontId="4" fillId="3" borderId="137" xfId="0" applyNumberFormat="1" applyFont="1" applyFill="1" applyBorder="1" applyProtection="1">
      <protection locked="0"/>
    </xf>
    <xf numFmtId="38" fontId="4" fillId="3" borderId="141" xfId="0" applyNumberFormat="1" applyFont="1" applyFill="1" applyBorder="1" applyProtection="1">
      <protection locked="0"/>
    </xf>
    <xf numFmtId="38" fontId="4" fillId="3" borderId="144" xfId="0" applyNumberFormat="1" applyFont="1" applyFill="1" applyBorder="1" applyProtection="1">
      <protection locked="0"/>
    </xf>
    <xf numFmtId="0" fontId="4" fillId="0" borderId="100" xfId="0" applyFont="1" applyBorder="1" applyAlignment="1">
      <alignment horizontal="left"/>
    </xf>
    <xf numFmtId="38" fontId="4" fillId="0" borderId="101" xfId="0" applyNumberFormat="1" applyFont="1" applyBorder="1"/>
    <xf numFmtId="0" fontId="4" fillId="0" borderId="103" xfId="0" applyFont="1" applyBorder="1" applyAlignment="1">
      <alignment horizontal="left"/>
    </xf>
    <xf numFmtId="38" fontId="4" fillId="0" borderId="1" xfId="0" applyNumberFormat="1" applyFont="1" applyBorder="1"/>
    <xf numFmtId="3" fontId="4" fillId="0" borderId="104" xfId="0" applyNumberFormat="1" applyFont="1" applyBorder="1"/>
    <xf numFmtId="38" fontId="4" fillId="0" borderId="70" xfId="0" applyNumberFormat="1" applyFont="1" applyBorder="1"/>
    <xf numFmtId="0" fontId="4" fillId="0" borderId="1" xfId="0" applyFont="1" applyBorder="1"/>
    <xf numFmtId="0" fontId="4" fillId="0" borderId="104" xfId="0" applyFont="1" applyBorder="1"/>
    <xf numFmtId="38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4" fillId="0" borderId="104" xfId="0" applyNumberFormat="1" applyFont="1" applyBorder="1" applyAlignment="1">
      <alignment horizontal="left"/>
    </xf>
    <xf numFmtId="0" fontId="4" fillId="18" borderId="109" xfId="0" applyFont="1" applyFill="1" applyBorder="1"/>
    <xf numFmtId="0" fontId="4" fillId="18" borderId="110" xfId="0" applyFont="1" applyFill="1" applyBorder="1"/>
    <xf numFmtId="0" fontId="4" fillId="18" borderId="111" xfId="0" applyFont="1" applyFill="1" applyBorder="1" applyAlignment="1">
      <alignment horizontal="left"/>
    </xf>
    <xf numFmtId="0" fontId="4" fillId="0" borderId="112" xfId="0" applyFont="1" applyBorder="1" applyAlignment="1">
      <alignment horizontal="left"/>
    </xf>
    <xf numFmtId="0" fontId="4" fillId="0" borderId="113" xfId="0" applyFont="1" applyBorder="1" applyAlignment="1">
      <alignment horizontal="left"/>
    </xf>
    <xf numFmtId="0" fontId="4" fillId="0" borderId="114" xfId="0" applyFont="1" applyBorder="1" applyAlignment="1">
      <alignment horizontal="left"/>
    </xf>
    <xf numFmtId="0" fontId="4" fillId="0" borderId="115" xfId="0" applyFont="1" applyBorder="1" applyAlignment="1">
      <alignment horizontal="left"/>
    </xf>
    <xf numFmtId="0" fontId="4" fillId="0" borderId="116" xfId="0" applyFont="1" applyBorder="1" applyAlignment="1">
      <alignment horizontal="left"/>
    </xf>
    <xf numFmtId="0" fontId="4" fillId="0" borderId="117" xfId="0" applyFont="1" applyBorder="1" applyAlignment="1">
      <alignment horizontal="left"/>
    </xf>
    <xf numFmtId="0" fontId="12" fillId="18" borderId="103" xfId="0" applyFont="1" applyFill="1" applyBorder="1" applyAlignment="1">
      <alignment horizontal="left"/>
    </xf>
    <xf numFmtId="0" fontId="12" fillId="18" borderId="1" xfId="0" applyFont="1" applyFill="1" applyBorder="1" applyAlignment="1">
      <alignment horizontal="left"/>
    </xf>
    <xf numFmtId="0" fontId="12" fillId="18" borderId="104" xfId="0" applyFont="1" applyFill="1" applyBorder="1" applyAlignment="1">
      <alignment horizontal="left"/>
    </xf>
    <xf numFmtId="0" fontId="4" fillId="0" borderId="111" xfId="0" applyFont="1" applyBorder="1" applyAlignment="1">
      <alignment horizontal="left"/>
    </xf>
    <xf numFmtId="0" fontId="4" fillId="0" borderId="119" xfId="0" applyFont="1" applyBorder="1" applyAlignment="1">
      <alignment horizontal="left"/>
    </xf>
    <xf numFmtId="0" fontId="4" fillId="0" borderId="120" xfId="0" applyFont="1" applyBorder="1" applyAlignment="1">
      <alignment horizontal="left"/>
    </xf>
    <xf numFmtId="0" fontId="4" fillId="0" borderId="121" xfId="0" applyFont="1" applyBorder="1" applyAlignment="1">
      <alignment horizontal="left"/>
    </xf>
    <xf numFmtId="0" fontId="12" fillId="18" borderId="68" xfId="0" applyFont="1" applyFill="1" applyBorder="1" applyAlignment="1">
      <alignment horizontal="left"/>
    </xf>
    <xf numFmtId="0" fontId="12" fillId="18" borderId="74" xfId="0" applyFont="1" applyFill="1" applyBorder="1" applyAlignment="1">
      <alignment horizontal="left"/>
    </xf>
    <xf numFmtId="0" fontId="12" fillId="18" borderId="67" xfId="0" applyFont="1" applyFill="1" applyBorder="1" applyAlignment="1">
      <alignment horizontal="left"/>
    </xf>
    <xf numFmtId="0" fontId="4" fillId="0" borderId="104" xfId="0" applyFont="1" applyBorder="1" applyProtection="1">
      <protection locked="0"/>
    </xf>
    <xf numFmtId="38" fontId="3" fillId="2" borderId="135" xfId="4" applyNumberFormat="1" applyFont="1" applyFill="1" applyBorder="1" applyAlignment="1">
      <alignment horizontal="center" vertical="center" wrapText="1"/>
    </xf>
    <xf numFmtId="38" fontId="4" fillId="13" borderId="135" xfId="0" applyNumberFormat="1" applyFont="1" applyFill="1" applyBorder="1" applyAlignment="1">
      <alignment textRotation="90"/>
    </xf>
    <xf numFmtId="38" fontId="4" fillId="13" borderId="151" xfId="0" applyNumberFormat="1" applyFont="1" applyFill="1" applyBorder="1" applyAlignment="1">
      <alignment textRotation="90"/>
    </xf>
    <xf numFmtId="38" fontId="4" fillId="13" borderId="152" xfId="0" applyNumberFormat="1" applyFont="1" applyFill="1" applyBorder="1" applyAlignment="1">
      <alignment textRotation="90"/>
    </xf>
    <xf numFmtId="38" fontId="3" fillId="2" borderId="107" xfId="4" applyNumberFormat="1" applyFont="1" applyFill="1" applyBorder="1" applyAlignment="1">
      <alignment horizontal="center" vertical="center" wrapText="1"/>
    </xf>
    <xf numFmtId="38" fontId="3" fillId="2" borderId="134" xfId="4" applyNumberFormat="1" applyFont="1" applyFill="1" applyBorder="1" applyAlignment="1">
      <alignment horizontal="center" vertical="center" wrapText="1"/>
    </xf>
    <xf numFmtId="38" fontId="9" fillId="13" borderId="153" xfId="0" applyNumberFormat="1" applyFont="1" applyFill="1" applyBorder="1" applyAlignment="1">
      <alignment horizontal="center"/>
    </xf>
    <xf numFmtId="38" fontId="3" fillId="2" borderId="128" xfId="4" applyNumberFormat="1" applyFont="1" applyFill="1" applyBorder="1" applyAlignment="1">
      <alignment horizontal="center" vertical="center" wrapText="1"/>
    </xf>
    <xf numFmtId="38" fontId="3" fillId="2" borderId="129" xfId="4" applyNumberFormat="1" applyFont="1" applyFill="1" applyBorder="1" applyAlignment="1">
      <alignment horizontal="center" vertical="center" wrapText="1"/>
    </xf>
    <xf numFmtId="38" fontId="4" fillId="13" borderId="125" xfId="0" applyNumberFormat="1" applyFont="1" applyFill="1" applyBorder="1" applyAlignment="1">
      <alignment horizontal="center"/>
    </xf>
    <xf numFmtId="38" fontId="4" fillId="13" borderId="150" xfId="0" applyNumberFormat="1" applyFont="1" applyFill="1" applyBorder="1"/>
    <xf numFmtId="38" fontId="4" fillId="13" borderId="124" xfId="0" applyNumberFormat="1" applyFont="1" applyFill="1" applyBorder="1" applyAlignment="1">
      <alignment horizontal="center"/>
    </xf>
    <xf numFmtId="38" fontId="4" fillId="13" borderId="141" xfId="0" applyNumberFormat="1" applyFont="1" applyFill="1" applyBorder="1"/>
    <xf numFmtId="38" fontId="4" fillId="13" borderId="136" xfId="0" applyNumberFormat="1" applyFont="1" applyFill="1" applyBorder="1"/>
    <xf numFmtId="38" fontId="4" fillId="13" borderId="138" xfId="0" applyNumberFormat="1" applyFont="1" applyFill="1" applyBorder="1"/>
    <xf numFmtId="38" fontId="4" fillId="13" borderId="143" xfId="0" applyNumberFormat="1" applyFont="1" applyFill="1" applyBorder="1" applyAlignment="1">
      <alignment horizontal="center"/>
    </xf>
    <xf numFmtId="38" fontId="4" fillId="13" borderId="145" xfId="0" applyNumberFormat="1" applyFont="1" applyFill="1" applyBorder="1"/>
    <xf numFmtId="38" fontId="4" fillId="13" borderId="130" xfId="0" applyNumberFormat="1" applyFont="1" applyFill="1" applyBorder="1"/>
    <xf numFmtId="38" fontId="4" fillId="13" borderId="131" xfId="0" applyNumberFormat="1" applyFont="1" applyFill="1" applyBorder="1"/>
    <xf numFmtId="38" fontId="4" fillId="13" borderId="132" xfId="0" applyNumberFormat="1" applyFont="1" applyFill="1" applyBorder="1"/>
    <xf numFmtId="38" fontId="4" fillId="13" borderId="133" xfId="0" applyNumberFormat="1" applyFont="1" applyFill="1" applyBorder="1"/>
    <xf numFmtId="38" fontId="3" fillId="2" borderId="142" xfId="4" applyNumberFormat="1" applyFont="1" applyFill="1" applyBorder="1" applyAlignment="1">
      <alignment horizontal="center" vertical="center" wrapText="1"/>
    </xf>
    <xf numFmtId="38" fontId="3" fillId="2" borderId="189" xfId="4" applyNumberFormat="1" applyFont="1" applyFill="1" applyBorder="1" applyAlignment="1">
      <alignment horizontal="center" vertical="center" wrapText="1"/>
    </xf>
    <xf numFmtId="38" fontId="3" fillId="2" borderId="88" xfId="4" applyNumberFormat="1" applyFont="1" applyFill="1" applyBorder="1" applyAlignment="1">
      <alignment horizontal="center" vertical="center" wrapText="1"/>
    </xf>
    <xf numFmtId="38" fontId="3" fillId="2" borderId="190" xfId="4" applyNumberFormat="1" applyFont="1" applyFill="1" applyBorder="1" applyAlignment="1">
      <alignment horizontal="center" vertical="center" wrapText="1"/>
    </xf>
    <xf numFmtId="38" fontId="3" fillId="2" borderId="191" xfId="4" applyNumberFormat="1" applyFont="1" applyFill="1" applyBorder="1" applyAlignment="1">
      <alignment horizontal="center" vertical="center" wrapText="1"/>
    </xf>
    <xf numFmtId="38" fontId="4" fillId="13" borderId="153" xfId="0" applyNumberFormat="1" applyFont="1" applyFill="1" applyBorder="1" applyAlignment="1">
      <alignment horizontal="center"/>
    </xf>
    <xf numFmtId="38" fontId="4" fillId="13" borderId="198" xfId="0" applyNumberFormat="1" applyFont="1" applyFill="1" applyBorder="1" applyAlignment="1">
      <alignment horizontal="center"/>
    </xf>
    <xf numFmtId="38" fontId="4" fillId="3" borderId="146" xfId="0" applyNumberFormat="1" applyFont="1" applyFill="1" applyBorder="1" applyAlignment="1" applyProtection="1">
      <alignment horizontal="center"/>
      <protection locked="0"/>
    </xf>
    <xf numFmtId="38" fontId="4" fillId="3" borderId="126" xfId="0" applyNumberFormat="1" applyFont="1" applyFill="1" applyBorder="1" applyAlignment="1" applyProtection="1">
      <alignment horizontal="center"/>
      <protection locked="0"/>
    </xf>
    <xf numFmtId="38" fontId="4" fillId="3" borderId="148" xfId="0" applyNumberFormat="1" applyFont="1" applyFill="1" applyBorder="1" applyAlignment="1" applyProtection="1">
      <alignment horizontal="center"/>
      <protection locked="0"/>
    </xf>
    <xf numFmtId="38" fontId="4" fillId="3" borderId="147" xfId="0" applyNumberFormat="1" applyFont="1" applyFill="1" applyBorder="1" applyAlignment="1" applyProtection="1">
      <alignment horizontal="center"/>
      <protection locked="0"/>
    </xf>
    <xf numFmtId="38" fontId="4" fillId="3" borderId="123" xfId="0" applyNumberFormat="1" applyFont="1" applyFill="1" applyBorder="1" applyAlignment="1" applyProtection="1">
      <alignment horizontal="center"/>
      <protection locked="0"/>
    </xf>
    <xf numFmtId="38" fontId="4" fillId="3" borderId="149" xfId="0" applyNumberFormat="1" applyFont="1" applyFill="1" applyBorder="1" applyAlignment="1" applyProtection="1">
      <alignment horizontal="center"/>
      <protection locked="0"/>
    </xf>
    <xf numFmtId="38" fontId="4" fillId="3" borderId="161" xfId="0" applyNumberFormat="1" applyFont="1" applyFill="1" applyBorder="1" applyAlignment="1" applyProtection="1">
      <alignment horizontal="center"/>
      <protection locked="0"/>
    </xf>
    <xf numFmtId="38" fontId="4" fillId="3" borderId="127" xfId="0" applyNumberFormat="1" applyFont="1" applyFill="1" applyBorder="1" applyAlignment="1" applyProtection="1">
      <alignment horizontal="center"/>
      <protection locked="0"/>
    </xf>
    <xf numFmtId="38" fontId="4" fillId="3" borderId="162" xfId="0" applyNumberFormat="1" applyFont="1" applyFill="1" applyBorder="1" applyAlignment="1" applyProtection="1">
      <alignment horizontal="center"/>
      <protection locked="0"/>
    </xf>
    <xf numFmtId="38" fontId="4" fillId="3" borderId="194" xfId="0" applyNumberFormat="1" applyFont="1" applyFill="1" applyBorder="1" applyProtection="1">
      <protection locked="0"/>
    </xf>
    <xf numFmtId="38" fontId="4" fillId="3" borderId="195" xfId="0" applyNumberFormat="1" applyFont="1" applyFill="1" applyBorder="1" applyProtection="1">
      <protection locked="0"/>
    </xf>
    <xf numFmtId="38" fontId="4" fillId="3" borderId="196" xfId="0" applyNumberFormat="1" applyFont="1" applyFill="1" applyBorder="1" applyProtection="1">
      <protection locked="0"/>
    </xf>
    <xf numFmtId="38" fontId="4" fillId="3" borderId="197" xfId="0" applyNumberFormat="1" applyFont="1" applyFill="1" applyBorder="1" applyProtection="1">
      <protection locked="0"/>
    </xf>
    <xf numFmtId="0" fontId="16" fillId="10" borderId="90" xfId="3" applyFont="1" applyFill="1" applyBorder="1"/>
    <xf numFmtId="166" fontId="16" fillId="10" borderId="5" xfId="3" applyNumberFormat="1" applyFont="1" applyFill="1" applyBorder="1" applyAlignment="1">
      <alignment horizontal="left"/>
    </xf>
    <xf numFmtId="0" fontId="16" fillId="10" borderId="6" xfId="3" applyFont="1" applyFill="1" applyBorder="1"/>
    <xf numFmtId="0" fontId="16" fillId="10" borderId="5" xfId="3" applyFont="1" applyFill="1" applyBorder="1"/>
    <xf numFmtId="0" fontId="15" fillId="10" borderId="91" xfId="3" applyFont="1" applyFill="1" applyBorder="1"/>
    <xf numFmtId="38" fontId="15" fillId="10" borderId="92" xfId="3" applyNumberFormat="1" applyFont="1" applyFill="1" applyBorder="1"/>
    <xf numFmtId="38" fontId="4" fillId="19" borderId="4" xfId="3" applyNumberFormat="1" applyFont="1" applyFill="1" applyBorder="1" applyAlignment="1">
      <alignment horizontal="center" vertical="center" wrapText="1"/>
    </xf>
    <xf numFmtId="38" fontId="4" fillId="11" borderId="76" xfId="3" applyNumberFormat="1" applyFont="1" applyFill="1" applyBorder="1"/>
    <xf numFmtId="38" fontId="4" fillId="11" borderId="56" xfId="3" applyNumberFormat="1" applyFont="1" applyFill="1" applyBorder="1"/>
    <xf numFmtId="38" fontId="4" fillId="11" borderId="86" xfId="3" applyNumberFormat="1" applyFont="1" applyFill="1" applyBorder="1"/>
    <xf numFmtId="38" fontId="17" fillId="3" borderId="165" xfId="3" applyNumberFormat="1" applyFont="1" applyFill="1" applyBorder="1" applyAlignment="1">
      <alignment horizontal="left"/>
    </xf>
    <xf numFmtId="38" fontId="17" fillId="3" borderId="183" xfId="3" applyNumberFormat="1" applyFont="1" applyFill="1" applyBorder="1" applyAlignment="1">
      <alignment horizontal="left"/>
    </xf>
    <xf numFmtId="38" fontId="17" fillId="3" borderId="186" xfId="3" applyNumberFormat="1" applyFont="1" applyFill="1" applyBorder="1"/>
    <xf numFmtId="38" fontId="12" fillId="9" borderId="4" xfId="3" applyNumberFormat="1" applyFont="1" applyFill="1" applyBorder="1"/>
    <xf numFmtId="166" fontId="4" fillId="19" borderId="165" xfId="3" applyNumberFormat="1" applyFont="1" applyFill="1" applyBorder="1" applyAlignment="1" applyProtection="1">
      <alignment horizontal="center" vertical="center" wrapText="1"/>
      <protection locked="0"/>
    </xf>
    <xf numFmtId="166" fontId="4" fillId="19" borderId="166" xfId="3" applyNumberFormat="1" applyFont="1" applyFill="1" applyBorder="1" applyAlignment="1" applyProtection="1">
      <alignment horizontal="center" vertical="center" wrapText="1"/>
      <protection locked="0"/>
    </xf>
    <xf numFmtId="38" fontId="4" fillId="19" borderId="167" xfId="3" applyNumberFormat="1" applyFont="1" applyFill="1" applyBorder="1" applyAlignment="1" applyProtection="1">
      <alignment horizontal="center" vertical="center" wrapText="1"/>
      <protection locked="0"/>
    </xf>
    <xf numFmtId="166" fontId="4" fillId="3" borderId="172" xfId="3" applyNumberFormat="1" applyFont="1" applyFill="1" applyBorder="1" applyAlignment="1" applyProtection="1">
      <alignment horizontal="left"/>
      <protection locked="0"/>
    </xf>
    <xf numFmtId="38" fontId="4" fillId="3" borderId="173" xfId="3" applyNumberFormat="1" applyFont="1" applyFill="1" applyBorder="1" applyProtection="1">
      <protection locked="0"/>
    </xf>
    <xf numFmtId="38" fontId="4" fillId="18" borderId="178" xfId="3" applyNumberFormat="1" applyFont="1" applyFill="1" applyBorder="1" applyProtection="1">
      <protection locked="0"/>
    </xf>
    <xf numFmtId="38" fontId="4" fillId="18" borderId="179" xfId="3" applyNumberFormat="1" applyFont="1" applyFill="1" applyBorder="1" applyProtection="1">
      <protection locked="0"/>
    </xf>
    <xf numFmtId="38" fontId="4" fillId="18" borderId="173" xfId="3" applyNumberFormat="1" applyFont="1" applyFill="1" applyBorder="1" applyProtection="1">
      <protection locked="0"/>
    </xf>
    <xf numFmtId="166" fontId="4" fillId="3" borderId="174" xfId="3" applyNumberFormat="1" applyFont="1" applyFill="1" applyBorder="1" applyAlignment="1" applyProtection="1">
      <alignment horizontal="left"/>
      <protection locked="0"/>
    </xf>
    <xf numFmtId="38" fontId="4" fillId="3" borderId="175" xfId="3" applyNumberFormat="1" applyFont="1" applyFill="1" applyBorder="1" applyProtection="1">
      <protection locked="0"/>
    </xf>
    <xf numFmtId="38" fontId="4" fillId="18" borderId="180" xfId="3" applyNumberFormat="1" applyFont="1" applyFill="1" applyBorder="1" applyProtection="1">
      <protection locked="0"/>
    </xf>
    <xf numFmtId="38" fontId="4" fillId="18" borderId="10" xfId="3" applyNumberFormat="1" applyFont="1" applyFill="1" applyBorder="1" applyProtection="1">
      <protection locked="0"/>
    </xf>
    <xf numFmtId="38" fontId="4" fillId="18" borderId="175" xfId="3" applyNumberFormat="1" applyFont="1" applyFill="1" applyBorder="1" applyProtection="1">
      <protection locked="0"/>
    </xf>
    <xf numFmtId="166" fontId="4" fillId="3" borderId="176" xfId="3" applyNumberFormat="1" applyFont="1" applyFill="1" applyBorder="1" applyAlignment="1" applyProtection="1">
      <alignment horizontal="left"/>
      <protection locked="0"/>
    </xf>
    <xf numFmtId="38" fontId="4" fillId="3" borderId="177" xfId="3" applyNumberFormat="1" applyFont="1" applyFill="1" applyBorder="1" applyProtection="1">
      <protection locked="0"/>
    </xf>
    <xf numFmtId="38" fontId="4" fillId="18" borderId="181" xfId="3" applyNumberFormat="1" applyFont="1" applyFill="1" applyBorder="1" applyProtection="1">
      <protection locked="0"/>
    </xf>
    <xf numFmtId="38" fontId="4" fillId="18" borderId="182" xfId="3" applyNumberFormat="1" applyFont="1" applyFill="1" applyBorder="1" applyProtection="1">
      <protection locked="0"/>
    </xf>
    <xf numFmtId="38" fontId="4" fillId="18" borderId="177" xfId="3" applyNumberFormat="1" applyFont="1" applyFill="1" applyBorder="1" applyProtection="1">
      <protection locked="0"/>
    </xf>
    <xf numFmtId="38" fontId="4" fillId="13" borderId="72" xfId="0" applyNumberFormat="1" applyFont="1" applyFill="1" applyBorder="1" applyAlignment="1">
      <alignment horizontal="center"/>
    </xf>
    <xf numFmtId="38" fontId="9" fillId="13" borderId="135" xfId="0" applyNumberFormat="1" applyFont="1" applyFill="1" applyBorder="1" applyAlignment="1">
      <alignment horizontal="center"/>
    </xf>
    <xf numFmtId="38" fontId="9" fillId="13" borderId="106" xfId="0" applyNumberFormat="1" applyFont="1" applyFill="1" applyBorder="1" applyAlignment="1">
      <alignment horizontal="center"/>
    </xf>
    <xf numFmtId="38" fontId="9" fillId="13" borderId="199" xfId="0" applyNumberFormat="1" applyFont="1" applyFill="1" applyBorder="1" applyAlignment="1">
      <alignment horizontal="center"/>
    </xf>
    <xf numFmtId="38" fontId="4" fillId="3" borderId="130" xfId="0" applyNumberFormat="1" applyFont="1" applyFill="1" applyBorder="1" applyAlignment="1" applyProtection="1">
      <alignment horizontal="center"/>
      <protection locked="0"/>
    </xf>
    <xf numFmtId="38" fontId="4" fillId="3" borderId="153" xfId="0" applyNumberFormat="1" applyFont="1" applyFill="1" applyBorder="1" applyAlignment="1" applyProtection="1">
      <alignment horizontal="center"/>
      <protection locked="0"/>
    </xf>
    <xf numFmtId="38" fontId="4" fillId="3" borderId="154" xfId="0" applyNumberFormat="1" applyFont="1" applyFill="1" applyBorder="1" applyAlignment="1" applyProtection="1">
      <alignment horizontal="center"/>
      <protection locked="0"/>
    </xf>
    <xf numFmtId="38" fontId="4" fillId="3" borderId="132" xfId="0" applyNumberFormat="1" applyFont="1" applyFill="1" applyBorder="1" applyAlignment="1" applyProtection="1">
      <alignment horizontal="center"/>
      <protection locked="0"/>
    </xf>
    <xf numFmtId="38" fontId="4" fillId="3" borderId="198" xfId="0" applyNumberFormat="1" applyFont="1" applyFill="1" applyBorder="1" applyAlignment="1" applyProtection="1">
      <alignment horizontal="center"/>
      <protection locked="0"/>
    </xf>
    <xf numFmtId="38" fontId="4" fillId="3" borderId="200" xfId="0" applyNumberFormat="1" applyFont="1" applyFill="1" applyBorder="1" applyAlignment="1" applyProtection="1">
      <alignment horizontal="center"/>
      <protection locked="0"/>
    </xf>
    <xf numFmtId="0" fontId="4" fillId="18" borderId="95" xfId="0" applyFont="1" applyFill="1" applyBorder="1"/>
    <xf numFmtId="0" fontId="4" fillId="18" borderId="96" xfId="0" applyFont="1" applyFill="1" applyBorder="1"/>
    <xf numFmtId="3" fontId="19" fillId="20" borderId="201" xfId="0" applyNumberFormat="1" applyFont="1" applyFill="1" applyBorder="1"/>
    <xf numFmtId="3" fontId="19" fillId="20" borderId="202" xfId="0" applyNumberFormat="1" applyFont="1" applyFill="1" applyBorder="1"/>
    <xf numFmtId="3" fontId="19" fillId="20" borderId="203" xfId="0" applyNumberFormat="1" applyFont="1" applyFill="1" applyBorder="1"/>
    <xf numFmtId="38" fontId="4" fillId="5" borderId="13" xfId="0" applyNumberFormat="1" applyFont="1" applyFill="1" applyBorder="1" applyAlignment="1">
      <alignment horizontal="center" vertical="center" wrapText="1"/>
    </xf>
    <xf numFmtId="38" fontId="12" fillId="15" borderId="6" xfId="0" applyNumberFormat="1" applyFont="1" applyFill="1" applyBorder="1" applyAlignment="1">
      <alignment horizontal="center" vertical="center" wrapText="1"/>
    </xf>
    <xf numFmtId="38" fontId="4" fillId="5" borderId="23" xfId="0" applyNumberFormat="1" applyFont="1" applyFill="1" applyBorder="1" applyAlignment="1">
      <alignment horizontal="center" vertical="center" wrapText="1"/>
    </xf>
    <xf numFmtId="38" fontId="4" fillId="5" borderId="70" xfId="0" applyNumberFormat="1" applyFont="1" applyFill="1" applyBorder="1" applyAlignment="1">
      <alignment horizontal="center" vertical="center" wrapText="1"/>
    </xf>
    <xf numFmtId="38" fontId="12" fillId="1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04" xfId="0" applyFont="1" applyBorder="1" applyAlignment="1">
      <alignment horizontal="left"/>
    </xf>
    <xf numFmtId="38" fontId="12" fillId="15" borderId="9" xfId="0" applyNumberFormat="1" applyFont="1" applyFill="1" applyBorder="1" applyAlignment="1">
      <alignment horizontal="center" vertical="center" wrapText="1"/>
    </xf>
    <xf numFmtId="38" fontId="12" fillId="15" borderId="5" xfId="0" applyNumberFormat="1" applyFont="1" applyFill="1" applyBorder="1" applyAlignment="1">
      <alignment horizontal="center" vertical="center" wrapText="1"/>
    </xf>
    <xf numFmtId="38" fontId="4" fillId="5" borderId="13" xfId="0" applyNumberFormat="1" applyFont="1" applyFill="1" applyBorder="1" applyAlignment="1">
      <alignment horizontal="center" vertical="center" wrapText="1"/>
    </xf>
    <xf numFmtId="38" fontId="12" fillId="15" borderId="6" xfId="0" applyNumberFormat="1" applyFont="1" applyFill="1" applyBorder="1" applyAlignment="1">
      <alignment horizontal="center" vertical="center" wrapText="1"/>
    </xf>
    <xf numFmtId="38" fontId="4" fillId="5" borderId="22" xfId="0" applyNumberFormat="1" applyFont="1" applyFill="1" applyBorder="1" applyAlignment="1">
      <alignment horizontal="center" vertical="center" wrapText="1"/>
    </xf>
    <xf numFmtId="38" fontId="4" fillId="5" borderId="23" xfId="0" applyNumberFormat="1" applyFont="1" applyFill="1" applyBorder="1" applyAlignment="1">
      <alignment horizontal="center" vertical="center" wrapText="1"/>
    </xf>
    <xf numFmtId="38" fontId="4" fillId="5" borderId="24" xfId="0" applyNumberFormat="1" applyFont="1" applyFill="1" applyBorder="1" applyAlignment="1">
      <alignment horizontal="center" vertical="center" wrapText="1"/>
    </xf>
    <xf numFmtId="38" fontId="4" fillId="5" borderId="89" xfId="0" applyNumberFormat="1" applyFont="1" applyFill="1" applyBorder="1" applyAlignment="1">
      <alignment horizontal="center" vertical="center" wrapText="1"/>
    </xf>
    <xf numFmtId="38" fontId="4" fillId="5" borderId="70" xfId="0" applyNumberFormat="1" applyFont="1" applyFill="1" applyBorder="1" applyAlignment="1">
      <alignment horizontal="center" vertical="center" wrapText="1"/>
    </xf>
    <xf numFmtId="38" fontId="4" fillId="5" borderId="32" xfId="0" applyNumberFormat="1" applyFont="1" applyFill="1" applyBorder="1" applyAlignment="1">
      <alignment horizontal="center" vertical="center" wrapText="1"/>
    </xf>
    <xf numFmtId="38" fontId="4" fillId="5" borderId="22" xfId="0" applyNumberFormat="1" applyFont="1" applyFill="1" applyBorder="1" applyAlignment="1">
      <alignment horizontal="center" vertical="center"/>
    </xf>
    <xf numFmtId="38" fontId="4" fillId="5" borderId="23" xfId="0" applyNumberFormat="1" applyFont="1" applyFill="1" applyBorder="1" applyAlignment="1">
      <alignment horizontal="center" vertical="center"/>
    </xf>
    <xf numFmtId="38" fontId="4" fillId="5" borderId="24" xfId="0" applyNumberFormat="1" applyFont="1" applyFill="1" applyBorder="1" applyAlignment="1">
      <alignment horizontal="center" vertical="center"/>
    </xf>
    <xf numFmtId="38" fontId="12" fillId="15" borderId="7" xfId="0" applyNumberFormat="1" applyFont="1" applyFill="1" applyBorder="1" applyAlignment="1">
      <alignment horizontal="center" vertical="center" wrapText="1"/>
    </xf>
    <xf numFmtId="38" fontId="12" fillId="15" borderId="1" xfId="0" applyNumberFormat="1" applyFont="1" applyFill="1" applyBorder="1" applyAlignment="1">
      <alignment horizontal="center" vertical="center" wrapText="1"/>
    </xf>
    <xf numFmtId="38" fontId="12" fillId="15" borderId="68" xfId="0" applyNumberFormat="1" applyFont="1" applyFill="1" applyBorder="1" applyAlignment="1">
      <alignment horizontal="center" vertical="center" wrapText="1"/>
    </xf>
    <xf numFmtId="38" fontId="12" fillId="15" borderId="74" xfId="0" applyNumberFormat="1" applyFont="1" applyFill="1" applyBorder="1" applyAlignment="1">
      <alignment horizontal="center" vertical="center" wrapText="1"/>
    </xf>
    <xf numFmtId="38" fontId="12" fillId="15" borderId="135" xfId="0" applyNumberFormat="1" applyFont="1" applyFill="1" applyBorder="1" applyAlignment="1">
      <alignment horizontal="center" vertical="center" wrapText="1"/>
    </xf>
    <xf numFmtId="38" fontId="12" fillId="15" borderId="107" xfId="0" applyNumberFormat="1" applyFont="1" applyFill="1" applyBorder="1" applyAlignment="1">
      <alignment horizontal="center" vertical="center" wrapText="1"/>
    </xf>
    <xf numFmtId="38" fontId="12" fillId="15" borderId="139" xfId="0" applyNumberFormat="1" applyFont="1" applyFill="1" applyBorder="1" applyAlignment="1">
      <alignment horizontal="center" vertical="center" wrapText="1"/>
    </xf>
    <xf numFmtId="38" fontId="12" fillId="15" borderId="140" xfId="0" applyNumberFormat="1" applyFont="1" applyFill="1" applyBorder="1" applyAlignment="1">
      <alignment horizontal="center" vertical="center" wrapText="1"/>
    </xf>
    <xf numFmtId="38" fontId="3" fillId="2" borderId="156" xfId="4" applyNumberFormat="1" applyFont="1" applyFill="1" applyBorder="1" applyAlignment="1">
      <alignment horizontal="center" vertical="center" wrapText="1"/>
    </xf>
    <xf numFmtId="38" fontId="3" fillId="2" borderId="157" xfId="4" applyNumberFormat="1" applyFont="1" applyFill="1" applyBorder="1" applyAlignment="1">
      <alignment horizontal="center" vertical="center" wrapText="1"/>
    </xf>
    <xf numFmtId="38" fontId="3" fillId="2" borderId="192" xfId="4" applyNumberFormat="1" applyFont="1" applyFill="1" applyBorder="1" applyAlignment="1">
      <alignment horizontal="center" vertical="center" wrapText="1"/>
    </xf>
    <xf numFmtId="38" fontId="3" fillId="2" borderId="193" xfId="4" applyNumberFormat="1" applyFont="1" applyFill="1" applyBorder="1" applyAlignment="1">
      <alignment horizontal="center" vertical="center" wrapText="1"/>
    </xf>
    <xf numFmtId="38" fontId="3" fillId="5" borderId="187" xfId="4" applyNumberFormat="1" applyFont="1" applyFill="1" applyBorder="1" applyAlignment="1">
      <alignment horizontal="center" vertical="center" wrapText="1"/>
    </xf>
    <xf numFmtId="38" fontId="3" fillId="5" borderId="188" xfId="4" applyNumberFormat="1" applyFont="1" applyFill="1" applyBorder="1" applyAlignment="1">
      <alignment horizontal="center" vertical="center" wrapText="1"/>
    </xf>
    <xf numFmtId="38" fontId="4" fillId="13" borderId="163" xfId="0" applyNumberFormat="1" applyFont="1" applyFill="1" applyBorder="1" applyAlignment="1">
      <alignment horizontal="center"/>
    </xf>
    <xf numFmtId="38" fontId="4" fillId="13" borderId="164" xfId="0" applyNumberFormat="1" applyFont="1" applyFill="1" applyBorder="1" applyAlignment="1">
      <alignment horizontal="center"/>
    </xf>
    <xf numFmtId="38" fontId="4" fillId="13" borderId="158" xfId="0" applyNumberFormat="1" applyFont="1" applyFill="1" applyBorder="1" applyAlignment="1">
      <alignment horizontal="center"/>
    </xf>
    <xf numFmtId="38" fontId="4" fillId="13" borderId="159" xfId="0" applyNumberFormat="1" applyFont="1" applyFill="1" applyBorder="1" applyAlignment="1">
      <alignment horizontal="center"/>
    </xf>
    <xf numFmtId="38" fontId="4" fillId="13" borderId="152" xfId="0" applyNumberFormat="1" applyFont="1" applyFill="1" applyBorder="1" applyAlignment="1">
      <alignment horizontal="center"/>
    </xf>
    <xf numFmtId="38" fontId="4" fillId="13" borderId="160" xfId="0" applyNumberFormat="1" applyFont="1" applyFill="1" applyBorder="1" applyAlignment="1">
      <alignment horizontal="center"/>
    </xf>
    <xf numFmtId="166" fontId="4" fillId="3" borderId="170" xfId="3" applyNumberFormat="1" applyFont="1" applyFill="1" applyBorder="1" applyAlignment="1" applyProtection="1">
      <alignment horizontal="center" vertical="center"/>
      <protection locked="0"/>
    </xf>
    <xf numFmtId="166" fontId="4" fillId="3" borderId="171" xfId="3" applyNumberFormat="1" applyFont="1" applyFill="1" applyBorder="1" applyAlignment="1" applyProtection="1">
      <alignment horizontal="center" vertical="center"/>
      <protection locked="0"/>
    </xf>
    <xf numFmtId="166" fontId="4" fillId="3" borderId="155" xfId="3" applyNumberFormat="1" applyFont="1" applyFill="1" applyBorder="1" applyAlignment="1" applyProtection="1">
      <alignment horizontal="center" vertical="center"/>
      <protection locked="0"/>
    </xf>
    <xf numFmtId="38" fontId="17" fillId="3" borderId="184" xfId="3" applyNumberFormat="1" applyFont="1" applyFill="1" applyBorder="1" applyAlignment="1">
      <alignment horizontal="right"/>
    </xf>
    <xf numFmtId="38" fontId="17" fillId="3" borderId="185" xfId="3" applyNumberFormat="1" applyFont="1" applyFill="1" applyBorder="1" applyAlignment="1">
      <alignment horizontal="right"/>
    </xf>
    <xf numFmtId="38" fontId="17" fillId="3" borderId="186" xfId="3" applyNumberFormat="1" applyFont="1" applyFill="1" applyBorder="1" applyAlignment="1">
      <alignment horizontal="right"/>
    </xf>
    <xf numFmtId="38" fontId="15" fillId="10" borderId="91" xfId="3" applyNumberFormat="1" applyFont="1" applyFill="1" applyBorder="1" applyAlignment="1">
      <alignment horizontal="center"/>
    </xf>
    <xf numFmtId="0" fontId="15" fillId="10" borderId="4" xfId="3" applyFont="1" applyFill="1" applyBorder="1" applyAlignment="1">
      <alignment horizontal="center"/>
    </xf>
    <xf numFmtId="38" fontId="4" fillId="19" borderId="166" xfId="3" applyNumberFormat="1" applyFont="1" applyFill="1" applyBorder="1" applyAlignment="1" applyProtection="1">
      <alignment horizontal="center" vertical="center" wrapText="1"/>
      <protection locked="0"/>
    </xf>
    <xf numFmtId="38" fontId="4" fillId="19" borderId="168" xfId="3" applyNumberFormat="1" applyFont="1" applyFill="1" applyBorder="1" applyAlignment="1" applyProtection="1">
      <alignment horizontal="center" vertical="center" wrapText="1"/>
      <protection locked="0"/>
    </xf>
    <xf numFmtId="38" fontId="4" fillId="19" borderId="169" xfId="3" applyNumberFormat="1" applyFont="1" applyFill="1" applyBorder="1" applyAlignment="1" applyProtection="1">
      <alignment horizontal="center" vertical="center" wrapText="1"/>
      <protection locked="0"/>
    </xf>
    <xf numFmtId="166" fontId="18" fillId="18" borderId="97" xfId="0" applyNumberFormat="1" applyFont="1" applyFill="1" applyBorder="1" applyAlignment="1">
      <alignment horizontal="center"/>
    </xf>
    <xf numFmtId="166" fontId="18" fillId="18" borderId="98" xfId="0" applyNumberFormat="1" applyFont="1" applyFill="1" applyBorder="1" applyAlignment="1">
      <alignment horizontal="center"/>
    </xf>
    <xf numFmtId="166" fontId="18" fillId="18" borderId="99" xfId="0" applyNumberFormat="1" applyFont="1" applyFill="1" applyBorder="1" applyAlignment="1">
      <alignment horizontal="center"/>
    </xf>
    <xf numFmtId="0" fontId="4" fillId="0" borderId="10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4" fillId="0" borderId="102" xfId="0" applyFont="1" applyBorder="1" applyAlignment="1">
      <alignment horizontal="center"/>
    </xf>
    <xf numFmtId="0" fontId="4" fillId="0" borderId="103" xfId="0" applyFont="1" applyBorder="1" applyAlignment="1">
      <alignment horizontal="center"/>
    </xf>
    <xf numFmtId="0" fontId="5" fillId="18" borderId="93" xfId="0" applyFont="1" applyFill="1" applyBorder="1" applyAlignment="1">
      <alignment horizontal="center"/>
    </xf>
    <xf numFmtId="0" fontId="5" fillId="18" borderId="122" xfId="0" applyFont="1" applyFill="1" applyBorder="1" applyAlignment="1">
      <alignment horizontal="center"/>
    </xf>
    <xf numFmtId="0" fontId="4" fillId="0" borderId="109" xfId="0" applyFont="1" applyBorder="1" applyAlignment="1">
      <alignment horizontal="left"/>
    </xf>
    <xf numFmtId="0" fontId="4" fillId="0" borderId="110" xfId="0" applyFont="1" applyBorder="1" applyAlignment="1">
      <alignment horizontal="left"/>
    </xf>
    <xf numFmtId="0" fontId="4" fillId="0" borderId="118" xfId="0" applyFont="1" applyBorder="1" applyAlignment="1">
      <alignment horizontal="left"/>
    </xf>
    <xf numFmtId="0" fontId="4" fillId="0" borderId="106" xfId="0" applyFont="1" applyBorder="1" applyAlignment="1">
      <alignment horizontal="left"/>
    </xf>
    <xf numFmtId="0" fontId="4" fillId="0" borderId="107" xfId="0" applyFont="1" applyBorder="1" applyAlignment="1">
      <alignment horizontal="left"/>
    </xf>
    <xf numFmtId="0" fontId="4" fillId="0" borderId="107" xfId="0" applyFont="1" applyBorder="1" applyAlignment="1">
      <alignment horizontal="center"/>
    </xf>
    <xf numFmtId="0" fontId="4" fillId="0" borderId="108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04" xfId="0" applyFont="1" applyBorder="1" applyAlignment="1">
      <alignment horizontal="left"/>
    </xf>
    <xf numFmtId="38" fontId="12" fillId="15" borderId="2" xfId="0" applyNumberFormat="1" applyFont="1" applyFill="1" applyBorder="1" applyAlignment="1">
      <alignment horizontal="center" vertical="center" wrapText="1"/>
    </xf>
    <xf numFmtId="38" fontId="12" fillId="15" borderId="3" xfId="0" applyNumberFormat="1" applyFont="1" applyFill="1" applyBorder="1" applyAlignment="1">
      <alignment horizontal="center" vertical="center" wrapText="1"/>
    </xf>
    <xf numFmtId="165" fontId="12" fillId="15" borderId="2" xfId="0" applyNumberFormat="1" applyFont="1" applyFill="1" applyBorder="1" applyAlignment="1">
      <alignment horizontal="center" vertical="center" wrapText="1"/>
    </xf>
    <xf numFmtId="165" fontId="12" fillId="15" borderId="3" xfId="0" applyNumberFormat="1" applyFont="1" applyFill="1" applyBorder="1" applyAlignment="1">
      <alignment horizontal="center" vertical="center" wrapText="1"/>
    </xf>
    <xf numFmtId="165" fontId="12" fillId="15" borderId="4" xfId="0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/>
    </xf>
    <xf numFmtId="0" fontId="4" fillId="4" borderId="81" xfId="0" applyFont="1" applyFill="1" applyBorder="1" applyAlignment="1">
      <alignment horizontal="center"/>
    </xf>
    <xf numFmtId="0" fontId="4" fillId="4" borderId="74" xfId="0" applyFont="1" applyFill="1" applyBorder="1" applyAlignment="1">
      <alignment horizontal="center"/>
    </xf>
    <xf numFmtId="0" fontId="4" fillId="4" borderId="75" xfId="0" applyFont="1" applyFill="1" applyBorder="1" applyAlignment="1">
      <alignment horizontal="center"/>
    </xf>
    <xf numFmtId="38" fontId="12" fillId="9" borderId="51" xfId="0" applyNumberFormat="1" applyFont="1" applyFill="1" applyBorder="1" applyAlignment="1">
      <alignment horizontal="right"/>
    </xf>
    <xf numFmtId="38" fontId="12" fillId="9" borderId="57" xfId="0" applyNumberFormat="1" applyFont="1" applyFill="1" applyBorder="1" applyAlignment="1">
      <alignment horizontal="right"/>
    </xf>
    <xf numFmtId="0" fontId="13" fillId="10" borderId="2" xfId="6" applyFont="1" applyFill="1" applyBorder="1" applyAlignment="1" applyProtection="1">
      <alignment horizontal="center"/>
    </xf>
    <xf numFmtId="0" fontId="12" fillId="10" borderId="3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38" fontId="12" fillId="9" borderId="69" xfId="0" applyNumberFormat="1" applyFont="1" applyFill="1" applyBorder="1" applyAlignment="1">
      <alignment horizontal="right"/>
    </xf>
    <xf numFmtId="38" fontId="12" fillId="9" borderId="76" xfId="0" applyNumberFormat="1" applyFont="1" applyFill="1" applyBorder="1" applyAlignment="1">
      <alignment horizontal="right"/>
    </xf>
    <xf numFmtId="38" fontId="12" fillId="9" borderId="48" xfId="0" applyNumberFormat="1" applyFont="1" applyFill="1" applyBorder="1" applyAlignment="1">
      <alignment horizontal="right"/>
    </xf>
    <xf numFmtId="38" fontId="12" fillId="9" borderId="56" xfId="0" applyNumberFormat="1" applyFont="1" applyFill="1" applyBorder="1" applyAlignment="1">
      <alignment horizontal="right"/>
    </xf>
    <xf numFmtId="38" fontId="4" fillId="11" borderId="52" xfId="0" applyNumberFormat="1" applyFont="1" applyFill="1" applyBorder="1" applyAlignment="1">
      <alignment horizontal="center"/>
    </xf>
    <xf numFmtId="38" fontId="4" fillId="11" borderId="71" xfId="0" applyNumberFormat="1" applyFont="1" applyFill="1" applyBorder="1" applyAlignment="1">
      <alignment horizontal="center"/>
    </xf>
    <xf numFmtId="38" fontId="4" fillId="11" borderId="76" xfId="0" applyNumberFormat="1" applyFont="1" applyFill="1" applyBorder="1" applyAlignment="1">
      <alignment horizontal="center"/>
    </xf>
  </cellXfs>
  <cellStyles count="7">
    <cellStyle name="Comma 2" xfId="1" xr:uid="{37B08C86-0ABB-43EF-9DEF-3534B4DD263B}"/>
    <cellStyle name="Comma 2 2" xfId="2" xr:uid="{CCF3AA00-6476-4EC5-BA10-4283BCF46A2B}"/>
    <cellStyle name="Hyperlink" xfId="6" builtinId="8"/>
    <cellStyle name="Normal" xfId="0" builtinId="0"/>
    <cellStyle name="Normal 2" xfId="3" xr:uid="{EAB26F50-C9E3-4CDA-BEB7-9AE58E541F49}"/>
    <cellStyle name="Normal 2 2" xfId="4" xr:uid="{FEB16C4F-5C57-4735-B152-13D5BB974765}"/>
    <cellStyle name="Normal 3" xfId="5" xr:uid="{60C8EB09-5022-4189-870E-5511AC3CB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ugomail2017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gomail2017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ugomail2017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ugomail2017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gomail2017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ugomail2017@g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ugomail2017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ugomail2017@gmail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ugomail2017@gma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ugomail2017@gmail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ugomail2017@gmail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ugomail2017@gmail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ugomail2017@gmail.co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ugomail2017@gmail.com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ugomail2017@gmail.com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ugomail2017@gmail.com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ugomail2017@gmail.com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ugomail2017@gmail.com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ugomail2017@gmail.com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ugomail2017@gmail.com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ugomail2017@gmail.com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mailto:ugomail2017@gmail.com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ugomail2017@gmail.com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mailto:ugomail2017@gmail.com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mailto:ugomail2017@gmail.com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mailto:ugomail2017@gmail.com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mailto:ugomail2017@gmail.com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mailto:ugomail2017@gmail.com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mailto:ugomail2017@gmail.com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mailto:ugomail2017@gmail.com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mailto:ugomail20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FA0B-6C31-4061-8D94-EA67698792AE}">
  <dimension ref="A1:Q36"/>
  <sheetViews>
    <sheetView zoomScaleNormal="100" workbookViewId="0">
      <pane xSplit="1" ySplit="1" topLeftCell="M36" activePane="bottomRight" state="frozen"/>
      <selection pane="bottomRight" activeCell="M36" sqref="M36:O36"/>
      <selection pane="bottomLeft" activeCell="A2" sqref="A2"/>
      <selection pane="topRight" activeCell="C1" sqref="C1"/>
    </sheetView>
  </sheetViews>
  <sheetFormatPr defaultColWidth="9.140625" defaultRowHeight="15"/>
  <cols>
    <col min="1" max="1" width="6.5703125" style="107" bestFit="1" customWidth="1"/>
    <col min="2" max="2" width="14" style="107" customWidth="1"/>
    <col min="3" max="3" width="13.140625" style="106" customWidth="1"/>
    <col min="4" max="4" width="12.85546875" style="106" customWidth="1"/>
    <col min="5" max="5" width="9.140625" style="106"/>
    <col min="6" max="6" width="9.7109375" style="106" customWidth="1"/>
    <col min="7" max="7" width="13.140625" style="106" customWidth="1"/>
    <col min="8" max="8" width="9.140625" style="106"/>
    <col min="9" max="9" width="9.7109375" style="106" customWidth="1"/>
    <col min="10" max="11" width="13" style="106" customWidth="1"/>
    <col min="12" max="12" width="13.140625" style="106" customWidth="1"/>
    <col min="13" max="13" width="14.7109375" style="106" customWidth="1"/>
    <col min="14" max="14" width="14" style="106" customWidth="1"/>
    <col min="15" max="15" width="12.28515625" style="106" customWidth="1"/>
    <col min="16" max="16384" width="9.140625" style="106"/>
  </cols>
  <sheetData>
    <row r="1" spans="1:17" ht="24" customHeight="1">
      <c r="A1" s="304" t="s">
        <v>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17">
      <c r="A2" s="297" t="s">
        <v>1</v>
      </c>
      <c r="B2" s="297" t="s">
        <v>2</v>
      </c>
      <c r="C2" s="306" t="s">
        <v>3</v>
      </c>
      <c r="D2" s="306"/>
      <c r="E2" s="306"/>
      <c r="F2" s="306"/>
      <c r="G2" s="306" t="s">
        <v>4</v>
      </c>
      <c r="H2" s="306"/>
      <c r="I2" s="306"/>
      <c r="J2" s="306" t="s">
        <v>5</v>
      </c>
      <c r="K2" s="306"/>
      <c r="L2" s="306"/>
      <c r="M2" s="306" t="s">
        <v>6</v>
      </c>
      <c r="N2" s="306"/>
      <c r="O2" s="306"/>
    </row>
    <row r="3" spans="1:17">
      <c r="A3" s="297"/>
      <c r="B3" s="297"/>
      <c r="C3" s="297" t="s">
        <v>7</v>
      </c>
      <c r="D3" s="297"/>
      <c r="E3" s="297" t="s">
        <v>8</v>
      </c>
      <c r="F3" s="297" t="s">
        <v>9</v>
      </c>
      <c r="G3" s="297" t="s">
        <v>7</v>
      </c>
      <c r="H3" s="297" t="s">
        <v>8</v>
      </c>
      <c r="I3" s="297" t="s">
        <v>9</v>
      </c>
      <c r="J3" s="297" t="s">
        <v>7</v>
      </c>
      <c r="K3" s="297" t="s">
        <v>8</v>
      </c>
      <c r="L3" s="297" t="s">
        <v>9</v>
      </c>
      <c r="M3" s="297" t="s">
        <v>10</v>
      </c>
      <c r="N3" s="297" t="s">
        <v>8</v>
      </c>
      <c r="O3" s="297" t="s">
        <v>9</v>
      </c>
    </row>
    <row r="4" spans="1:17">
      <c r="A4" s="108"/>
      <c r="B4" s="108"/>
      <c r="C4" s="109"/>
      <c r="D4" s="110"/>
      <c r="E4" s="110"/>
      <c r="F4" s="111"/>
      <c r="G4" s="109"/>
      <c r="H4" s="110"/>
      <c r="I4" s="111"/>
      <c r="J4" s="109"/>
      <c r="K4" s="110"/>
      <c r="L4" s="111"/>
      <c r="M4" s="109"/>
      <c r="N4" s="110"/>
      <c r="O4" s="111"/>
    </row>
    <row r="5" spans="1:17">
      <c r="A5" s="112">
        <v>1</v>
      </c>
      <c r="B5" s="113" t="str" cm="1">
        <f t="array" aca="1" ref="B5" ca="1">""&amp;INDIRECT(A5&amp;"!f1")&amp;"-"&amp;INDIRECT(A5&amp;"!g1")&amp;"-"&amp;INDIRECT(A5&amp;"!h1")</f>
        <v>1-3-2026</v>
      </c>
      <c r="C5" s="64" cm="1">
        <f t="array" aca="1" ref="C5" ca="1">INDIRECT(A5&amp;"!o11")</f>
        <v>4523</v>
      </c>
      <c r="D5" s="162">
        <f ca="1">IF(C5=0, 0, SUM($C$5:C5)/A5)</f>
        <v>4523</v>
      </c>
      <c r="E5" s="41" cm="1">
        <f t="array" aca="1" ref="E5" ca="1">INDIRECT(A5&amp;"!o12")</f>
        <v>293</v>
      </c>
      <c r="F5" s="73" cm="1">
        <f t="array" aca="1" ref="F5" ca="1">INDIRECT(A5&amp;"!o13")</f>
        <v>0</v>
      </c>
      <c r="G5" s="114" cm="1">
        <f t="array" aca="1" ref="G5" ca="1">INDIRECT(A5&amp;"!G11")</f>
        <v>850</v>
      </c>
      <c r="H5" s="115" cm="1">
        <f t="array" aca="1" ref="H5" ca="1">INDIRECT(A5&amp;"!G14")</f>
        <v>990</v>
      </c>
      <c r="I5" s="116" cm="1">
        <f t="array" aca="1" ref="I5" ca="1">INDIRECT(A5&amp;"!G17")</f>
        <v>0</v>
      </c>
      <c r="J5" s="64" cm="1">
        <f t="array" aca="1" ref="J5" ca="1">INDIRECT(A5&amp;"!O5")</f>
        <v>4573</v>
      </c>
      <c r="K5" s="64" cm="1">
        <f t="array" aca="1" ref="K5" ca="1">INDIRECT(A5&amp;"!O6")</f>
        <v>325</v>
      </c>
      <c r="L5" s="64" cm="1">
        <f t="array" aca="1" ref="L5" ca="1">INDIRECT(A5&amp;"!O7")</f>
        <v>0</v>
      </c>
      <c r="M5" s="64" cm="1">
        <f t="array" aca="1" ref="M5" ca="1">INDIRECT(A5&amp;"!P11")</f>
        <v>3844550</v>
      </c>
      <c r="N5" s="41" cm="1">
        <f t="array" aca="1" ref="N5" ca="1">INDIRECT(A5&amp;"!P12")</f>
        <v>290070</v>
      </c>
      <c r="O5" s="73" cm="1">
        <f t="array" aca="1" ref="O5" ca="1">INDIRECT(A5&amp;"!P13")</f>
        <v>0</v>
      </c>
    </row>
    <row r="6" spans="1:17">
      <c r="A6" s="112">
        <v>2</v>
      </c>
      <c r="B6" s="113" t="str" cm="1">
        <f t="array" aca="1" ref="B6" ca="1">""&amp;INDIRECT(A6&amp;"!f1")&amp;"-"&amp;INDIRECT(A6&amp;"!g1")&amp;"-"&amp;INDIRECT(A6&amp;"!h1")</f>
        <v>2-3-2026</v>
      </c>
      <c r="C6" s="64" cm="1">
        <f t="array" aca="1" ref="C6" ca="1">INDIRECT(A6&amp;"!o11")</f>
        <v>4778</v>
      </c>
      <c r="D6" s="162">
        <f ca="1">IF(C6=0, 0, SUM($C$5:C6)/A6)</f>
        <v>4650.5</v>
      </c>
      <c r="E6" s="41" cm="1">
        <f t="array" aca="1" ref="E6" ca="1">INDIRECT(A6&amp;"!o12")</f>
        <v>386</v>
      </c>
      <c r="F6" s="73" cm="1">
        <f t="array" aca="1" ref="F6" ca="1">INDIRECT(A6&amp;"!o13")</f>
        <v>0</v>
      </c>
      <c r="G6" s="114" cm="1">
        <f t="array" aca="1" ref="G6" ca="1">INDIRECT(A6&amp;"!G11")</f>
        <v>850</v>
      </c>
      <c r="H6" s="115" cm="1">
        <f t="array" aca="1" ref="H6" ca="1">INDIRECT(A6&amp;"!G14")</f>
        <v>990</v>
      </c>
      <c r="I6" s="116" cm="1">
        <f t="array" aca="1" ref="I6" ca="1">INDIRECT(A6&amp;"!G17")</f>
        <v>0</v>
      </c>
      <c r="J6" s="64" cm="1">
        <f t="array" aca="1" ref="J6" ca="1">INDIRECT(A6&amp;"!O5")</f>
        <v>4778</v>
      </c>
      <c r="K6" s="64" cm="1">
        <f t="array" aca="1" ref="K6" ca="1">INDIRECT(A6&amp;"!O6")</f>
        <v>418</v>
      </c>
      <c r="L6" s="64" cm="1">
        <f t="array" aca="1" ref="L6" ca="1">INDIRECT(A6&amp;"!O7")</f>
        <v>0</v>
      </c>
      <c r="M6" s="64" cm="1">
        <f t="array" aca="1" ref="M6" ca="1">INDIRECT(A6&amp;"!P11")</f>
        <v>4061300</v>
      </c>
      <c r="N6" s="41" cm="1">
        <f t="array" aca="1" ref="N6" ca="1">INDIRECT(A6&amp;"!P12")</f>
        <v>382140</v>
      </c>
      <c r="O6" s="73" cm="1">
        <f t="array" aca="1" ref="O6" ca="1">INDIRECT(A6&amp;"!P13")</f>
        <v>0</v>
      </c>
    </row>
    <row r="7" spans="1:17">
      <c r="A7" s="112">
        <v>3</v>
      </c>
      <c r="B7" s="113" t="str" cm="1">
        <f t="array" aca="1" ref="B7" ca="1">""&amp;INDIRECT(A7&amp;"!f1")&amp;"-"&amp;INDIRECT(A7&amp;"!g1")&amp;"-"&amp;INDIRECT(A7&amp;"!h1")</f>
        <v>3-3-2026</v>
      </c>
      <c r="C7" s="64" cm="1">
        <f t="array" aca="1" ref="C7" ca="1">INDIRECT(A7&amp;"!o11")</f>
        <v>4242</v>
      </c>
      <c r="D7" s="162">
        <f ca="1">IF(C7=0, 0, SUM($C$5:C7)/A7)</f>
        <v>4514.333333333333</v>
      </c>
      <c r="E7" s="41" cm="1">
        <f t="array" aca="1" ref="E7" ca="1">INDIRECT(A7&amp;"!o12")</f>
        <v>206</v>
      </c>
      <c r="F7" s="73" cm="1">
        <f t="array" aca="1" ref="F7" ca="1">INDIRECT(A7&amp;"!o13")</f>
        <v>0</v>
      </c>
      <c r="G7" s="114" cm="1">
        <f t="array" aca="1" ref="G7" ca="1">INDIRECT(A7&amp;"!G11")</f>
        <v>850</v>
      </c>
      <c r="H7" s="115" cm="1">
        <f t="array" aca="1" ref="H7" ca="1">INDIRECT(A7&amp;"!G14")</f>
        <v>990</v>
      </c>
      <c r="I7" s="116" cm="1">
        <f t="array" aca="1" ref="I7" ca="1">INDIRECT(A7&amp;"!G17")</f>
        <v>0</v>
      </c>
      <c r="J7" s="64" cm="1">
        <f t="array" aca="1" ref="J7" ca="1">INDIRECT(A7&amp;"!O5")</f>
        <v>4242</v>
      </c>
      <c r="K7" s="64" cm="1">
        <f t="array" aca="1" ref="K7" ca="1">INDIRECT(A7&amp;"!O6")</f>
        <v>239</v>
      </c>
      <c r="L7" s="64" cm="1">
        <f t="array" aca="1" ref="L7" ca="1">INDIRECT(A7&amp;"!O7")</f>
        <v>0</v>
      </c>
      <c r="M7" s="64" cm="1">
        <f t="array" aca="1" ref="M7" ca="1">INDIRECT(A7&amp;"!P11")</f>
        <v>3998300</v>
      </c>
      <c r="N7" s="41" cm="1">
        <f t="array" aca="1" ref="N7" ca="1">INDIRECT(A7&amp;"!P12")</f>
        <v>214200</v>
      </c>
      <c r="O7" s="73" cm="1">
        <f t="array" aca="1" ref="O7" ca="1">INDIRECT(A7&amp;"!P13")</f>
        <v>0</v>
      </c>
    </row>
    <row r="8" spans="1:17">
      <c r="A8" s="112">
        <v>4</v>
      </c>
      <c r="B8" s="113" t="str" cm="1">
        <f t="array" aca="1" ref="B8" ca="1">""&amp;INDIRECT(A8&amp;"!f1")&amp;"-"&amp;INDIRECT(A8&amp;"!g1")&amp;"-"&amp;INDIRECT(A8&amp;"!h1")</f>
        <v>4-3-2026</v>
      </c>
      <c r="C8" s="64" cm="1">
        <f t="array" aca="1" ref="C8" ca="1">INDIRECT(A8&amp;"!o11")</f>
        <v>4845</v>
      </c>
      <c r="D8" s="162">
        <f ca="1">IF(C8=0, 0, SUM($C$5:C8)/A8)</f>
        <v>4597</v>
      </c>
      <c r="E8" s="41" cm="1">
        <f t="array" aca="1" ref="E8" ca="1">INDIRECT(A8&amp;"!o12")</f>
        <v>263</v>
      </c>
      <c r="F8" s="73" cm="1">
        <f t="array" aca="1" ref="F8" ca="1">INDIRECT(A8&amp;"!o13")</f>
        <v>0</v>
      </c>
      <c r="G8" s="114" cm="1">
        <f t="array" aca="1" ref="G8" ca="1">INDIRECT(A8&amp;"!G11")</f>
        <v>950</v>
      </c>
      <c r="H8" s="115" cm="1">
        <f t="array" aca="1" ref="H8" ca="1">INDIRECT(A8&amp;"!G14")</f>
        <v>1050</v>
      </c>
      <c r="I8" s="116" cm="1">
        <f t="array" aca="1" ref="I8" ca="1">INDIRECT(A8&amp;"!G17")</f>
        <v>0</v>
      </c>
      <c r="J8" s="64" cm="1">
        <f t="array" aca="1" ref="J8" ca="1">INDIRECT(A8&amp;"!O5")</f>
        <v>4845</v>
      </c>
      <c r="K8" s="64" cm="1">
        <f t="array" aca="1" ref="K8" ca="1">INDIRECT(A8&amp;"!O6")</f>
        <v>295</v>
      </c>
      <c r="L8" s="64" cm="1">
        <f t="array" aca="1" ref="L8" ca="1">INDIRECT(A8&amp;"!O7")</f>
        <v>0</v>
      </c>
      <c r="M8" s="64" cm="1">
        <f t="array" aca="1" ref="M8" ca="1">INDIRECT(A8&amp;"!P11")</f>
        <v>4602750</v>
      </c>
      <c r="N8" s="41" cm="1">
        <f t="array" aca="1" ref="N8" ca="1">INDIRECT(A8&amp;"!P12")</f>
        <v>276150</v>
      </c>
      <c r="O8" s="73" cm="1">
        <f t="array" aca="1" ref="O8" ca="1">INDIRECT(A8&amp;"!P13")</f>
        <v>0</v>
      </c>
    </row>
    <row r="9" spans="1:17">
      <c r="A9" s="112">
        <v>5</v>
      </c>
      <c r="B9" s="113" t="str" cm="1">
        <f t="array" aca="1" ref="B9" ca="1">""&amp;INDIRECT(A9&amp;"!f1")&amp;"-"&amp;INDIRECT(A9&amp;"!g1")&amp;"-"&amp;INDIRECT(A9&amp;"!h1")</f>
        <v>5-3-2026</v>
      </c>
      <c r="C9" s="64" cm="1">
        <f t="array" aca="1" ref="C9" ca="1">INDIRECT(A9&amp;"!o11")</f>
        <v>4507</v>
      </c>
      <c r="D9" s="162">
        <f ca="1">IF(C9=0, 0, SUM($C$5:C9)/A9)</f>
        <v>4579</v>
      </c>
      <c r="E9" s="41" cm="1">
        <f t="array" aca="1" ref="E9" ca="1">INDIRECT(A9&amp;"!o12")</f>
        <v>372</v>
      </c>
      <c r="F9" s="73" cm="1">
        <f t="array" aca="1" ref="F9" ca="1">INDIRECT(A9&amp;"!o13")</f>
        <v>0</v>
      </c>
      <c r="G9" s="114" cm="1">
        <f t="array" aca="1" ref="G9" ca="1">INDIRECT(A9&amp;"!G11")</f>
        <v>950</v>
      </c>
      <c r="H9" s="115" cm="1">
        <f t="array" aca="1" ref="H9" ca="1">INDIRECT(A9&amp;"!G14")</f>
        <v>1050</v>
      </c>
      <c r="I9" s="116" cm="1">
        <f t="array" aca="1" ref="I9" ca="1">INDIRECT(A9&amp;"!G17")</f>
        <v>0</v>
      </c>
      <c r="J9" s="64" cm="1">
        <f t="array" aca="1" ref="J9" ca="1">INDIRECT(A9&amp;"!O5")</f>
        <v>4507</v>
      </c>
      <c r="K9" s="64" cm="1">
        <f t="array" aca="1" ref="K9" ca="1">INDIRECT(A9&amp;"!O6")</f>
        <v>404</v>
      </c>
      <c r="L9" s="64" cm="1">
        <f t="array" aca="1" ref="L9" ca="1">INDIRECT(A9&amp;"!O7")</f>
        <v>0</v>
      </c>
      <c r="M9" s="64" cm="1">
        <f t="array" aca="1" ref="M9" ca="1">INDIRECT(A9&amp;"!P11")</f>
        <v>4281650</v>
      </c>
      <c r="N9" s="41" cm="1">
        <f t="array" aca="1" ref="N9" ca="1">INDIRECT(A9&amp;"!P12")</f>
        <v>413220</v>
      </c>
      <c r="O9" s="73" cm="1">
        <f t="array" aca="1" ref="O9" ca="1">INDIRECT(A9&amp;"!P13")</f>
        <v>0</v>
      </c>
    </row>
    <row r="10" spans="1:17">
      <c r="A10" s="112">
        <v>6</v>
      </c>
      <c r="B10" s="113" t="str" cm="1">
        <f t="array" aca="1" ref="B10" ca="1">""&amp;INDIRECT(A10&amp;"!f1")&amp;"-"&amp;INDIRECT(A10&amp;"!g1")&amp;"-"&amp;INDIRECT(A10&amp;"!h1")</f>
        <v>6-3-2026</v>
      </c>
      <c r="C10" s="64" cm="1">
        <f t="array" aca="1" ref="C10" ca="1">INDIRECT(A10&amp;"!o11")</f>
        <v>5758</v>
      </c>
      <c r="D10" s="162">
        <f ca="1">IF(C10=0, 0, SUM($C$5:C10)/A10)</f>
        <v>4775.5</v>
      </c>
      <c r="E10" s="41" cm="1">
        <f t="array" aca="1" ref="E10" ca="1">INDIRECT(A10&amp;"!o12")</f>
        <v>461</v>
      </c>
      <c r="F10" s="73" cm="1">
        <f t="array" aca="1" ref="F10" ca="1">INDIRECT(A10&amp;"!o13")</f>
        <v>0</v>
      </c>
      <c r="G10" s="114" cm="1">
        <f t="array" aca="1" ref="G10" ca="1">INDIRECT(A10&amp;"!G11")</f>
        <v>950</v>
      </c>
      <c r="H10" s="115" cm="1">
        <f t="array" aca="1" ref="H10" ca="1">INDIRECT(A10&amp;"!G14")</f>
        <v>1200</v>
      </c>
      <c r="I10" s="116" cm="1">
        <f t="array" aca="1" ref="I10" ca="1">INDIRECT(A10&amp;"!G17")</f>
        <v>0</v>
      </c>
      <c r="J10" s="64" cm="1">
        <f t="array" aca="1" ref="J10" ca="1">INDIRECT(A10&amp;"!O5")</f>
        <v>5758</v>
      </c>
      <c r="K10" s="64" cm="1">
        <f t="array" aca="1" ref="K10" ca="1">INDIRECT(A10&amp;"!O6")</f>
        <v>493</v>
      </c>
      <c r="L10" s="64" cm="1">
        <f t="array" aca="1" ref="L10" ca="1">INDIRECT(A10&amp;"!O7")</f>
        <v>0</v>
      </c>
      <c r="M10" s="64" cm="1">
        <f t="array" aca="1" ref="M10" ca="1">INDIRECT(A10&amp;"!P11")</f>
        <v>5594225</v>
      </c>
      <c r="N10" s="41" cm="1">
        <f t="array" aca="1" ref="N10" ca="1">INDIRECT(A10&amp;"!P12")</f>
        <v>623300</v>
      </c>
      <c r="O10" s="73" cm="1">
        <f t="array" aca="1" ref="O10" ca="1">INDIRECT(A10&amp;"!P13")</f>
        <v>0</v>
      </c>
    </row>
    <row r="11" spans="1:17">
      <c r="A11" s="112">
        <v>7</v>
      </c>
      <c r="B11" s="113" t="str" cm="1">
        <f t="array" aca="1" ref="B11" ca="1">""&amp;INDIRECT(A11&amp;"!f1")&amp;"-"&amp;INDIRECT(A11&amp;"!g1")&amp;"-"&amp;INDIRECT(A11&amp;"!h1")</f>
        <v>7-3-2026</v>
      </c>
      <c r="C11" s="64" cm="1">
        <f t="array" aca="1" ref="C11" ca="1">INDIRECT(A11&amp;"!o11")</f>
        <v>4560</v>
      </c>
      <c r="D11" s="162">
        <f ca="1">IF(C11=0, 0, SUM($C$5:C11)/A11)</f>
        <v>4744.7142857142853</v>
      </c>
      <c r="E11" s="41" cm="1">
        <f t="array" aca="1" ref="E11" ca="1">INDIRECT(A11&amp;"!o12")</f>
        <v>539</v>
      </c>
      <c r="F11" s="73" cm="1">
        <f t="array" aca="1" ref="F11" ca="1">INDIRECT(A11&amp;"!o13")</f>
        <v>0</v>
      </c>
      <c r="G11" s="114" cm="1">
        <f t="array" aca="1" ref="G11" ca="1">INDIRECT(A11&amp;"!G11")</f>
        <v>1050</v>
      </c>
      <c r="H11" s="115" cm="1">
        <f t="array" aca="1" ref="H11" ca="1">INDIRECT(A11&amp;"!G14")</f>
        <v>1450</v>
      </c>
      <c r="I11" s="116" cm="1">
        <f t="array" aca="1" ref="I11" ca="1">INDIRECT(A11&amp;"!G17")</f>
        <v>0</v>
      </c>
      <c r="J11" s="64" cm="1">
        <f t="array" aca="1" ref="J11" ca="1">INDIRECT(A11&amp;"!O5")</f>
        <v>4560</v>
      </c>
      <c r="K11" s="64" cm="1">
        <f t="array" aca="1" ref="K11" ca="1">INDIRECT(A11&amp;"!O6")</f>
        <v>579</v>
      </c>
      <c r="L11" s="64" cm="1">
        <f t="array" aca="1" ref="L11" ca="1">INDIRECT(A11&amp;"!O7")</f>
        <v>0</v>
      </c>
      <c r="M11" s="64" cm="1">
        <f t="array" aca="1" ref="M11" ca="1">INDIRECT(A11&amp;"!P11")</f>
        <v>4840512</v>
      </c>
      <c r="N11" s="41" cm="1">
        <f t="array" aca="1" ref="N11" ca="1">INDIRECT(A11&amp;"!P12")</f>
        <v>781550</v>
      </c>
      <c r="O11" s="73" cm="1">
        <f t="array" aca="1" ref="O11" ca="1">INDIRECT(A11&amp;"!P13")</f>
        <v>0</v>
      </c>
    </row>
    <row r="12" spans="1:17">
      <c r="A12" s="112">
        <v>8</v>
      </c>
      <c r="B12" s="113" t="str" cm="1">
        <f t="array" aca="1" ref="B12" ca="1">""&amp;INDIRECT(A12&amp;"!f1")&amp;"-"&amp;INDIRECT(A12&amp;"!g1")&amp;"-"&amp;INDIRECT(A12&amp;"!h1")</f>
        <v>8-3-2026</v>
      </c>
      <c r="C12" s="64" cm="1">
        <f t="array" aca="1" ref="C12" ca="1">INDIRECT(A12&amp;"!o11")</f>
        <v>3815</v>
      </c>
      <c r="D12" s="162">
        <f ca="1">IF(C12=0, 0, SUM($C$5:C12)/A12)</f>
        <v>4628.5</v>
      </c>
      <c r="E12" s="41" cm="1">
        <f t="array" aca="1" ref="E12" ca="1">INDIRECT(A12&amp;"!o12")</f>
        <v>104</v>
      </c>
      <c r="F12" s="73" cm="1">
        <f t="array" aca="1" ref="F12" ca="1">INDIRECT(A12&amp;"!o13")</f>
        <v>0</v>
      </c>
      <c r="G12" s="114" cm="1">
        <f t="array" aca="1" ref="G12" ca="1">INDIRECT(A12&amp;"!G11")</f>
        <v>1082</v>
      </c>
      <c r="H12" s="115" cm="1">
        <f t="array" aca="1" ref="H12" ca="1">INDIRECT(A12&amp;"!G14")</f>
        <v>1450</v>
      </c>
      <c r="I12" s="116" cm="1">
        <f t="array" aca="1" ref="I12" ca="1">INDIRECT(A12&amp;"!G17")</f>
        <v>0</v>
      </c>
      <c r="J12" s="64" cm="1">
        <f t="array" aca="1" ref="J12" ca="1">INDIRECT(A12&amp;"!O5")</f>
        <v>3815</v>
      </c>
      <c r="K12" s="64" cm="1">
        <f t="array" aca="1" ref="K12" ca="1">INDIRECT(A12&amp;"!O6")</f>
        <v>136</v>
      </c>
      <c r="L12" s="64" cm="1">
        <f t="array" aca="1" ref="L12" ca="1">INDIRECT(A12&amp;"!O7")</f>
        <v>0</v>
      </c>
      <c r="M12" s="64" cm="1">
        <f t="array" aca="1" ref="M12" ca="1">INDIRECT(A12&amp;"!P11")</f>
        <v>4127830</v>
      </c>
      <c r="N12" s="41" cm="1">
        <f t="array" aca="1" ref="N12" ca="1">INDIRECT(A12&amp;"!P12")</f>
        <v>150800</v>
      </c>
      <c r="O12" s="73" cm="1">
        <f t="array" aca="1" ref="O12" ca="1">INDIRECT(A12&amp;"!P13")</f>
        <v>0</v>
      </c>
    </row>
    <row r="13" spans="1:17">
      <c r="A13" s="112">
        <v>9</v>
      </c>
      <c r="B13" s="113" t="str" cm="1">
        <f t="array" aca="1" ref="B13" ca="1">""&amp;INDIRECT(A13&amp;"!f1")&amp;"-"&amp;INDIRECT(A13&amp;"!g1")&amp;"-"&amp;INDIRECT(A13&amp;"!h1")</f>
        <v>9-3-2026</v>
      </c>
      <c r="C13" s="64" cm="1">
        <f t="array" aca="1" ref="C13" ca="1">INDIRECT(A13&amp;"!o11")</f>
        <v>3446</v>
      </c>
      <c r="D13" s="162">
        <f ca="1">IF(C13=0, 0, SUM($C$5:C13)/A13)</f>
        <v>4497.1111111111113</v>
      </c>
      <c r="E13" s="41" cm="1">
        <f t="array" aca="1" ref="E13" ca="1">INDIRECT(A13&amp;"!o12")</f>
        <v>176</v>
      </c>
      <c r="F13" s="73" cm="1">
        <f t="array" aca="1" ref="F13" ca="1">INDIRECT(A13&amp;"!o13")</f>
        <v>0</v>
      </c>
      <c r="G13" s="114" cm="1">
        <f t="array" aca="1" ref="G13" ca="1">INDIRECT(A13&amp;"!G11")</f>
        <v>1082</v>
      </c>
      <c r="H13" s="115" cm="1">
        <f t="array" aca="1" ref="H13" ca="1">INDIRECT(A13&amp;"!G14")</f>
        <v>1465</v>
      </c>
      <c r="I13" s="116" cm="1">
        <f t="array" aca="1" ref="I13" ca="1">INDIRECT(A13&amp;"!G17")</f>
        <v>1450</v>
      </c>
      <c r="J13" s="64" cm="1">
        <f t="array" aca="1" ref="J13" ca="1">INDIRECT(A13&amp;"!O5")</f>
        <v>3446</v>
      </c>
      <c r="K13" s="64" cm="1">
        <f t="array" aca="1" ref="K13" ca="1">INDIRECT(A13&amp;"!O6")</f>
        <v>208</v>
      </c>
      <c r="L13" s="64" cm="1">
        <f t="array" aca="1" ref="L13" ca="1">INDIRECT(A13&amp;"!O7")</f>
        <v>0</v>
      </c>
      <c r="M13" s="64" cm="1">
        <f t="array" aca="1" ref="M13" ca="1">INDIRECT(A13&amp;"!P11")</f>
        <v>4094500</v>
      </c>
      <c r="N13" s="41" cm="1">
        <f t="array" aca="1" ref="N13" ca="1">INDIRECT(A13&amp;"!P12")</f>
        <v>276750</v>
      </c>
      <c r="O13" s="73" cm="1">
        <f t="array" aca="1" ref="O13" ca="1">INDIRECT(A13&amp;"!P13")</f>
        <v>0</v>
      </c>
    </row>
    <row r="14" spans="1:17">
      <c r="A14" s="112">
        <v>10</v>
      </c>
      <c r="B14" s="113" t="str" cm="1">
        <f t="array" aca="1" ref="B14" ca="1">""&amp;INDIRECT(A14&amp;"!f1")&amp;"-"&amp;INDIRECT(A14&amp;"!g1")&amp;"-"&amp;INDIRECT(A14&amp;"!h1")</f>
        <v>10-3-2026</v>
      </c>
      <c r="C14" s="64" cm="1">
        <f t="array" aca="1" ref="C14" ca="1">INDIRECT(A14&amp;"!o11")</f>
        <v>4181</v>
      </c>
      <c r="D14" s="162">
        <f ca="1">IF(C14=0, 0, SUM($C$5:C14)/A14)</f>
        <v>4465.5</v>
      </c>
      <c r="E14" s="41" cm="1">
        <f t="array" aca="1" ref="E14" ca="1">INDIRECT(A14&amp;"!o12")</f>
        <v>295</v>
      </c>
      <c r="F14" s="73" cm="1">
        <f t="array" aca="1" ref="F14" ca="1">INDIRECT(A14&amp;"!o13")</f>
        <v>0</v>
      </c>
      <c r="G14" s="114" cm="1">
        <f t="array" aca="1" ref="G14" ca="1">INDIRECT(A14&amp;"!G11")</f>
        <v>1240</v>
      </c>
      <c r="H14" s="115" cm="1">
        <f t="array" aca="1" ref="H14" ca="1">INDIRECT(A14&amp;"!G14")</f>
        <v>1770</v>
      </c>
      <c r="I14" s="116" cm="1">
        <f t="array" aca="1" ref="I14" ca="1">INDIRECT(A14&amp;"!G17")</f>
        <v>0</v>
      </c>
      <c r="J14" s="64" cm="1">
        <f t="array" aca="1" ref="J14" ca="1">INDIRECT(A14&amp;"!O5")</f>
        <v>4231</v>
      </c>
      <c r="K14" s="64" cm="1">
        <f t="array" aca="1" ref="K14" ca="1">INDIRECT(A14&amp;"!O6")</f>
        <v>337</v>
      </c>
      <c r="L14" s="64" cm="1">
        <f t="array" aca="1" ref="L14" ca="1">INDIRECT(A14&amp;"!O7")</f>
        <v>0</v>
      </c>
      <c r="M14" s="64" cm="1">
        <f t="array" aca="1" ref="M14" ca="1">INDIRECT(A14&amp;"!P11")</f>
        <v>5408420</v>
      </c>
      <c r="N14" s="41" cm="1">
        <f t="array" aca="1" ref="N14" ca="1">INDIRECT(A14&amp;"!P12")</f>
        <v>522150</v>
      </c>
      <c r="O14" s="73" cm="1">
        <f t="array" aca="1" ref="O14" ca="1">INDIRECT(A14&amp;"!P13")</f>
        <v>0</v>
      </c>
      <c r="Q14" s="170"/>
    </row>
    <row r="15" spans="1:17">
      <c r="A15" s="112">
        <v>11</v>
      </c>
      <c r="B15" s="113" t="str" cm="1">
        <f t="array" aca="1" ref="B15" ca="1">""&amp;INDIRECT(A15&amp;"!f1")&amp;"-"&amp;INDIRECT(A15&amp;"!g1")&amp;"-"&amp;INDIRECT(A15&amp;"!h1")</f>
        <v>11-3-2026</v>
      </c>
      <c r="C15" s="64" cm="1">
        <f t="array" aca="1" ref="C15" ca="1">INDIRECT(A15&amp;"!o11")</f>
        <v>3817</v>
      </c>
      <c r="D15" s="162">
        <f ca="1">IF(C15=0, 0, SUM($C$5:C15)/A15)</f>
        <v>4406.545454545455</v>
      </c>
      <c r="E15" s="41" cm="1">
        <f t="array" aca="1" ref="E15" ca="1">INDIRECT(A15&amp;"!o12")</f>
        <v>779</v>
      </c>
      <c r="F15" s="73" cm="1">
        <f t="array" aca="1" ref="F15" ca="1">INDIRECT(A15&amp;"!o13")</f>
        <v>0</v>
      </c>
      <c r="G15" s="114" cm="1">
        <f t="array" aca="1" ref="G15" ca="1">INDIRECT(A15&amp;"!G11")</f>
        <v>1300</v>
      </c>
      <c r="H15" s="115" cm="1">
        <f t="array" aca="1" ref="H15" ca="1">INDIRECT(A15&amp;"!G14")</f>
        <v>1770</v>
      </c>
      <c r="I15" s="116" cm="1">
        <f t="array" aca="1" ref="I15" ca="1">INDIRECT(A15&amp;"!G17")</f>
        <v>0</v>
      </c>
      <c r="J15" s="64" cm="1">
        <f t="array" aca="1" ref="J15" ca="1">INDIRECT(A15&amp;"!O5")</f>
        <v>3817</v>
      </c>
      <c r="K15" s="64" cm="1">
        <f t="array" aca="1" ref="K15" ca="1">INDIRECT(A15&amp;"!O6")</f>
        <v>811</v>
      </c>
      <c r="L15" s="64" cm="1">
        <f t="array" aca="1" ref="L15" ca="1">INDIRECT(A15&amp;"!O7")</f>
        <v>0</v>
      </c>
      <c r="M15" s="64" cm="1">
        <f t="array" aca="1" ref="M15" ca="1">INDIRECT(A15&amp;"!P11")</f>
        <v>4708500</v>
      </c>
      <c r="N15" s="41" cm="1">
        <f t="array" aca="1" ref="N15" ca="1">INDIRECT(A15&amp;"!P12")</f>
        <v>1378830</v>
      </c>
      <c r="O15" s="73" cm="1">
        <f t="array" aca="1" ref="O15" ca="1">INDIRECT(A15&amp;"!P13")</f>
        <v>0</v>
      </c>
    </row>
    <row r="16" spans="1:17">
      <c r="A16" s="112">
        <v>12</v>
      </c>
      <c r="B16" s="113" t="str" cm="1">
        <f t="array" aca="1" ref="B16" ca="1">""&amp;INDIRECT(A16&amp;"!f1")&amp;"-"&amp;INDIRECT(A16&amp;"!g1")&amp;"-"&amp;INDIRECT(A16&amp;"!h1")</f>
        <v>12-3-2026</v>
      </c>
      <c r="C16" s="64" cm="1">
        <f t="array" aca="1" ref="C16" ca="1">INDIRECT(A16&amp;"!o11")</f>
        <v>4351</v>
      </c>
      <c r="D16" s="162">
        <f ca="1">IF(C16=0, 0, SUM($C$5:C16)/A16)</f>
        <v>4401.916666666667</v>
      </c>
      <c r="E16" s="41" cm="1">
        <f t="array" aca="1" ref="E16" ca="1">INDIRECT(A16&amp;"!o12")</f>
        <v>345</v>
      </c>
      <c r="F16" s="73" cm="1">
        <f t="array" aca="1" ref="F16" ca="1">INDIRECT(A16&amp;"!o13")</f>
        <v>0</v>
      </c>
      <c r="G16" s="114" cm="1">
        <f t="array" aca="1" ref="G16" ca="1">INDIRECT(A16&amp;"!G11")</f>
        <v>1200</v>
      </c>
      <c r="H16" s="115" cm="1">
        <f t="array" aca="1" ref="H16" ca="1">INDIRECT(A16&amp;"!G14")</f>
        <v>1770</v>
      </c>
      <c r="I16" s="116" cm="1">
        <f t="array" aca="1" ref="I16" ca="1">INDIRECT(A16&amp;"!G17")</f>
        <v>0</v>
      </c>
      <c r="J16" s="64" cm="1">
        <f t="array" aca="1" ref="J16" ca="1">INDIRECT(A16&amp;"!O5")</f>
        <v>4351</v>
      </c>
      <c r="K16" s="64" cm="1">
        <f t="array" aca="1" ref="K16" ca="1">INDIRECT(A16&amp;"!O6")</f>
        <v>377</v>
      </c>
      <c r="L16" s="64" cm="1">
        <f t="array" aca="1" ref="L16" ca="1">INDIRECT(A16&amp;"!O7")</f>
        <v>0</v>
      </c>
      <c r="M16" s="64" cm="1">
        <f t="array" aca="1" ref="M16" ca="1">INDIRECT(A16&amp;"!P11")</f>
        <v>5221200</v>
      </c>
      <c r="N16" s="41" cm="1">
        <f t="array" aca="1" ref="N16" ca="1">INDIRECT(A16&amp;"!P12")</f>
        <v>610650</v>
      </c>
      <c r="O16" s="73" cm="1">
        <f t="array" aca="1" ref="O16" ca="1">INDIRECT(A16&amp;"!P13")</f>
        <v>0</v>
      </c>
    </row>
    <row r="17" spans="1:15">
      <c r="A17" s="112">
        <v>13</v>
      </c>
      <c r="B17" s="113" t="str" cm="1">
        <f t="array" aca="1" ref="B17" ca="1">""&amp;INDIRECT(A17&amp;"!f1")&amp;"-"&amp;INDIRECT(A17&amp;"!g1")&amp;"-"&amp;INDIRECT(A17&amp;"!h1")</f>
        <v>13-3-2026</v>
      </c>
      <c r="C17" s="64" cm="1">
        <f t="array" aca="1" ref="C17" ca="1">INDIRECT(A17&amp;"!o11")</f>
        <v>3815</v>
      </c>
      <c r="D17" s="162">
        <f ca="1">IF(C17=0, 0, SUM($C$5:C17)/A17)</f>
        <v>4356.7692307692305</v>
      </c>
      <c r="E17" s="41" cm="1">
        <f t="array" aca="1" ref="E17" ca="1">INDIRECT(A17&amp;"!o12")</f>
        <v>281</v>
      </c>
      <c r="F17" s="73" cm="1">
        <f t="array" aca="1" ref="F17" ca="1">INDIRECT(A17&amp;"!o13")</f>
        <v>0</v>
      </c>
      <c r="G17" s="114" cm="1">
        <f t="array" aca="1" ref="G17" ca="1">INDIRECT(A17&amp;"!G11")</f>
        <v>1200</v>
      </c>
      <c r="H17" s="115" cm="1">
        <f t="array" aca="1" ref="H17" ca="1">INDIRECT(A17&amp;"!G14")</f>
        <v>1700</v>
      </c>
      <c r="I17" s="116" cm="1">
        <f t="array" aca="1" ref="I17" ca="1">INDIRECT(A17&amp;"!G17")</f>
        <v>0</v>
      </c>
      <c r="J17" s="64" cm="1">
        <f t="array" aca="1" ref="J17" ca="1">INDIRECT(A17&amp;"!O5")</f>
        <v>3815</v>
      </c>
      <c r="K17" s="64" cm="1">
        <f t="array" aca="1" ref="K17" ca="1">INDIRECT(A17&amp;"!O6")</f>
        <v>313</v>
      </c>
      <c r="L17" s="64" cm="1">
        <f t="array" aca="1" ref="L17" ca="1">INDIRECT(A17&amp;"!O7")</f>
        <v>0</v>
      </c>
      <c r="M17" s="64" cm="1">
        <f t="array" aca="1" ref="M17" ca="1">INDIRECT(A17&amp;"!P11")</f>
        <v>4578000</v>
      </c>
      <c r="N17" s="41" cm="1">
        <f t="array" aca="1" ref="N17" ca="1">INDIRECT(A17&amp;"!P12")</f>
        <v>477700</v>
      </c>
      <c r="O17" s="73" cm="1">
        <f t="array" aca="1" ref="O17" ca="1">INDIRECT(A17&amp;"!P13")</f>
        <v>0</v>
      </c>
    </row>
    <row r="18" spans="1:15">
      <c r="A18" s="112">
        <v>14</v>
      </c>
      <c r="B18" s="113" t="str" cm="1">
        <f t="array" aca="1" ref="B18" ca="1">""&amp;INDIRECT(A18&amp;"!f1")&amp;"-"&amp;INDIRECT(A18&amp;"!g1")&amp;"-"&amp;INDIRECT(A18&amp;"!h1")</f>
        <v>14-3-2026</v>
      </c>
      <c r="C18" s="64" cm="1">
        <f t="array" aca="1" ref="C18" ca="1">INDIRECT(A18&amp;"!o11")</f>
        <v>4074</v>
      </c>
      <c r="D18" s="162">
        <f ca="1">IF(C18=0, 0, SUM($C$5:C18)/A18)</f>
        <v>4336.5714285714284</v>
      </c>
      <c r="E18" s="41" cm="1">
        <f t="array" aca="1" ref="E18" ca="1">INDIRECT(A18&amp;"!o12")</f>
        <v>289</v>
      </c>
      <c r="F18" s="73" cm="1">
        <f t="array" aca="1" ref="F18" ca="1">INDIRECT(A18&amp;"!o13")</f>
        <v>0</v>
      </c>
      <c r="G18" s="114" cm="1">
        <f t="array" aca="1" ref="G18" ca="1">INDIRECT(A18&amp;"!G11")</f>
        <v>1200</v>
      </c>
      <c r="H18" s="115" cm="1">
        <f t="array" aca="1" ref="H18" ca="1">INDIRECT(A18&amp;"!G14")</f>
        <v>1700</v>
      </c>
      <c r="I18" s="116" cm="1">
        <f t="array" aca="1" ref="I18" ca="1">INDIRECT(A18&amp;"!G17")</f>
        <v>0</v>
      </c>
      <c r="J18" s="64" cm="1">
        <f t="array" aca="1" ref="J18" ca="1">INDIRECT(A18&amp;"!O5")</f>
        <v>4074</v>
      </c>
      <c r="K18" s="64" cm="1">
        <f t="array" aca="1" ref="K18" ca="1">INDIRECT(A18&amp;"!O6")</f>
        <v>321</v>
      </c>
      <c r="L18" s="64" cm="1">
        <f t="array" aca="1" ref="L18" ca="1">INDIRECT(A18&amp;"!O7")</f>
        <v>0</v>
      </c>
      <c r="M18" s="64" cm="1">
        <f t="array" aca="1" ref="M18" ca="1">INDIRECT(A18&amp;"!P11")</f>
        <v>5153800</v>
      </c>
      <c r="N18" s="41" cm="1">
        <f t="array" aca="1" ref="N18" ca="1">INDIRECT(A18&amp;"!P12")</f>
        <v>491300</v>
      </c>
      <c r="O18" s="73" cm="1">
        <f t="array" aca="1" ref="O18" ca="1">INDIRECT(A18&amp;"!P13")</f>
        <v>0</v>
      </c>
    </row>
    <row r="19" spans="1:15">
      <c r="A19" s="112">
        <v>15</v>
      </c>
      <c r="B19" s="113" t="str" cm="1">
        <f t="array" aca="1" ref="B19" ca="1">""&amp;INDIRECT(A19&amp;"!f1")&amp;"-"&amp;INDIRECT(A19&amp;"!g1")&amp;"-"&amp;INDIRECT(A19&amp;"!h1")</f>
        <v>15-3-2026</v>
      </c>
      <c r="C19" s="64" cm="1">
        <f t="array" aca="1" ref="C19" ca="1">INDIRECT(A19&amp;"!o11")</f>
        <v>3502</v>
      </c>
      <c r="D19" s="162">
        <f ca="1">IF(C19=0, 0, SUM($C$5:C19)/A19)</f>
        <v>4280.9333333333334</v>
      </c>
      <c r="E19" s="41" cm="1">
        <f t="array" aca="1" ref="E19" ca="1">INDIRECT(A19&amp;"!o12")</f>
        <v>149</v>
      </c>
      <c r="F19" s="73" cm="1">
        <f t="array" aca="1" ref="F19" ca="1">INDIRECT(A19&amp;"!o13")</f>
        <v>0</v>
      </c>
      <c r="G19" s="114" cm="1">
        <f t="array" aca="1" ref="G19" ca="1">INDIRECT(A19&amp;"!G11")</f>
        <v>1300</v>
      </c>
      <c r="H19" s="115" cm="1">
        <f t="array" aca="1" ref="H19" ca="1">INDIRECT(A19&amp;"!G14")</f>
        <v>1700</v>
      </c>
      <c r="I19" s="116" cm="1">
        <f t="array" aca="1" ref="I19" ca="1">INDIRECT(A19&amp;"!G17")</f>
        <v>0</v>
      </c>
      <c r="J19" s="64" cm="1">
        <f t="array" aca="1" ref="J19" ca="1">INDIRECT(A19&amp;"!O5")</f>
        <v>3502</v>
      </c>
      <c r="K19" s="64" cm="1">
        <f t="array" aca="1" ref="K19" ca="1">INDIRECT(A19&amp;"!O6")</f>
        <v>181</v>
      </c>
      <c r="L19" s="64" cm="1">
        <f t="array" aca="1" ref="L19" ca="1">INDIRECT(A19&amp;"!O7")</f>
        <v>0</v>
      </c>
      <c r="M19" s="64" cm="1">
        <f t="array" aca="1" ref="M19" ca="1">INDIRECT(A19&amp;"!P11")</f>
        <v>4552600</v>
      </c>
      <c r="N19" s="41" cm="1">
        <f t="array" aca="1" ref="N19" ca="1">INDIRECT(A19&amp;"!P12")</f>
        <v>253300</v>
      </c>
      <c r="O19" s="73" cm="1">
        <f t="array" aca="1" ref="O19" ca="1">INDIRECT(A19&amp;"!P13")</f>
        <v>0</v>
      </c>
    </row>
    <row r="20" spans="1:15">
      <c r="A20" s="112">
        <v>16</v>
      </c>
      <c r="B20" s="113" t="str" cm="1">
        <f t="array" aca="1" ref="B20" ca="1">""&amp;INDIRECT(A20&amp;"!f1")&amp;"-"&amp;INDIRECT(A20&amp;"!g1")&amp;"-"&amp;INDIRECT(A20&amp;"!h1")</f>
        <v>16-3-2026</v>
      </c>
      <c r="C20" s="64" cm="1">
        <f t="array" aca="1" ref="C20" ca="1">INDIRECT(A20&amp;"!o11")</f>
        <v>4091</v>
      </c>
      <c r="D20" s="162">
        <f ca="1">IF(C20=0, 0, SUM($C$5:C20)/A20)</f>
        <v>4269.0625</v>
      </c>
      <c r="E20" s="41" cm="1">
        <f t="array" aca="1" ref="E20" ca="1">INDIRECT(A20&amp;"!o12")</f>
        <v>301</v>
      </c>
      <c r="F20" s="73" cm="1">
        <f t="array" aca="1" ref="F20" ca="1">INDIRECT(A20&amp;"!o13")</f>
        <v>0</v>
      </c>
      <c r="G20" s="114" cm="1">
        <f t="array" aca="1" ref="G20" ca="1">INDIRECT(A20&amp;"!G11")</f>
        <v>1300</v>
      </c>
      <c r="H20" s="115" cm="1">
        <f t="array" aca="1" ref="H20" ca="1">INDIRECT(A20&amp;"!G14")</f>
        <v>1670</v>
      </c>
      <c r="I20" s="116" cm="1">
        <f t="array" aca="1" ref="I20" ca="1">INDIRECT(A20&amp;"!G17")</f>
        <v>0</v>
      </c>
      <c r="J20" s="64" cm="1">
        <f t="array" aca="1" ref="J20" ca="1">INDIRECT(A20&amp;"!O5")</f>
        <v>4141</v>
      </c>
      <c r="K20" s="64" cm="1">
        <f t="array" aca="1" ref="K20" ca="1">INDIRECT(A20&amp;"!O6")</f>
        <v>333</v>
      </c>
      <c r="L20" s="64" cm="1">
        <f t="array" aca="1" ref="L20" ca="1">INDIRECT(A20&amp;"!O7")</f>
        <v>0</v>
      </c>
      <c r="M20" s="64" cm="1">
        <f t="array" aca="1" ref="M20" ca="1">INDIRECT(A20&amp;"!P11")</f>
        <v>5318300</v>
      </c>
      <c r="N20" s="41" cm="1">
        <f t="array" aca="1" ref="N20" ca="1">INDIRECT(A20&amp;"!P12")</f>
        <v>502670</v>
      </c>
      <c r="O20" s="73" cm="1">
        <f t="array" aca="1" ref="O20" ca="1">INDIRECT(A20&amp;"!P13")</f>
        <v>0</v>
      </c>
    </row>
    <row r="21" spans="1:15">
      <c r="A21" s="112">
        <v>17</v>
      </c>
      <c r="B21" s="113" t="str" cm="1">
        <f t="array" aca="1" ref="B21" ca="1">""&amp;INDIRECT(A21&amp;"!f1")&amp;"-"&amp;INDIRECT(A21&amp;"!g1")&amp;"-"&amp;INDIRECT(A21&amp;"!h1")</f>
        <v>17-3-2026</v>
      </c>
      <c r="C21" s="64" cm="1">
        <f t="array" aca="1" ref="C21" ca="1">INDIRECT(A21&amp;"!o11")</f>
        <v>4231</v>
      </c>
      <c r="D21" s="162">
        <f ca="1">IF(C21=0, 0, SUM($C$5:C21)/A21)</f>
        <v>4266.8235294117649</v>
      </c>
      <c r="E21" s="41" cm="1">
        <f t="array" aca="1" ref="E21" ca="1">INDIRECT(A21&amp;"!o12")</f>
        <v>450</v>
      </c>
      <c r="F21" s="73" cm="1">
        <f t="array" aca="1" ref="F21" ca="1">INDIRECT(A21&amp;"!o13")</f>
        <v>0</v>
      </c>
      <c r="G21" s="114" cm="1">
        <f t="array" aca="1" ref="G21" ca="1">INDIRECT(A21&amp;"!G11")</f>
        <v>1300</v>
      </c>
      <c r="H21" s="115" cm="1">
        <f t="array" aca="1" ref="H21" ca="1">INDIRECT(A21&amp;"!G14")</f>
        <v>1670</v>
      </c>
      <c r="I21" s="116" cm="1">
        <f t="array" aca="1" ref="I21" ca="1">INDIRECT(A21&amp;"!G17")</f>
        <v>1450</v>
      </c>
      <c r="J21" s="64" cm="1">
        <f t="array" aca="1" ref="J21" ca="1">INDIRECT(A21&amp;"!O5")</f>
        <v>4281</v>
      </c>
      <c r="K21" s="64" cm="1">
        <f t="array" aca="1" ref="K21" ca="1">INDIRECT(A21&amp;"!O6")</f>
        <v>482</v>
      </c>
      <c r="L21" s="64" cm="1">
        <f t="array" aca="1" ref="L21" ca="1">INDIRECT(A21&amp;"!O7")</f>
        <v>0</v>
      </c>
      <c r="M21" s="64" cm="1">
        <f t="array" aca="1" ref="M21" ca="1">INDIRECT(A21&amp;"!P11")</f>
        <v>5500300</v>
      </c>
      <c r="N21" s="41" cm="1">
        <f t="array" aca="1" ref="N21" ca="1">INDIRECT(A21&amp;"!P12")</f>
        <v>751500</v>
      </c>
      <c r="O21" s="73" cm="1">
        <f t="array" aca="1" ref="O21" ca="1">INDIRECT(A21&amp;"!P13")</f>
        <v>0</v>
      </c>
    </row>
    <row r="22" spans="1:15">
      <c r="A22" s="112">
        <v>18</v>
      </c>
      <c r="B22" s="113" t="str" cm="1">
        <f t="array" aca="1" ref="B22" ca="1">""&amp;INDIRECT(A22&amp;"!f1")&amp;"-"&amp;INDIRECT(A22&amp;"!g1")&amp;"-"&amp;INDIRECT(A22&amp;"!h1")</f>
        <v>18-3-2026</v>
      </c>
      <c r="C22" s="64" cm="1">
        <f t="array" aca="1" ref="C22" ca="1">INDIRECT(A22&amp;"!o11")</f>
        <v>3763</v>
      </c>
      <c r="D22" s="162">
        <f ca="1">IF(C22=0, 0, SUM($C$5:C22)/A22)</f>
        <v>4238.833333333333</v>
      </c>
      <c r="E22" s="41" cm="1">
        <f t="array" aca="1" ref="E22" ca="1">INDIRECT(A22&amp;"!o12")</f>
        <v>290</v>
      </c>
      <c r="F22" s="73" cm="1">
        <f t="array" aca="1" ref="F22" ca="1">INDIRECT(A22&amp;"!o13")</f>
        <v>0</v>
      </c>
      <c r="G22" s="114" cm="1">
        <f t="array" aca="1" ref="G22" ca="1">INDIRECT(A22&amp;"!G11")</f>
        <v>1250</v>
      </c>
      <c r="H22" s="115" cm="1">
        <f t="array" aca="1" ref="H22" ca="1">INDIRECT(A22&amp;"!G14")</f>
        <v>1670</v>
      </c>
      <c r="I22" s="116" cm="1">
        <f t="array" aca="1" ref="I22" ca="1">INDIRECT(A22&amp;"!G17")</f>
        <v>0</v>
      </c>
      <c r="J22" s="64" cm="1">
        <f t="array" aca="1" ref="J22" ca="1">INDIRECT(A22&amp;"!O5")</f>
        <v>3763</v>
      </c>
      <c r="K22" s="64" cm="1">
        <f t="array" aca="1" ref="K22" ca="1">INDIRECT(A22&amp;"!O6")</f>
        <v>325</v>
      </c>
      <c r="L22" s="64" cm="1">
        <f t="array" aca="1" ref="L22" ca="1">INDIRECT(A22&amp;"!O7")</f>
        <v>0</v>
      </c>
      <c r="M22" s="64" cm="1">
        <f t="array" aca="1" ref="M22" ca="1">INDIRECT(A22&amp;"!P11")</f>
        <v>4703750</v>
      </c>
      <c r="N22" s="41" cm="1">
        <f t="array" aca="1" ref="N22" ca="1">INDIRECT(A22&amp;"!P12")</f>
        <v>484300</v>
      </c>
      <c r="O22" s="73" cm="1">
        <f t="array" aca="1" ref="O22" ca="1">INDIRECT(A22&amp;"!P13")</f>
        <v>0</v>
      </c>
    </row>
    <row r="23" spans="1:15">
      <c r="A23" s="112">
        <v>19</v>
      </c>
      <c r="B23" s="113" t="str" cm="1">
        <f t="array" aca="1" ref="B23" ca="1">""&amp;INDIRECT(A23&amp;"!f1")&amp;"-"&amp;INDIRECT(A23&amp;"!g1")&amp;"-"&amp;INDIRECT(A23&amp;"!h1")</f>
        <v>19-3-2026</v>
      </c>
      <c r="C23" s="64" cm="1">
        <f t="array" aca="1" ref="C23" ca="1">INDIRECT(A23&amp;"!o11")</f>
        <v>4013</v>
      </c>
      <c r="D23" s="162">
        <f ca="1">IF(C23=0, 0, SUM($C$5:C23)/A23)</f>
        <v>4226.9473684210525</v>
      </c>
      <c r="E23" s="41" cm="1">
        <f t="array" aca="1" ref="E23" ca="1">INDIRECT(A23&amp;"!o12")</f>
        <v>1111</v>
      </c>
      <c r="F23" s="73" cm="1">
        <f t="array" aca="1" ref="F23" ca="1">INDIRECT(A23&amp;"!o13")</f>
        <v>0</v>
      </c>
      <c r="G23" s="114" cm="1">
        <f t="array" aca="1" ref="G23" ca="1">INDIRECT(A23&amp;"!G11")</f>
        <v>1250</v>
      </c>
      <c r="H23" s="115" cm="1">
        <f t="array" aca="1" ref="H23" ca="1">INDIRECT(A23&amp;"!G14")</f>
        <v>1670</v>
      </c>
      <c r="I23" s="116" cm="1">
        <f t="array" aca="1" ref="I23" ca="1">INDIRECT(A23&amp;"!G17")</f>
        <v>0</v>
      </c>
      <c r="J23" s="64" cm="1">
        <f t="array" aca="1" ref="J23" ca="1">INDIRECT(A23&amp;"!O5")</f>
        <v>4013</v>
      </c>
      <c r="K23" s="64" cm="1">
        <f t="array" aca="1" ref="K23" ca="1">INDIRECT(A23&amp;"!O6")</f>
        <v>1143</v>
      </c>
      <c r="L23" s="64" cm="1">
        <f t="array" aca="1" ref="L23" ca="1">INDIRECT(A23&amp;"!O7")</f>
        <v>0</v>
      </c>
      <c r="M23" s="64" cm="1">
        <f t="array" aca="1" ref="M23" ca="1">INDIRECT(A23&amp;"!P11")</f>
        <v>5016250</v>
      </c>
      <c r="N23" s="41" cm="1">
        <f t="array" aca="1" ref="N23" ca="1">INDIRECT(A23&amp;"!P12")</f>
        <v>1855370</v>
      </c>
      <c r="O23" s="73" cm="1">
        <f t="array" aca="1" ref="O23" ca="1">INDIRECT(A23&amp;"!P13")</f>
        <v>0</v>
      </c>
    </row>
    <row r="24" spans="1:15">
      <c r="A24" s="112">
        <v>20</v>
      </c>
      <c r="B24" s="113" t="str" cm="1">
        <f t="array" aca="1" ref="B24" ca="1">""&amp;INDIRECT(A24&amp;"!f1")&amp;"-"&amp;INDIRECT(A24&amp;"!g1")&amp;"-"&amp;INDIRECT(A24&amp;"!h1")</f>
        <v>20-3-2026</v>
      </c>
      <c r="C24" s="64" cm="1">
        <f t="array" aca="1" ref="C24" ca="1">INDIRECT(A24&amp;"!o11")</f>
        <v>4375</v>
      </c>
      <c r="D24" s="162">
        <f ca="1">IF(C24=0, 0, SUM($C$5:C24)/A24)</f>
        <v>4234.3500000000004</v>
      </c>
      <c r="E24" s="41" cm="1">
        <f t="array" aca="1" ref="E24" ca="1">INDIRECT(A24&amp;"!o12")</f>
        <v>298</v>
      </c>
      <c r="F24" s="73" cm="1">
        <f t="array" aca="1" ref="F24" ca="1">INDIRECT(A24&amp;"!o13")</f>
        <v>0</v>
      </c>
      <c r="G24" s="114" cm="1">
        <f t="array" aca="1" ref="G24" ca="1">INDIRECT(A24&amp;"!G11")</f>
        <v>1250</v>
      </c>
      <c r="H24" s="115" cm="1">
        <f t="array" aca="1" ref="H24" ca="1">INDIRECT(A24&amp;"!G14")</f>
        <v>1670</v>
      </c>
      <c r="I24" s="116" cm="1">
        <f t="array" aca="1" ref="I24" ca="1">INDIRECT(A24&amp;"!G17")</f>
        <v>1450</v>
      </c>
      <c r="J24" s="64" cm="1">
        <f t="array" aca="1" ref="J24" ca="1">INDIRECT(A24&amp;"!O5")</f>
        <v>4375</v>
      </c>
      <c r="K24" s="64" cm="1">
        <f t="array" aca="1" ref="K24" ca="1">INDIRECT(A24&amp;"!O6")</f>
        <v>327</v>
      </c>
      <c r="L24" s="64" cm="1">
        <f t="array" aca="1" ref="L24" ca="1">INDIRECT(A24&amp;"!O7")</f>
        <v>0</v>
      </c>
      <c r="M24" s="64" cm="1">
        <f t="array" aca="1" ref="M24" ca="1">INDIRECT(A24&amp;"!P11")</f>
        <v>5468750</v>
      </c>
      <c r="N24" s="41" cm="1">
        <f t="array" aca="1" ref="N24" ca="1">INDIRECT(A24&amp;"!P12")</f>
        <v>497660</v>
      </c>
      <c r="O24" s="73" cm="1">
        <f t="array" aca="1" ref="O24" ca="1">INDIRECT(A24&amp;"!P13")</f>
        <v>0</v>
      </c>
    </row>
    <row r="25" spans="1:15">
      <c r="A25" s="112">
        <v>21</v>
      </c>
      <c r="B25" s="113" t="str" cm="1">
        <f t="array" aca="1" ref="B25" ca="1">""&amp;INDIRECT(A25&amp;"!f1")&amp;"-"&amp;INDIRECT(A25&amp;"!g1")&amp;"-"&amp;INDIRECT(A25&amp;"!h1")</f>
        <v>21-3-2026</v>
      </c>
      <c r="C25" s="64" cm="1">
        <f t="array" aca="1" ref="C25" ca="1">INDIRECT(A25&amp;"!o11")</f>
        <v>0</v>
      </c>
      <c r="D25" s="162">
        <f ca="1">IF(C25=0, 0, SUM($C$5:C25)/A25)</f>
        <v>0</v>
      </c>
      <c r="E25" s="41" cm="1">
        <f t="array" aca="1" ref="E25" ca="1">INDIRECT(A25&amp;"!o12")</f>
        <v>0</v>
      </c>
      <c r="F25" s="73" cm="1">
        <f t="array" aca="1" ref="F25" ca="1">INDIRECT(A25&amp;"!o13")</f>
        <v>0</v>
      </c>
      <c r="G25" s="114" cm="1">
        <f t="array" aca="1" ref="G25" ca="1">INDIRECT(A25&amp;"!G11")</f>
        <v>0</v>
      </c>
      <c r="H25" s="115" cm="1">
        <f t="array" aca="1" ref="H25" ca="1">INDIRECT(A25&amp;"!G14")</f>
        <v>0</v>
      </c>
      <c r="I25" s="116" cm="1">
        <f t="array" aca="1" ref="I25" ca="1">INDIRECT(A25&amp;"!G17")</f>
        <v>0</v>
      </c>
      <c r="J25" s="64" cm="1">
        <f t="array" aca="1" ref="J25" ca="1">INDIRECT(A25&amp;"!O5")</f>
        <v>0</v>
      </c>
      <c r="K25" s="64" cm="1">
        <f t="array" aca="1" ref="K25" ca="1">INDIRECT(A25&amp;"!O6")</f>
        <v>0</v>
      </c>
      <c r="L25" s="64" cm="1">
        <f t="array" aca="1" ref="L25" ca="1">INDIRECT(A25&amp;"!O7")</f>
        <v>0</v>
      </c>
      <c r="M25" s="64" cm="1">
        <f t="array" aca="1" ref="M25" ca="1">INDIRECT(A25&amp;"!P11")</f>
        <v>0</v>
      </c>
      <c r="N25" s="41" cm="1">
        <f t="array" aca="1" ref="N25" ca="1">INDIRECT(A25&amp;"!P12")</f>
        <v>0</v>
      </c>
      <c r="O25" s="73" cm="1">
        <f t="array" aca="1" ref="O25" ca="1">INDIRECT(A25&amp;"!P13")</f>
        <v>0</v>
      </c>
    </row>
    <row r="26" spans="1:15">
      <c r="A26" s="112">
        <v>22</v>
      </c>
      <c r="B26" s="113" t="str" cm="1">
        <f t="array" aca="1" ref="B26" ca="1">""&amp;INDIRECT(A26&amp;"!f1")&amp;"-"&amp;INDIRECT(A26&amp;"!g1")&amp;"-"&amp;INDIRECT(A26&amp;"!h1")</f>
        <v>22-3-2026</v>
      </c>
      <c r="C26" s="64" cm="1">
        <f t="array" aca="1" ref="C26" ca="1">INDIRECT(A26&amp;"!o11")</f>
        <v>0</v>
      </c>
      <c r="D26" s="162">
        <f ca="1">IF(C26=0, 0, SUM($C$5:C26)/A26)</f>
        <v>0</v>
      </c>
      <c r="E26" s="41" cm="1">
        <f t="array" aca="1" ref="E26" ca="1">INDIRECT(A26&amp;"!o12")</f>
        <v>0</v>
      </c>
      <c r="F26" s="73" cm="1">
        <f t="array" aca="1" ref="F26" ca="1">INDIRECT(A26&amp;"!o13")</f>
        <v>0</v>
      </c>
      <c r="G26" s="114" cm="1">
        <f t="array" aca="1" ref="G26" ca="1">INDIRECT(A26&amp;"!G11")</f>
        <v>0</v>
      </c>
      <c r="H26" s="115" cm="1">
        <f t="array" aca="1" ref="H26" ca="1">INDIRECT(A26&amp;"!G14")</f>
        <v>0</v>
      </c>
      <c r="I26" s="116" cm="1">
        <f t="array" aca="1" ref="I26" ca="1">INDIRECT(A26&amp;"!G17")</f>
        <v>0</v>
      </c>
      <c r="J26" s="64" cm="1">
        <f t="array" aca="1" ref="J26" ca="1">INDIRECT(A26&amp;"!O5")</f>
        <v>0</v>
      </c>
      <c r="K26" s="64" cm="1">
        <f t="array" aca="1" ref="K26" ca="1">INDIRECT(A26&amp;"!O6")</f>
        <v>0</v>
      </c>
      <c r="L26" s="64" cm="1">
        <f t="array" aca="1" ref="L26" ca="1">INDIRECT(A26&amp;"!O7")</f>
        <v>0</v>
      </c>
      <c r="M26" s="64" cm="1">
        <f t="array" aca="1" ref="M26" ca="1">INDIRECT(A26&amp;"!P11")</f>
        <v>0</v>
      </c>
      <c r="N26" s="41" cm="1">
        <f t="array" aca="1" ref="N26" ca="1">INDIRECT(A26&amp;"!P12")</f>
        <v>0</v>
      </c>
      <c r="O26" s="73" cm="1">
        <f t="array" aca="1" ref="O26" ca="1">INDIRECT(A26&amp;"!P13")</f>
        <v>0</v>
      </c>
    </row>
    <row r="27" spans="1:15">
      <c r="A27" s="112">
        <v>23</v>
      </c>
      <c r="B27" s="113" t="str" cm="1">
        <f t="array" aca="1" ref="B27" ca="1">""&amp;INDIRECT(A27&amp;"!f1")&amp;"-"&amp;INDIRECT(A27&amp;"!g1")&amp;"-"&amp;INDIRECT(A27&amp;"!h1")</f>
        <v>23-3-2026</v>
      </c>
      <c r="C27" s="64" cm="1">
        <f t="array" aca="1" ref="C27" ca="1">INDIRECT(A27&amp;"!o11")</f>
        <v>0</v>
      </c>
      <c r="D27" s="162">
        <f ca="1">IF(C27=0, 0, SUM($C$5:C27)/A27)</f>
        <v>0</v>
      </c>
      <c r="E27" s="41" cm="1">
        <f t="array" aca="1" ref="E27" ca="1">INDIRECT(A27&amp;"!o12")</f>
        <v>0</v>
      </c>
      <c r="F27" s="73" cm="1">
        <f t="array" aca="1" ref="F27" ca="1">INDIRECT(A27&amp;"!o13")</f>
        <v>0</v>
      </c>
      <c r="G27" s="114" cm="1">
        <f t="array" aca="1" ref="G27" ca="1">INDIRECT(A27&amp;"!G11")</f>
        <v>0</v>
      </c>
      <c r="H27" s="115" cm="1">
        <f t="array" aca="1" ref="H27" ca="1">INDIRECT(A27&amp;"!G14")</f>
        <v>0</v>
      </c>
      <c r="I27" s="116" cm="1">
        <f t="array" aca="1" ref="I27" ca="1">INDIRECT(A27&amp;"!G17")</f>
        <v>0</v>
      </c>
      <c r="J27" s="64" cm="1">
        <f t="array" aca="1" ref="J27" ca="1">INDIRECT(A27&amp;"!O5")</f>
        <v>0</v>
      </c>
      <c r="K27" s="64" cm="1">
        <f t="array" aca="1" ref="K27" ca="1">INDIRECT(A27&amp;"!O6")</f>
        <v>0</v>
      </c>
      <c r="L27" s="64" cm="1">
        <f t="array" aca="1" ref="L27" ca="1">INDIRECT(A27&amp;"!O7")</f>
        <v>0</v>
      </c>
      <c r="M27" s="64" cm="1">
        <f t="array" aca="1" ref="M27" ca="1">INDIRECT(A27&amp;"!P11")</f>
        <v>0</v>
      </c>
      <c r="N27" s="41" cm="1">
        <f t="array" aca="1" ref="N27" ca="1">INDIRECT(A27&amp;"!P12")</f>
        <v>0</v>
      </c>
      <c r="O27" s="73" cm="1">
        <f t="array" aca="1" ref="O27" ca="1">INDIRECT(A27&amp;"!P13")</f>
        <v>0</v>
      </c>
    </row>
    <row r="28" spans="1:15">
      <c r="A28" s="112">
        <v>24</v>
      </c>
      <c r="B28" s="113" t="str" cm="1">
        <f t="array" aca="1" ref="B28" ca="1">""&amp;INDIRECT(A28&amp;"!f1")&amp;"-"&amp;INDIRECT(A28&amp;"!g1")&amp;"-"&amp;INDIRECT(A28&amp;"!h1")</f>
        <v>24-3-2026</v>
      </c>
      <c r="C28" s="64" cm="1">
        <f t="array" aca="1" ref="C28" ca="1">INDIRECT(A28&amp;"!o11")</f>
        <v>0</v>
      </c>
      <c r="D28" s="162">
        <f ca="1">IF(C28=0, 0, SUM($C$5:C28)/A28)</f>
        <v>0</v>
      </c>
      <c r="E28" s="41" cm="1">
        <f t="array" aca="1" ref="E28" ca="1">INDIRECT(A28&amp;"!o12")</f>
        <v>0</v>
      </c>
      <c r="F28" s="73" cm="1">
        <f t="array" aca="1" ref="F28" ca="1">INDIRECT(A28&amp;"!o13")</f>
        <v>0</v>
      </c>
      <c r="G28" s="114" cm="1">
        <f t="array" aca="1" ref="G28" ca="1">INDIRECT(A28&amp;"!G11")</f>
        <v>0</v>
      </c>
      <c r="H28" s="115" cm="1">
        <f t="array" aca="1" ref="H28" ca="1">INDIRECT(A28&amp;"!G14")</f>
        <v>0</v>
      </c>
      <c r="I28" s="116" cm="1">
        <f t="array" aca="1" ref="I28" ca="1">INDIRECT(A28&amp;"!G17")</f>
        <v>0</v>
      </c>
      <c r="J28" s="64" cm="1">
        <f t="array" aca="1" ref="J28" ca="1">INDIRECT(A28&amp;"!O5")</f>
        <v>0</v>
      </c>
      <c r="K28" s="64" cm="1">
        <f t="array" aca="1" ref="K28" ca="1">INDIRECT(A28&amp;"!O6")</f>
        <v>0</v>
      </c>
      <c r="L28" s="64" cm="1">
        <f t="array" aca="1" ref="L28" ca="1">INDIRECT(A28&amp;"!O7")</f>
        <v>0</v>
      </c>
      <c r="M28" s="64" cm="1">
        <f t="array" aca="1" ref="M28" ca="1">INDIRECT(A28&amp;"!P11")</f>
        <v>0</v>
      </c>
      <c r="N28" s="41" cm="1">
        <f t="array" aca="1" ref="N28" ca="1">INDIRECT(A28&amp;"!P12")</f>
        <v>0</v>
      </c>
      <c r="O28" s="73" cm="1">
        <f t="array" aca="1" ref="O28" ca="1">INDIRECT(A28&amp;"!P13")</f>
        <v>0</v>
      </c>
    </row>
    <row r="29" spans="1:15">
      <c r="A29" s="112">
        <v>25</v>
      </c>
      <c r="B29" s="113" t="str" cm="1">
        <f t="array" aca="1" ref="B29" ca="1">""&amp;INDIRECT(A29&amp;"!f1")&amp;"-"&amp;INDIRECT(A29&amp;"!g1")&amp;"-"&amp;INDIRECT(A29&amp;"!h1")</f>
        <v>25-3-2026</v>
      </c>
      <c r="C29" s="64" cm="1">
        <f t="array" aca="1" ref="C29" ca="1">INDIRECT(A29&amp;"!o11")</f>
        <v>0</v>
      </c>
      <c r="D29" s="162">
        <f ca="1">IF(C29=0, 0, SUM($C$5:C29)/A29)</f>
        <v>0</v>
      </c>
      <c r="E29" s="41" cm="1">
        <f t="array" aca="1" ref="E29" ca="1">INDIRECT(A29&amp;"!o12")</f>
        <v>0</v>
      </c>
      <c r="F29" s="73" cm="1">
        <f t="array" aca="1" ref="F29" ca="1">INDIRECT(A29&amp;"!o13")</f>
        <v>0</v>
      </c>
      <c r="G29" s="114" cm="1">
        <f t="array" aca="1" ref="G29" ca="1">INDIRECT(A29&amp;"!G11")</f>
        <v>0</v>
      </c>
      <c r="H29" s="115" cm="1">
        <f t="array" aca="1" ref="H29" ca="1">INDIRECT(A29&amp;"!G14")</f>
        <v>0</v>
      </c>
      <c r="I29" s="116" cm="1">
        <f t="array" aca="1" ref="I29" ca="1">INDIRECT(A29&amp;"!G17")</f>
        <v>0</v>
      </c>
      <c r="J29" s="64" cm="1">
        <f t="array" aca="1" ref="J29" ca="1">INDIRECT(A29&amp;"!O5")</f>
        <v>0</v>
      </c>
      <c r="K29" s="64" cm="1">
        <f t="array" aca="1" ref="K29" ca="1">INDIRECT(A29&amp;"!O6")</f>
        <v>0</v>
      </c>
      <c r="L29" s="64" cm="1">
        <f t="array" aca="1" ref="L29" ca="1">INDIRECT(A29&amp;"!O7")</f>
        <v>0</v>
      </c>
      <c r="M29" s="64" cm="1">
        <f t="array" aca="1" ref="M29" ca="1">INDIRECT(A29&amp;"!P11")</f>
        <v>0</v>
      </c>
      <c r="N29" s="41" cm="1">
        <f t="array" aca="1" ref="N29" ca="1">INDIRECT(A29&amp;"!P12")</f>
        <v>0</v>
      </c>
      <c r="O29" s="73" cm="1">
        <f t="array" aca="1" ref="O29" ca="1">INDIRECT(A29&amp;"!P13")</f>
        <v>0</v>
      </c>
    </row>
    <row r="30" spans="1:15">
      <c r="A30" s="112">
        <v>26</v>
      </c>
      <c r="B30" s="113" t="str" cm="1">
        <f t="array" aca="1" ref="B30" ca="1">""&amp;INDIRECT(A30&amp;"!f1")&amp;"-"&amp;INDIRECT(A30&amp;"!g1")&amp;"-"&amp;INDIRECT(A30&amp;"!h1")</f>
        <v>26-3-2026</v>
      </c>
      <c r="C30" s="64" cm="1">
        <f t="array" aca="1" ref="C30" ca="1">INDIRECT(A30&amp;"!o11")</f>
        <v>0</v>
      </c>
      <c r="D30" s="162">
        <f ca="1">IF(C30=0, 0, SUM($C$5:C30)/A30)</f>
        <v>0</v>
      </c>
      <c r="E30" s="41" cm="1">
        <f t="array" aca="1" ref="E30" ca="1">INDIRECT(A30&amp;"!o12")</f>
        <v>0</v>
      </c>
      <c r="F30" s="73" cm="1">
        <f t="array" aca="1" ref="F30" ca="1">INDIRECT(A30&amp;"!o13")</f>
        <v>0</v>
      </c>
      <c r="G30" s="114" cm="1">
        <f t="array" aca="1" ref="G30" ca="1">INDIRECT(A30&amp;"!G11")</f>
        <v>0</v>
      </c>
      <c r="H30" s="115" cm="1">
        <f t="array" aca="1" ref="H30" ca="1">INDIRECT(A30&amp;"!G14")</f>
        <v>0</v>
      </c>
      <c r="I30" s="116" cm="1">
        <f t="array" aca="1" ref="I30" ca="1">INDIRECT(A30&amp;"!G17")</f>
        <v>0</v>
      </c>
      <c r="J30" s="64" cm="1">
        <f t="array" aca="1" ref="J30" ca="1">INDIRECT(A30&amp;"!O5")</f>
        <v>0</v>
      </c>
      <c r="K30" s="64" cm="1">
        <f t="array" aca="1" ref="K30" ca="1">INDIRECT(A30&amp;"!O6")</f>
        <v>0</v>
      </c>
      <c r="L30" s="64" cm="1">
        <f t="array" aca="1" ref="L30" ca="1">INDIRECT(A30&amp;"!O7")</f>
        <v>0</v>
      </c>
      <c r="M30" s="64" cm="1">
        <f t="array" aca="1" ref="M30" ca="1">INDIRECT(A30&amp;"!P11")</f>
        <v>0</v>
      </c>
      <c r="N30" s="41" cm="1">
        <f t="array" aca="1" ref="N30" ca="1">INDIRECT(A30&amp;"!P12")</f>
        <v>0</v>
      </c>
      <c r="O30" s="73" cm="1">
        <f t="array" aca="1" ref="O30" ca="1">INDIRECT(A30&amp;"!P13")</f>
        <v>0</v>
      </c>
    </row>
    <row r="31" spans="1:15">
      <c r="A31" s="112">
        <v>27</v>
      </c>
      <c r="B31" s="113" t="str" cm="1">
        <f t="array" aca="1" ref="B31" ca="1">""&amp;INDIRECT(A31&amp;"!f1")&amp;"-"&amp;INDIRECT(A31&amp;"!g1")&amp;"-"&amp;INDIRECT(A31&amp;"!h1")</f>
        <v>27-3-2026</v>
      </c>
      <c r="C31" s="64" cm="1">
        <f t="array" aca="1" ref="C31" ca="1">INDIRECT(A31&amp;"!o11")</f>
        <v>0</v>
      </c>
      <c r="D31" s="162">
        <f ca="1">IF(C31=0, 0, SUM($C$5:C31)/A31)</f>
        <v>0</v>
      </c>
      <c r="E31" s="41" cm="1">
        <f t="array" aca="1" ref="E31" ca="1">INDIRECT(A31&amp;"!o12")</f>
        <v>0</v>
      </c>
      <c r="F31" s="73" cm="1">
        <f t="array" aca="1" ref="F31" ca="1">INDIRECT(A31&amp;"!o13")</f>
        <v>0</v>
      </c>
      <c r="G31" s="114" cm="1">
        <f t="array" aca="1" ref="G31" ca="1">INDIRECT(A31&amp;"!G11")</f>
        <v>0</v>
      </c>
      <c r="H31" s="115" cm="1">
        <f t="array" aca="1" ref="H31" ca="1">INDIRECT(A31&amp;"!G14")</f>
        <v>0</v>
      </c>
      <c r="I31" s="116" cm="1">
        <f t="array" aca="1" ref="I31" ca="1">INDIRECT(A31&amp;"!G17")</f>
        <v>0</v>
      </c>
      <c r="J31" s="64" cm="1">
        <f t="array" aca="1" ref="J31" ca="1">INDIRECT(A31&amp;"!O5")</f>
        <v>0</v>
      </c>
      <c r="K31" s="64" cm="1">
        <f t="array" aca="1" ref="K31" ca="1">INDIRECT(A31&amp;"!O6")</f>
        <v>0</v>
      </c>
      <c r="L31" s="64" cm="1">
        <f t="array" aca="1" ref="L31" ca="1">INDIRECT(A31&amp;"!O7")</f>
        <v>0</v>
      </c>
      <c r="M31" s="64" cm="1">
        <f t="array" aca="1" ref="M31" ca="1">INDIRECT(A31&amp;"!P11")</f>
        <v>0</v>
      </c>
      <c r="N31" s="41" cm="1">
        <f t="array" aca="1" ref="N31" ca="1">INDIRECT(A31&amp;"!P12")</f>
        <v>0</v>
      </c>
      <c r="O31" s="73" cm="1">
        <f t="array" aca="1" ref="O31" ca="1">INDIRECT(A31&amp;"!P13")</f>
        <v>0</v>
      </c>
    </row>
    <row r="32" spans="1:15">
      <c r="A32" s="112">
        <v>28</v>
      </c>
      <c r="B32" s="113" t="str" cm="1">
        <f t="array" aca="1" ref="B32" ca="1">""&amp;INDIRECT(A32&amp;"!f1")&amp;"-"&amp;INDIRECT(A32&amp;"!g1")&amp;"-"&amp;INDIRECT(A32&amp;"!h1")</f>
        <v>28-3-2026</v>
      </c>
      <c r="C32" s="64" cm="1">
        <f t="array" aca="1" ref="C32" ca="1">INDIRECT(A32&amp;"!o11")</f>
        <v>0</v>
      </c>
      <c r="D32" s="162">
        <f ca="1">IF(C32=0, 0, SUM($C$5:C32)/A32)</f>
        <v>0</v>
      </c>
      <c r="E32" s="41" cm="1">
        <f t="array" aca="1" ref="E32" ca="1">INDIRECT(A32&amp;"!o12")</f>
        <v>0</v>
      </c>
      <c r="F32" s="73" cm="1">
        <f t="array" aca="1" ref="F32" ca="1">INDIRECT(A32&amp;"!o13")</f>
        <v>0</v>
      </c>
      <c r="G32" s="114" cm="1">
        <f t="array" aca="1" ref="G32" ca="1">INDIRECT(A32&amp;"!G11")</f>
        <v>0</v>
      </c>
      <c r="H32" s="115" cm="1">
        <f t="array" aca="1" ref="H32" ca="1">INDIRECT(A32&amp;"!G14")</f>
        <v>0</v>
      </c>
      <c r="I32" s="116" cm="1">
        <f t="array" aca="1" ref="I32" ca="1">INDIRECT(A32&amp;"!G17")</f>
        <v>0</v>
      </c>
      <c r="J32" s="64" cm="1">
        <f t="array" aca="1" ref="J32" ca="1">INDIRECT(A32&amp;"!O5")</f>
        <v>0</v>
      </c>
      <c r="K32" s="64" cm="1">
        <f t="array" aca="1" ref="K32" ca="1">INDIRECT(A32&amp;"!O6")</f>
        <v>0</v>
      </c>
      <c r="L32" s="64" cm="1">
        <f t="array" aca="1" ref="L32" ca="1">INDIRECT(A32&amp;"!O7")</f>
        <v>0</v>
      </c>
      <c r="M32" s="64" cm="1">
        <f t="array" aca="1" ref="M32" ca="1">INDIRECT(A32&amp;"!P11")</f>
        <v>0</v>
      </c>
      <c r="N32" s="41" cm="1">
        <f t="array" aca="1" ref="N32" ca="1">INDIRECT(A32&amp;"!P12")</f>
        <v>0</v>
      </c>
      <c r="O32" s="73" cm="1">
        <f t="array" aca="1" ref="O32" ca="1">INDIRECT(A32&amp;"!P13")</f>
        <v>0</v>
      </c>
    </row>
    <row r="33" spans="1:15">
      <c r="A33" s="112">
        <v>29</v>
      </c>
      <c r="B33" s="113" t="str" cm="1">
        <f t="array" aca="1" ref="B33" ca="1">""&amp;INDIRECT(A33&amp;"!f1")&amp;"-"&amp;INDIRECT(A33&amp;"!g1")&amp;"-"&amp;INDIRECT(A33&amp;"!h1")</f>
        <v>29-3-2026</v>
      </c>
      <c r="C33" s="64" cm="1">
        <f t="array" aca="1" ref="C33" ca="1">INDIRECT(A33&amp;"!o11")</f>
        <v>0</v>
      </c>
      <c r="D33" s="162">
        <f ca="1">IF(C33=0, 0, SUM($C$5:C33)/A33)</f>
        <v>0</v>
      </c>
      <c r="E33" s="41" cm="1">
        <f t="array" aca="1" ref="E33" ca="1">INDIRECT(A33&amp;"!o12")</f>
        <v>0</v>
      </c>
      <c r="F33" s="73" cm="1">
        <f t="array" aca="1" ref="F33" ca="1">INDIRECT(A33&amp;"!o13")</f>
        <v>0</v>
      </c>
      <c r="G33" s="114" cm="1">
        <f t="array" aca="1" ref="G33" ca="1">INDIRECT(A33&amp;"!G11")</f>
        <v>0</v>
      </c>
      <c r="H33" s="115" cm="1">
        <f t="array" aca="1" ref="H33" ca="1">INDIRECT(A33&amp;"!G14")</f>
        <v>0</v>
      </c>
      <c r="I33" s="116" cm="1">
        <f t="array" aca="1" ref="I33" ca="1">INDIRECT(A33&amp;"!G17")</f>
        <v>0</v>
      </c>
      <c r="J33" s="64" cm="1">
        <f t="array" aca="1" ref="J33" ca="1">INDIRECT(A33&amp;"!O5")</f>
        <v>0</v>
      </c>
      <c r="K33" s="64" cm="1">
        <f t="array" aca="1" ref="K33" ca="1">INDIRECT(A33&amp;"!O6")</f>
        <v>0</v>
      </c>
      <c r="L33" s="64" cm="1">
        <f t="array" aca="1" ref="L33" ca="1">INDIRECT(A33&amp;"!O7")</f>
        <v>0</v>
      </c>
      <c r="M33" s="64" cm="1">
        <f t="array" aca="1" ref="M33" ca="1">INDIRECT(A33&amp;"!P11")</f>
        <v>0</v>
      </c>
      <c r="N33" s="41" cm="1">
        <f t="array" aca="1" ref="N33" ca="1">INDIRECT(A33&amp;"!P12")</f>
        <v>0</v>
      </c>
      <c r="O33" s="73" cm="1">
        <f t="array" aca="1" ref="O33" ca="1">INDIRECT(A33&amp;"!P13")</f>
        <v>0</v>
      </c>
    </row>
    <row r="34" spans="1:15">
      <c r="A34" s="112">
        <v>30</v>
      </c>
      <c r="B34" s="113" t="str" cm="1">
        <f t="array" aca="1" ref="B34" ca="1">""&amp;INDIRECT(A34&amp;"!f1")&amp;"-"&amp;INDIRECT(A34&amp;"!g1")&amp;"-"&amp;INDIRECT(A34&amp;"!h1")</f>
        <v>30-3-2026</v>
      </c>
      <c r="C34" s="64" cm="1">
        <f t="array" aca="1" ref="C34" ca="1">INDIRECT(A34&amp;"!o11")</f>
        <v>0</v>
      </c>
      <c r="D34" s="162">
        <f ca="1">IF(C34=0, 0, SUM($C$5:C34)/A34)</f>
        <v>0</v>
      </c>
      <c r="E34" s="41" cm="1">
        <f t="array" aca="1" ref="E34" ca="1">INDIRECT(A34&amp;"!o12")</f>
        <v>0</v>
      </c>
      <c r="F34" s="73" cm="1">
        <f t="array" aca="1" ref="F34" ca="1">INDIRECT(A34&amp;"!o13")</f>
        <v>0</v>
      </c>
      <c r="G34" s="114" cm="1">
        <f t="array" aca="1" ref="G34" ca="1">INDIRECT(A34&amp;"!G11")</f>
        <v>0</v>
      </c>
      <c r="H34" s="115" cm="1">
        <f t="array" aca="1" ref="H34" ca="1">INDIRECT(A34&amp;"!G14")</f>
        <v>0</v>
      </c>
      <c r="I34" s="116" cm="1">
        <f t="array" aca="1" ref="I34" ca="1">INDIRECT(A34&amp;"!G17")</f>
        <v>0</v>
      </c>
      <c r="J34" s="64" cm="1">
        <f t="array" aca="1" ref="J34" ca="1">INDIRECT(A34&amp;"!O5")</f>
        <v>0</v>
      </c>
      <c r="K34" s="64" cm="1">
        <f t="array" aca="1" ref="K34" ca="1">INDIRECT(A34&amp;"!O6")</f>
        <v>0</v>
      </c>
      <c r="L34" s="64" cm="1">
        <f t="array" aca="1" ref="L34" ca="1">INDIRECT(A34&amp;"!O7")</f>
        <v>0</v>
      </c>
      <c r="M34" s="64" cm="1">
        <f t="array" aca="1" ref="M34" ca="1">INDIRECT(A34&amp;"!P11")</f>
        <v>0</v>
      </c>
      <c r="N34" s="41" cm="1">
        <f t="array" aca="1" ref="N34" ca="1">INDIRECT(A34&amp;"!P12")</f>
        <v>0</v>
      </c>
      <c r="O34" s="73" cm="1">
        <f t="array" aca="1" ref="O34" ca="1">INDIRECT(A34&amp;"!P13")</f>
        <v>0</v>
      </c>
    </row>
    <row r="35" spans="1:15" ht="15.75" thickBot="1">
      <c r="A35" s="117">
        <v>31</v>
      </c>
      <c r="B35" s="118" t="str" cm="1">
        <f t="array" aca="1" ref="B35" ca="1">""&amp;INDIRECT(A35&amp;"!f1")&amp;"-"&amp;INDIRECT(A35&amp;"!g1")&amp;"-"&amp;INDIRECT(A35&amp;"!h1")</f>
        <v>31-3-2026</v>
      </c>
      <c r="C35" s="119" cm="1">
        <f t="array" aca="1" ref="C35" ca="1">INDIRECT(A35&amp;"!o11")</f>
        <v>0</v>
      </c>
      <c r="D35" s="163">
        <f ca="1">IF(C35=0, 0, SUM($C$5:C35)/A35)</f>
        <v>0</v>
      </c>
      <c r="E35" s="120" cm="1">
        <f t="array" aca="1" ref="E35" ca="1">INDIRECT(A35&amp;"!o12")</f>
        <v>0</v>
      </c>
      <c r="F35" s="121" cm="1">
        <f t="array" aca="1" ref="F35" ca="1">INDIRECT(A35&amp;"!o13")</f>
        <v>0</v>
      </c>
      <c r="G35" s="122" cm="1">
        <f t="array" aca="1" ref="G35" ca="1">INDIRECT(A35&amp;"!G11")</f>
        <v>0</v>
      </c>
      <c r="H35" s="123" cm="1">
        <f t="array" aca="1" ref="H35" ca="1">INDIRECT(A35&amp;"!G14")</f>
        <v>0</v>
      </c>
      <c r="I35" s="124" cm="1">
        <f t="array" aca="1" ref="I35" ca="1">INDIRECT(A35&amp;"!G17")</f>
        <v>0</v>
      </c>
      <c r="J35" s="119" cm="1">
        <f t="array" aca="1" ref="J35" ca="1">INDIRECT(A35&amp;"!O5")</f>
        <v>0</v>
      </c>
      <c r="K35" s="119" cm="1">
        <f t="array" aca="1" ref="K35" ca="1">INDIRECT(A35&amp;"!O6")</f>
        <v>0</v>
      </c>
      <c r="L35" s="119" cm="1">
        <f t="array" aca="1" ref="L35" ca="1">INDIRECT(A35&amp;"!O7")</f>
        <v>0</v>
      </c>
      <c r="M35" s="119" cm="1">
        <f t="array" aca="1" ref="M35" ca="1">INDIRECT(A35&amp;"!P11")</f>
        <v>0</v>
      </c>
      <c r="N35" s="120" cm="1">
        <f t="array" aca="1" ref="N35" ca="1">INDIRECT(A35&amp;"!P12")</f>
        <v>0</v>
      </c>
      <c r="O35" s="73" cm="1">
        <f t="array" aca="1" ref="O35" ca="1">INDIRECT(A35&amp;"!P13")</f>
        <v>0</v>
      </c>
    </row>
    <row r="36" spans="1:15">
      <c r="A36" s="125"/>
      <c r="B36" s="126"/>
      <c r="C36" s="126">
        <f ca="1">SUM(C5:C35)</f>
        <v>84687</v>
      </c>
      <c r="D36" s="126"/>
      <c r="E36" s="126">
        <f t="shared" ref="E36:L36" ca="1" si="0">SUM(E5:E35)</f>
        <v>7388</v>
      </c>
      <c r="F36" s="126">
        <f t="shared" ca="1" si="0"/>
        <v>0</v>
      </c>
      <c r="G36" s="126"/>
      <c r="H36" s="126"/>
      <c r="I36" s="126"/>
      <c r="J36" s="126">
        <f t="shared" ca="1" si="0"/>
        <v>84887</v>
      </c>
      <c r="K36" s="126">
        <f t="shared" ca="1" si="0"/>
        <v>8047</v>
      </c>
      <c r="L36" s="126">
        <f ca="1">SUM(L5:L35)</f>
        <v>0</v>
      </c>
      <c r="M36" s="126">
        <f t="shared" ref="M36:O36" ca="1" si="1">SUM(M5:M35)</f>
        <v>95075487</v>
      </c>
      <c r="N36" s="126">
        <f t="shared" ca="1" si="1"/>
        <v>11233610</v>
      </c>
      <c r="O36" s="126">
        <f t="shared" ca="1" si="1"/>
        <v>0</v>
      </c>
    </row>
  </sheetData>
  <sheetProtection algorithmName="SHA-512" hashValue="kxBy2aeBn14dZStF2Uu0cGnfupqgQJ8NObvjbUFcQEuOJRbgNQtdlvXIu8PD2CX9f01pcjmztUyjORwvlJ2woA==" saltValue="4nDV9OHm5bugXuM3NLqN7g==" spinCount="100000" sheet="1" objects="1" scenarios="1"/>
  <mergeCells count="5">
    <mergeCell ref="A1:O1"/>
    <mergeCell ref="M2:O2"/>
    <mergeCell ref="C2:F2"/>
    <mergeCell ref="G2:I2"/>
    <mergeCell ref="J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E1E9-00E1-49D8-B6EC-568E570D6A35}">
  <dimension ref="A1:AE36"/>
  <sheetViews>
    <sheetView zoomScaleNormal="100" workbookViewId="0">
      <pane xSplit="1" topLeftCell="B1" activePane="topRight" state="frozen"/>
      <selection pane="topRight" sqref="A1:AE1"/>
      <selection activeCell="A5" sqref="A5"/>
    </sheetView>
  </sheetViews>
  <sheetFormatPr defaultColWidth="9.140625" defaultRowHeight="15"/>
  <cols>
    <col min="1" max="1" width="6.5703125" style="107" bestFit="1" customWidth="1"/>
    <col min="2" max="2" width="13" style="107" customWidth="1"/>
    <col min="3" max="3" width="10" style="106" customWidth="1"/>
    <col min="4" max="4" width="12" style="106" customWidth="1"/>
    <col min="5" max="6" width="9.140625" style="106"/>
    <col min="7" max="7" width="11.7109375" style="106" customWidth="1"/>
    <col min="8" max="8" width="7.7109375" style="106" customWidth="1"/>
    <col min="9" max="9" width="7.140625" style="106" customWidth="1"/>
    <col min="10" max="10" width="7.7109375" style="106" customWidth="1"/>
    <col min="11" max="11" width="8.42578125" style="106" customWidth="1"/>
    <col min="12" max="12" width="8.28515625" style="106" customWidth="1"/>
    <col min="13" max="14" width="9.140625" style="106"/>
    <col min="15" max="15" width="10" style="106" customWidth="1"/>
    <col min="16" max="17" width="9.140625" style="106"/>
    <col min="18" max="18" width="10" style="106" customWidth="1"/>
    <col min="19" max="19" width="9.7109375" style="106" customWidth="1"/>
    <col min="20" max="21" width="9.140625" style="106"/>
    <col min="22" max="22" width="2.28515625" style="106" customWidth="1"/>
    <col min="23" max="24" width="9.140625" style="106"/>
    <col min="25" max="25" width="9" style="106" customWidth="1"/>
    <col min="26" max="27" width="9.140625" style="106"/>
    <col min="28" max="28" width="9.7109375" style="106" customWidth="1"/>
    <col min="29" max="30" width="9.140625" style="106"/>
    <col min="31" max="31" width="9.140625" style="106" customWidth="1"/>
    <col min="32" max="16384" width="9.140625" style="106"/>
  </cols>
  <sheetData>
    <row r="1" spans="1:31" ht="24" customHeight="1">
      <c r="A1" s="304" t="s">
        <v>11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7"/>
    </row>
    <row r="2" spans="1:31" ht="15" customHeight="1">
      <c r="A2" s="128" t="s">
        <v>1</v>
      </c>
      <c r="B2" s="128" t="s">
        <v>2</v>
      </c>
      <c r="C2" s="308" t="s">
        <v>12</v>
      </c>
      <c r="D2" s="309"/>
      <c r="E2" s="309"/>
      <c r="F2" s="309"/>
      <c r="G2" s="310"/>
      <c r="H2" s="314" t="s">
        <v>13</v>
      </c>
      <c r="I2" s="315"/>
      <c r="J2" s="315"/>
      <c r="K2" s="315"/>
      <c r="L2" s="316"/>
      <c r="M2" s="308" t="s">
        <v>14</v>
      </c>
      <c r="N2" s="309"/>
      <c r="O2" s="310"/>
      <c r="P2" s="308" t="s">
        <v>15</v>
      </c>
      <c r="Q2" s="309"/>
      <c r="R2" s="310"/>
      <c r="S2" s="308" t="s">
        <v>16</v>
      </c>
      <c r="T2" s="309"/>
      <c r="U2" s="310"/>
      <c r="V2" s="299"/>
      <c r="W2" s="308" t="s">
        <v>17</v>
      </c>
      <c r="X2" s="309"/>
      <c r="Y2" s="310"/>
      <c r="Z2" s="308" t="s">
        <v>18</v>
      </c>
      <c r="AA2" s="309"/>
      <c r="AB2" s="310"/>
      <c r="AC2" s="311" t="s">
        <v>19</v>
      </c>
      <c r="AD2" s="312"/>
      <c r="AE2" s="313"/>
    </row>
    <row r="3" spans="1:31">
      <c r="A3" s="129"/>
      <c r="B3" s="129"/>
      <c r="C3" s="130" t="s">
        <v>20</v>
      </c>
      <c r="D3" s="297" t="s">
        <v>21</v>
      </c>
      <c r="E3" s="297" t="s">
        <v>22</v>
      </c>
      <c r="F3" s="297" t="s">
        <v>8</v>
      </c>
      <c r="G3" s="173" t="s">
        <v>9</v>
      </c>
      <c r="H3" s="130" t="s">
        <v>20</v>
      </c>
      <c r="I3" s="297" t="s">
        <v>21</v>
      </c>
      <c r="J3" s="297" t="s">
        <v>22</v>
      </c>
      <c r="K3" s="297" t="s">
        <v>8</v>
      </c>
      <c r="L3" s="173" t="s">
        <v>9</v>
      </c>
      <c r="M3" s="130" t="s">
        <v>10</v>
      </c>
      <c r="N3" s="297" t="s">
        <v>8</v>
      </c>
      <c r="O3" s="173" t="s">
        <v>9</v>
      </c>
      <c r="P3" s="130" t="s">
        <v>10</v>
      </c>
      <c r="Q3" s="297" t="s">
        <v>8</v>
      </c>
      <c r="R3" s="173" t="s">
        <v>9</v>
      </c>
      <c r="S3" s="130" t="s">
        <v>7</v>
      </c>
      <c r="T3" s="297" t="s">
        <v>8</v>
      </c>
      <c r="U3" s="173" t="s">
        <v>9</v>
      </c>
      <c r="V3" s="300"/>
      <c r="W3" s="130" t="s">
        <v>10</v>
      </c>
      <c r="X3" s="297" t="s">
        <v>8</v>
      </c>
      <c r="Y3" s="173" t="s">
        <v>9</v>
      </c>
      <c r="Z3" s="130" t="s">
        <v>10</v>
      </c>
      <c r="AA3" s="297" t="s">
        <v>8</v>
      </c>
      <c r="AB3" s="173" t="s">
        <v>9</v>
      </c>
      <c r="AC3" s="172" t="s">
        <v>10</v>
      </c>
      <c r="AD3" s="297" t="s">
        <v>8</v>
      </c>
      <c r="AE3" s="173" t="s">
        <v>9</v>
      </c>
    </row>
    <row r="4" spans="1:31">
      <c r="A4" s="129"/>
      <c r="B4" s="129"/>
      <c r="C4" s="130" cm="1">
        <f t="array" aca="1" ref="C4" ca="1">INDIRECT(A5&amp;"!J3")</f>
        <v>30700</v>
      </c>
      <c r="D4" s="297" cm="1">
        <f t="array" aca="1" ref="D4" ca="1">INDIRECT(A5&amp;"!J4")</f>
        <v>13250</v>
      </c>
      <c r="E4" s="297" cm="1">
        <f t="array" aca="1" ref="E4" ca="1">INDIRECT(A5&amp;"!J5")</f>
        <v>43950</v>
      </c>
      <c r="F4" s="297" cm="1">
        <f t="array" aca="1" ref="F4" ca="1">INDIRECT(A5&amp;"!J6")</f>
        <v>10750</v>
      </c>
      <c r="G4" s="173" cm="1">
        <f t="array" aca="1" ref="G4" ca="1">INDIRECT(A5&amp;"!J7")</f>
        <v>1100</v>
      </c>
      <c r="H4" s="130"/>
      <c r="I4" s="297"/>
      <c r="J4" s="297"/>
      <c r="K4" s="297"/>
      <c r="L4" s="173"/>
      <c r="M4" s="130"/>
      <c r="N4" s="297"/>
      <c r="O4" s="173"/>
      <c r="P4" s="130"/>
      <c r="Q4" s="297"/>
      <c r="R4" s="173"/>
      <c r="S4" s="130"/>
      <c r="T4" s="297"/>
      <c r="U4" s="173"/>
      <c r="V4" s="300"/>
      <c r="W4" s="130"/>
      <c r="X4" s="297"/>
      <c r="Y4" s="173"/>
      <c r="Z4" s="130"/>
      <c r="AA4" s="297"/>
      <c r="AB4" s="173"/>
      <c r="AC4" s="172"/>
      <c r="AD4" s="297"/>
      <c r="AE4" s="173"/>
    </row>
    <row r="5" spans="1:31">
      <c r="A5" s="112">
        <v>1</v>
      </c>
      <c r="B5" s="113" t="str" cm="1">
        <f t="array" aca="1" ref="B5" ca="1">""&amp;INDIRECT(A5&amp;"!f1")&amp;"-"&amp;INDIRECT(A5&amp;"!g1")&amp;"-"&amp;INDIRECT(A5&amp;"!h1")</f>
        <v>1-3-2026</v>
      </c>
      <c r="C5" s="64" cm="1">
        <f t="array" aca="1" ref="C5" ca="1">IF(J5=0, 0, INDIRECT(A5&amp;"!M3"))</f>
        <v>27700</v>
      </c>
      <c r="D5" s="41" cm="1">
        <f t="array" aca="1" ref="D5" ca="1">IF(J5=0, 0, INDIRECT(A5&amp;"!M4"))</f>
        <v>11500</v>
      </c>
      <c r="E5" s="41" cm="1">
        <f t="array" aca="1" ref="E5" ca="1">IF(J5=0, 0, INDIRECT(A5&amp;"!M5"))</f>
        <v>39200</v>
      </c>
      <c r="F5" s="41" cm="1">
        <f t="array" aca="1" ref="F5" ca="1">IF(K5=0, 0, INDIRECT(A5&amp;"!M6"))</f>
        <v>25000</v>
      </c>
      <c r="G5" s="73" cm="1">
        <f t="array" aca="1" ref="G5" ca="1">IF(L5=0, 0, INDIRECT(A5&amp;"!M7"))</f>
        <v>0</v>
      </c>
      <c r="H5" s="64" cm="1">
        <f t="array" aca="1" ref="H5" ca="1">INDIRECT(A5&amp;"!P3")</f>
        <v>119</v>
      </c>
      <c r="I5" s="41" cm="1">
        <f t="array" aca="1" ref="I5" ca="1">INDIRECT(A5&amp;"!P4")</f>
        <v>-296</v>
      </c>
      <c r="J5" s="41" cm="1">
        <f t="array" aca="1" ref="J5" ca="1">INDIRECT(A5&amp;"!P5")</f>
        <v>-177</v>
      </c>
      <c r="K5" s="41" cm="1">
        <f t="array" aca="1" ref="K5" ca="1">INDIRECT(A5&amp;"!P6")</f>
        <v>-225</v>
      </c>
      <c r="L5" s="73" cm="1">
        <f t="array" aca="1" ref="L5" ca="1">INDIRECT(A5&amp;"!P7")</f>
        <v>0</v>
      </c>
      <c r="M5" s="157" cm="1">
        <f t="array" aca="1" ref="M5" ca="1">J5-INDIRECT(A5&amp;"!n11")</f>
        <v>-177</v>
      </c>
      <c r="N5" s="158" cm="1">
        <f t="array" aca="1" ref="N5" ca="1">K5-INDIRECT(A5&amp;"!n12")</f>
        <v>-225</v>
      </c>
      <c r="O5" s="153" cm="1">
        <f t="array" aca="1" ref="O5" ca="1">L5-INDIRECT(A5&amp;"!n13")</f>
        <v>0</v>
      </c>
      <c r="P5" s="157">
        <f ca="1">((S5*0.0125)-AC5-M5)*-1</f>
        <v>-236.375</v>
      </c>
      <c r="Q5" s="158">
        <f ca="1">(T5*0.0125)-AD5-N5</f>
        <v>31.875</v>
      </c>
      <c r="R5" s="153">
        <f ca="1">((U5*0.0125)-AE5-O5)*-1</f>
        <v>0</v>
      </c>
      <c r="S5" s="64" cm="1">
        <f t="array" aca="1" ref="S5" ca="1">INDIRECT(A5&amp;"!N5")</f>
        <v>4750</v>
      </c>
      <c r="T5" s="41" cm="1">
        <f t="array" aca="1" ref="T5" ca="1">INDIRECT(A5&amp;"!N6")</f>
        <v>550</v>
      </c>
      <c r="U5" s="73" cm="1">
        <f t="array" aca="1" ref="U5" ca="1">INDIRECT(A5&amp;"!N7")</f>
        <v>0</v>
      </c>
      <c r="V5" s="72"/>
      <c r="W5" s="64" cm="1">
        <f t="array" aca="1" ref="W5" ca="1">INDIRECT(A5&amp;"!K5")</f>
        <v>0</v>
      </c>
      <c r="X5" s="41" cm="1">
        <f t="array" aca="1" ref="X5" ca="1">INDIRECT(A5&amp;"!K6")</f>
        <v>15000</v>
      </c>
      <c r="Y5" s="73" cm="1">
        <f t="array" aca="1" ref="Y5" ca="1">INDIRECT(A5&amp;"!K7")</f>
        <v>0</v>
      </c>
      <c r="Z5" s="64" cm="1">
        <f t="array" aca="1" ref="Z5" ca="1">INDIRECT(A5&amp;"!L5")</f>
        <v>0</v>
      </c>
      <c r="AA5" s="41" cm="1">
        <f t="array" aca="1" ref="AA5" ca="1">INDIRECT(A5&amp;"!L6")</f>
        <v>14800</v>
      </c>
      <c r="AB5" s="73" cm="1">
        <f t="array" aca="1" ref="AB5" ca="1">INDIRECT(A5&amp;"!L7")</f>
        <v>0</v>
      </c>
      <c r="AC5" s="131">
        <f ca="1">W5-Z5</f>
        <v>0</v>
      </c>
      <c r="AD5" s="41">
        <f ca="1">X5-AA5</f>
        <v>200</v>
      </c>
      <c r="AE5" s="73">
        <f ca="1">Y5-AB5</f>
        <v>0</v>
      </c>
    </row>
    <row r="6" spans="1:31">
      <c r="A6" s="112">
        <v>2</v>
      </c>
      <c r="B6" s="113" t="str" cm="1">
        <f t="array" aca="1" ref="B6" ca="1">""&amp;INDIRECT(A6&amp;"!f1")&amp;"-"&amp;INDIRECT(A6&amp;"!g1")&amp;"-"&amp;INDIRECT(A6&amp;"!h1")</f>
        <v>2-3-2026</v>
      </c>
      <c r="C6" s="64" cm="1">
        <f t="array" aca="1" ref="C6" ca="1">IF(J6=0, 0, INDIRECT(A6&amp;"!M3"))</f>
        <v>24300</v>
      </c>
      <c r="D6" s="41" cm="1">
        <f t="array" aca="1" ref="D6" ca="1">IF(J6=0, 0, INDIRECT(A6&amp;"!M4"))</f>
        <v>10000</v>
      </c>
      <c r="E6" s="41" cm="1">
        <f t="array" aca="1" ref="E6" ca="1">IF(J6=0, 0, INDIRECT(A6&amp;"!M5"))</f>
        <v>34300</v>
      </c>
      <c r="F6" s="41" cm="1">
        <f t="array" aca="1" ref="F6" ca="1">IF(K6=0, 0, INDIRECT(A6&amp;"!M6"))</f>
        <v>24500</v>
      </c>
      <c r="G6" s="73" cm="1">
        <f t="array" aca="1" ref="G6" ca="1">IF(L6=0, 0, INDIRECT(A6&amp;"!M7"))</f>
        <v>0</v>
      </c>
      <c r="H6" s="64" cm="1">
        <f t="array" aca="1" ref="H6" ca="1">INDIRECT(A6&amp;"!P3")</f>
        <v>-36</v>
      </c>
      <c r="I6" s="41" cm="1">
        <f t="array" aca="1" ref="I6" ca="1">INDIRECT(A6&amp;"!P4")</f>
        <v>-86</v>
      </c>
      <c r="J6" s="41" cm="1">
        <f t="array" aca="1" ref="J6" ca="1">INDIRECT(A6&amp;"!P5")</f>
        <v>-122</v>
      </c>
      <c r="K6" s="41" cm="1">
        <f t="array" aca="1" ref="K6" ca="1">INDIRECT(A6&amp;"!P6")</f>
        <v>-82</v>
      </c>
      <c r="L6" s="73" cm="1">
        <f t="array" aca="1" ref="L6" ca="1">INDIRECT(A6&amp;"!P7")</f>
        <v>0</v>
      </c>
      <c r="M6" s="157" cm="1">
        <f t="array" aca="1" ref="M6" ca="1">J6-INDIRECT(A6&amp;"!n11")</f>
        <v>-122</v>
      </c>
      <c r="N6" s="158" cm="1">
        <f t="array" aca="1" ref="N6" ca="1">K6-INDIRECT(A6&amp;"!n12")</f>
        <v>-82</v>
      </c>
      <c r="O6" s="153" cm="1">
        <f t="array" aca="1" ref="O6" ca="1">L6-INDIRECT(A6&amp;"!n13")</f>
        <v>0</v>
      </c>
      <c r="P6" s="157">
        <f t="shared" ref="P6:P35" ca="1" si="0">((S6*0.0125)-AC6-M6)*-1</f>
        <v>-183.25</v>
      </c>
      <c r="Q6" s="158">
        <f t="shared" ref="Q6:Q35" ca="1" si="1">(T6*0.0125)-AD6-N6</f>
        <v>88.25</v>
      </c>
      <c r="R6" s="153">
        <f t="shared" ref="R6:R35" ca="1" si="2">((U6*0.0125)-AE6-O6)*-1</f>
        <v>0</v>
      </c>
      <c r="S6" s="64" cm="1">
        <f t="array" aca="1" ref="S6" ca="1">INDIRECT(A6&amp;"!N5")</f>
        <v>4900</v>
      </c>
      <c r="T6" s="41" cm="1">
        <f t="array" aca="1" ref="T6" ca="1">INDIRECT(A6&amp;"!N6")</f>
        <v>500</v>
      </c>
      <c r="U6" s="73" cm="1">
        <f t="array" aca="1" ref="U6" ca="1">INDIRECT(A6&amp;"!N7")</f>
        <v>0</v>
      </c>
      <c r="V6" s="72"/>
      <c r="W6" s="64" cm="1">
        <f t="array" aca="1" ref="W6" ca="1">INDIRECT(A6&amp;"!K5")</f>
        <v>0</v>
      </c>
      <c r="X6" s="41" cm="1">
        <f t="array" aca="1" ref="X6" ca="1">INDIRECT(A6&amp;"!K6")</f>
        <v>0</v>
      </c>
      <c r="Y6" s="73" cm="1">
        <f t="array" aca="1" ref="Y6" ca="1">INDIRECT(A6&amp;"!K7")</f>
        <v>0</v>
      </c>
      <c r="Z6" s="64" cm="1">
        <f t="array" aca="1" ref="Z6" ca="1">INDIRECT(A6&amp;"!L5")</f>
        <v>0</v>
      </c>
      <c r="AA6" s="41" cm="1">
        <f t="array" aca="1" ref="AA6" ca="1">INDIRECT(A6&amp;"!L6")</f>
        <v>0</v>
      </c>
      <c r="AB6" s="73" cm="1">
        <f t="array" aca="1" ref="AB6" ca="1">INDIRECT(A6&amp;"!L7")</f>
        <v>0</v>
      </c>
      <c r="AC6" s="131">
        <f t="shared" ref="AC6:AC35" ca="1" si="3">W6-Z6</f>
        <v>0</v>
      </c>
      <c r="AD6" s="41">
        <f t="shared" ref="AD6:AD35" ca="1" si="4">X6-AA6</f>
        <v>0</v>
      </c>
      <c r="AE6" s="73">
        <f t="shared" ref="AE6:AE35" ca="1" si="5">Y6-AB6</f>
        <v>0</v>
      </c>
    </row>
    <row r="7" spans="1:31">
      <c r="A7" s="112">
        <v>3</v>
      </c>
      <c r="B7" s="113" t="str" cm="1">
        <f t="array" aca="1" ref="B7" ca="1">""&amp;INDIRECT(A7&amp;"!f1")&amp;"-"&amp;INDIRECT(A7&amp;"!g1")&amp;"-"&amp;INDIRECT(A7&amp;"!h1")</f>
        <v>3-3-2026</v>
      </c>
      <c r="C7" s="64" cm="1">
        <f t="array" aca="1" ref="C7" ca="1">IF(J7=0, 0, INDIRECT(A7&amp;"!M3"))</f>
        <v>21400</v>
      </c>
      <c r="D7" s="41" cm="1">
        <f t="array" aca="1" ref="D7" ca="1">IF(J7=0, 0, INDIRECT(A7&amp;"!M4"))</f>
        <v>8800</v>
      </c>
      <c r="E7" s="41" cm="1">
        <f t="array" aca="1" ref="E7" ca="1">IF(J7=0, 0, INDIRECT(A7&amp;"!M5"))</f>
        <v>30200</v>
      </c>
      <c r="F7" s="41" cm="1">
        <f t="array" aca="1" ref="F7" ca="1">IF(K7=0, 0, INDIRECT(A7&amp;"!M6"))</f>
        <v>24300</v>
      </c>
      <c r="G7" s="73" cm="1">
        <f t="array" aca="1" ref="G7" ca="1">IF(L7=0, 0, INDIRECT(A7&amp;"!M7"))</f>
        <v>0</v>
      </c>
      <c r="H7" s="64" cm="1">
        <f t="array" aca="1" ref="H7" ca="1">INDIRECT(A7&amp;"!P3")</f>
        <v>45</v>
      </c>
      <c r="I7" s="41" cm="1">
        <f t="array" aca="1" ref="I7" ca="1">INDIRECT(A7&amp;"!P4")</f>
        <v>97</v>
      </c>
      <c r="J7" s="41" cm="1">
        <f t="array" aca="1" ref="J7" ca="1">INDIRECT(A7&amp;"!P5")</f>
        <v>142</v>
      </c>
      <c r="K7" s="41" cm="1">
        <f t="array" aca="1" ref="K7" ca="1">INDIRECT(A7&amp;"!P6")</f>
        <v>39</v>
      </c>
      <c r="L7" s="73" cm="1">
        <f t="array" aca="1" ref="L7" ca="1">INDIRECT(A7&amp;"!P7")</f>
        <v>0</v>
      </c>
      <c r="M7" s="157" cm="1">
        <f t="array" aca="1" ref="M7" ca="1">J7-INDIRECT(A7&amp;"!n11")</f>
        <v>142</v>
      </c>
      <c r="N7" s="158" cm="1">
        <f t="array" aca="1" ref="N7" ca="1">K7-INDIRECT(A7&amp;"!n12")</f>
        <v>39</v>
      </c>
      <c r="O7" s="153" cm="1">
        <f t="array" aca="1" ref="O7" ca="1">L7-INDIRECT(A7&amp;"!n13")</f>
        <v>0</v>
      </c>
      <c r="P7" s="157">
        <f t="shared" ca="1" si="0"/>
        <v>90.75</v>
      </c>
      <c r="Q7" s="158">
        <f t="shared" ca="1" si="1"/>
        <v>-36.5</v>
      </c>
      <c r="R7" s="153">
        <f t="shared" ca="1" si="2"/>
        <v>0</v>
      </c>
      <c r="S7" s="64" cm="1">
        <f t="array" aca="1" ref="S7" ca="1">INDIRECT(A7&amp;"!N5")</f>
        <v>4100</v>
      </c>
      <c r="T7" s="41" cm="1">
        <f t="array" aca="1" ref="T7" ca="1">INDIRECT(A7&amp;"!N6")</f>
        <v>200</v>
      </c>
      <c r="U7" s="73" cm="1">
        <f t="array" aca="1" ref="U7" ca="1">INDIRECT(A7&amp;"!N7")</f>
        <v>0</v>
      </c>
      <c r="V7" s="72"/>
      <c r="W7" s="64" cm="1">
        <f t="array" aca="1" ref="W7" ca="1">INDIRECT(A7&amp;"!K5")</f>
        <v>0</v>
      </c>
      <c r="X7" s="41" cm="1">
        <f t="array" aca="1" ref="X7" ca="1">INDIRECT(A7&amp;"!K6")</f>
        <v>0</v>
      </c>
      <c r="Y7" s="73" cm="1">
        <f t="array" aca="1" ref="Y7" ca="1">INDIRECT(A7&amp;"!K7")</f>
        <v>0</v>
      </c>
      <c r="Z7" s="64" cm="1">
        <f t="array" aca="1" ref="Z7" ca="1">INDIRECT(A7&amp;"!L5")</f>
        <v>0</v>
      </c>
      <c r="AA7" s="41" cm="1">
        <f t="array" aca="1" ref="AA7" ca="1">INDIRECT(A7&amp;"!L6")</f>
        <v>0</v>
      </c>
      <c r="AB7" s="73" cm="1">
        <f t="array" aca="1" ref="AB7" ca="1">INDIRECT(A7&amp;"!L7")</f>
        <v>0</v>
      </c>
      <c r="AC7" s="131">
        <f t="shared" ca="1" si="3"/>
        <v>0</v>
      </c>
      <c r="AD7" s="41">
        <f t="shared" ca="1" si="4"/>
        <v>0</v>
      </c>
      <c r="AE7" s="73">
        <f t="shared" ca="1" si="5"/>
        <v>0</v>
      </c>
    </row>
    <row r="8" spans="1:31">
      <c r="A8" s="112">
        <v>4</v>
      </c>
      <c r="B8" s="113" t="str" cm="1">
        <f t="array" aca="1" ref="B8" ca="1">""&amp;INDIRECT(A8&amp;"!f1")&amp;"-"&amp;INDIRECT(A8&amp;"!g1")&amp;"-"&amp;INDIRECT(A8&amp;"!h1")</f>
        <v>4-3-2026</v>
      </c>
      <c r="C8" s="64" cm="1">
        <f t="array" aca="1" ref="C8" ca="1">IF(J8=0, 0, INDIRECT(A8&amp;"!M3"))</f>
        <v>18450</v>
      </c>
      <c r="D8" s="41" cm="1">
        <f t="array" aca="1" ref="D8" ca="1">IF(J8=0, 0, INDIRECT(A8&amp;"!M4"))</f>
        <v>7000</v>
      </c>
      <c r="E8" s="41" cm="1">
        <f t="array" aca="1" ref="E8" ca="1">IF(J8=0, 0, INDIRECT(A8&amp;"!M5"))</f>
        <v>25450</v>
      </c>
      <c r="F8" s="41" cm="1">
        <f t="array" aca="1" ref="F8" ca="1">IF(K8=0, 0, INDIRECT(A8&amp;"!M6"))</f>
        <v>24000</v>
      </c>
      <c r="G8" s="73" cm="1">
        <f t="array" aca="1" ref="G8" ca="1">IF(L8=0, 0, INDIRECT(A8&amp;"!M7"))</f>
        <v>0</v>
      </c>
      <c r="H8" s="64" cm="1">
        <f t="array" aca="1" ref="H8" ca="1">INDIRECT(A8&amp;"!P3")</f>
        <v>122</v>
      </c>
      <c r="I8" s="41" cm="1">
        <f t="array" aca="1" ref="I8" ca="1">INDIRECT(A8&amp;"!P4")</f>
        <v>-27</v>
      </c>
      <c r="J8" s="41" cm="1">
        <f t="array" aca="1" ref="J8" ca="1">INDIRECT(A8&amp;"!P5")</f>
        <v>95</v>
      </c>
      <c r="K8" s="41" cm="1">
        <f t="array" aca="1" ref="K8" ca="1">INDIRECT(A8&amp;"!P6")</f>
        <v>-5</v>
      </c>
      <c r="L8" s="73" cm="1">
        <f t="array" aca="1" ref="L8" ca="1">INDIRECT(A8&amp;"!P7")</f>
        <v>0</v>
      </c>
      <c r="M8" s="157" cm="1">
        <f t="array" aca="1" ref="M8" ca="1">J8-INDIRECT(A8&amp;"!n11")</f>
        <v>95</v>
      </c>
      <c r="N8" s="158" cm="1">
        <f t="array" aca="1" ref="N8" ca="1">K8-INDIRECT(A8&amp;"!n12")</f>
        <v>-5</v>
      </c>
      <c r="O8" s="153" cm="1">
        <f t="array" aca="1" ref="O8" ca="1">L8-INDIRECT(A8&amp;"!n13")</f>
        <v>0</v>
      </c>
      <c r="P8" s="157">
        <f t="shared" ca="1" si="0"/>
        <v>35.625</v>
      </c>
      <c r="Q8" s="158">
        <f t="shared" ca="1" si="1"/>
        <v>8.75</v>
      </c>
      <c r="R8" s="153">
        <f t="shared" ca="1" si="2"/>
        <v>0</v>
      </c>
      <c r="S8" s="64" cm="1">
        <f t="array" aca="1" ref="S8" ca="1">INDIRECT(A8&amp;"!N5")</f>
        <v>4750</v>
      </c>
      <c r="T8" s="41" cm="1">
        <f t="array" aca="1" ref="T8" ca="1">INDIRECT(A8&amp;"!N6")</f>
        <v>300</v>
      </c>
      <c r="U8" s="73" cm="1">
        <f t="array" aca="1" ref="U8" ca="1">INDIRECT(A8&amp;"!N7")</f>
        <v>0</v>
      </c>
      <c r="V8" s="72"/>
      <c r="W8" s="64" cm="1">
        <f t="array" aca="1" ref="W8" ca="1">INDIRECT(A8&amp;"!K5")</f>
        <v>0</v>
      </c>
      <c r="X8" s="41" cm="1">
        <f t="array" aca="1" ref="X8" ca="1">INDIRECT(A8&amp;"!K6")</f>
        <v>0</v>
      </c>
      <c r="Y8" s="73" cm="1">
        <f t="array" aca="1" ref="Y8" ca="1">INDIRECT(A8&amp;"!K7")</f>
        <v>0</v>
      </c>
      <c r="Z8" s="64" cm="1">
        <f t="array" aca="1" ref="Z8" ca="1">INDIRECT(A8&amp;"!L5")</f>
        <v>0</v>
      </c>
      <c r="AA8" s="41" cm="1">
        <f t="array" aca="1" ref="AA8" ca="1">INDIRECT(A8&amp;"!L6")</f>
        <v>0</v>
      </c>
      <c r="AB8" s="73" cm="1">
        <f t="array" aca="1" ref="AB8" ca="1">INDIRECT(A8&amp;"!L7")</f>
        <v>0</v>
      </c>
      <c r="AC8" s="131">
        <f t="shared" ca="1" si="3"/>
        <v>0</v>
      </c>
      <c r="AD8" s="41">
        <f t="shared" ca="1" si="4"/>
        <v>0</v>
      </c>
      <c r="AE8" s="73">
        <f t="shared" ca="1" si="5"/>
        <v>0</v>
      </c>
    </row>
    <row r="9" spans="1:31">
      <c r="A9" s="112">
        <v>5</v>
      </c>
      <c r="B9" s="113" t="str" cm="1">
        <f t="array" aca="1" ref="B9" ca="1">""&amp;INDIRECT(A9&amp;"!f1")&amp;"-"&amp;INDIRECT(A9&amp;"!g1")&amp;"-"&amp;INDIRECT(A9&amp;"!h1")</f>
        <v>5-3-2026</v>
      </c>
      <c r="C9" s="64" cm="1">
        <f t="array" aca="1" ref="C9" ca="1">IF(J9=0, 0, INDIRECT(A9&amp;"!M3"))</f>
        <v>15300</v>
      </c>
      <c r="D9" s="41" cm="1">
        <f t="array" aca="1" ref="D9" ca="1">IF(J9=0, 0, INDIRECT(A9&amp;"!M4"))</f>
        <v>5750</v>
      </c>
      <c r="E9" s="41" cm="1">
        <f t="array" aca="1" ref="E9" ca="1">IF(J9=0, 0, INDIRECT(A9&amp;"!M5"))</f>
        <v>21050</v>
      </c>
      <c r="F9" s="41" cm="1">
        <f t="array" aca="1" ref="F9" ca="1">IF(K9=0, 0, INDIRECT(A9&amp;"!M6"))</f>
        <v>23700</v>
      </c>
      <c r="G9" s="73" cm="1">
        <f t="array" aca="1" ref="G9" ca="1">IF(L9=0, 0, INDIRECT(A9&amp;"!M7"))</f>
        <v>0</v>
      </c>
      <c r="H9" s="64" cm="1">
        <f t="array" aca="1" ref="H9" ca="1">INDIRECT(A9&amp;"!P3")</f>
        <v>113</v>
      </c>
      <c r="I9" s="41" cm="1">
        <f t="array" aca="1" ref="I9" ca="1">INDIRECT(A9&amp;"!P4")</f>
        <v>-6</v>
      </c>
      <c r="J9" s="41" cm="1">
        <f t="array" aca="1" ref="J9" ca="1">INDIRECT(A9&amp;"!P5")</f>
        <v>107</v>
      </c>
      <c r="K9" s="41" cm="1">
        <f t="array" aca="1" ref="K9" ca="1">INDIRECT(A9&amp;"!P6")</f>
        <v>104</v>
      </c>
      <c r="L9" s="73" cm="1">
        <f t="array" aca="1" ref="L9" ca="1">INDIRECT(A9&amp;"!P7")</f>
        <v>0</v>
      </c>
      <c r="M9" s="157" cm="1">
        <f t="array" aca="1" ref="M9" ca="1">J9-INDIRECT(A9&amp;"!n11")</f>
        <v>107</v>
      </c>
      <c r="N9" s="158" cm="1">
        <f t="array" aca="1" ref="N9" ca="1">K9-INDIRECT(A9&amp;"!n12")</f>
        <v>104</v>
      </c>
      <c r="O9" s="153" cm="1">
        <f t="array" aca="1" ref="O9" ca="1">L9-INDIRECT(A9&amp;"!n13")</f>
        <v>0</v>
      </c>
      <c r="P9" s="157">
        <f t="shared" ca="1" si="0"/>
        <v>52</v>
      </c>
      <c r="Q9" s="158">
        <f t="shared" ca="1" si="1"/>
        <v>-100.25</v>
      </c>
      <c r="R9" s="153">
        <f t="shared" ca="1" si="2"/>
        <v>0</v>
      </c>
      <c r="S9" s="64" cm="1">
        <f t="array" aca="1" ref="S9" ca="1">INDIRECT(A9&amp;"!N5")</f>
        <v>4400</v>
      </c>
      <c r="T9" s="41" cm="1">
        <f t="array" aca="1" ref="T9" ca="1">INDIRECT(A9&amp;"!N6")</f>
        <v>300</v>
      </c>
      <c r="U9" s="73" cm="1">
        <f t="array" aca="1" ref="U9" ca="1">INDIRECT(A9&amp;"!N7")</f>
        <v>0</v>
      </c>
      <c r="V9" s="72"/>
      <c r="W9" s="64" cm="1">
        <f t="array" aca="1" ref="W9" ca="1">INDIRECT(A9&amp;"!K5")</f>
        <v>0</v>
      </c>
      <c r="X9" s="41" cm="1">
        <f t="array" aca="1" ref="X9" ca="1">INDIRECT(A9&amp;"!K6")</f>
        <v>0</v>
      </c>
      <c r="Y9" s="73" cm="1">
        <f t="array" aca="1" ref="Y9" ca="1">INDIRECT(A9&amp;"!K7")</f>
        <v>0</v>
      </c>
      <c r="Z9" s="64" cm="1">
        <f t="array" aca="1" ref="Z9" ca="1">INDIRECT(A9&amp;"!L5")</f>
        <v>0</v>
      </c>
      <c r="AA9" s="41" cm="1">
        <f t="array" aca="1" ref="AA9" ca="1">INDIRECT(A9&amp;"!L6")</f>
        <v>0</v>
      </c>
      <c r="AB9" s="73" cm="1">
        <f t="array" aca="1" ref="AB9" ca="1">INDIRECT(A9&amp;"!L7")</f>
        <v>0</v>
      </c>
      <c r="AC9" s="131">
        <f t="shared" ca="1" si="3"/>
        <v>0</v>
      </c>
      <c r="AD9" s="41">
        <f t="shared" ca="1" si="4"/>
        <v>0</v>
      </c>
      <c r="AE9" s="73">
        <f t="shared" ca="1" si="5"/>
        <v>0</v>
      </c>
    </row>
    <row r="10" spans="1:31">
      <c r="A10" s="112">
        <v>6</v>
      </c>
      <c r="B10" s="113" t="str" cm="1">
        <f t="array" aca="1" ref="B10" ca="1">""&amp;INDIRECT(A10&amp;"!f1")&amp;"-"&amp;INDIRECT(A10&amp;"!g1")&amp;"-"&amp;INDIRECT(A10&amp;"!h1")</f>
        <v>6-3-2026</v>
      </c>
      <c r="C10" s="64" cm="1">
        <f t="array" aca="1" ref="C10" ca="1">IF(J10=0, 0, INDIRECT(A10&amp;"!M3"))</f>
        <v>10800</v>
      </c>
      <c r="D10" s="41" cm="1">
        <f t="array" aca="1" ref="D10" ca="1">IF(J10=0, 0, INDIRECT(A10&amp;"!M4"))</f>
        <v>4450</v>
      </c>
      <c r="E10" s="41" cm="1">
        <f t="array" aca="1" ref="E10" ca="1">IF(J10=0, 0, INDIRECT(A10&amp;"!M5"))</f>
        <v>15250</v>
      </c>
      <c r="F10" s="41" cm="1">
        <f t="array" aca="1" ref="F10" ca="1">IF(K10=0, 0, INDIRECT(A10&amp;"!M6"))</f>
        <v>23100</v>
      </c>
      <c r="G10" s="73" cm="1">
        <f t="array" aca="1" ref="G10" ca="1">IF(L10=0, 0, INDIRECT(A10&amp;"!M7"))</f>
        <v>0</v>
      </c>
      <c r="H10" s="64" cm="1">
        <f t="array" aca="1" ref="H10" ca="1">INDIRECT(A10&amp;"!P3")</f>
        <v>17</v>
      </c>
      <c r="I10" s="41" cm="1">
        <f t="array" aca="1" ref="I10" ca="1">INDIRECT(A10&amp;"!P4")</f>
        <v>-59</v>
      </c>
      <c r="J10" s="41" cm="1">
        <f t="array" aca="1" ref="J10" ca="1">INDIRECT(A10&amp;"!P5")</f>
        <v>-42</v>
      </c>
      <c r="K10" s="41" cm="1">
        <f t="array" aca="1" ref="K10" ca="1">INDIRECT(A10&amp;"!P6")</f>
        <v>-107</v>
      </c>
      <c r="L10" s="73" cm="1">
        <f t="array" aca="1" ref="L10" ca="1">INDIRECT(A10&amp;"!P7")</f>
        <v>0</v>
      </c>
      <c r="M10" s="157" cm="1">
        <f t="array" aca="1" ref="M10" ca="1">J10-INDIRECT(A10&amp;"!n11")</f>
        <v>-42</v>
      </c>
      <c r="N10" s="158" cm="1">
        <f t="array" aca="1" ref="N10" ca="1">K10-INDIRECT(A10&amp;"!n12")</f>
        <v>-107</v>
      </c>
      <c r="O10" s="153" cm="1">
        <f t="array" aca="1" ref="O10" ca="1">L10-INDIRECT(A10&amp;"!n13")</f>
        <v>0</v>
      </c>
      <c r="P10" s="157">
        <f t="shared" ca="1" si="0"/>
        <v>-114.5</v>
      </c>
      <c r="Q10" s="158">
        <f t="shared" ca="1" si="1"/>
        <v>114.5</v>
      </c>
      <c r="R10" s="153">
        <f t="shared" ca="1" si="2"/>
        <v>0</v>
      </c>
      <c r="S10" s="64" cm="1">
        <f t="array" aca="1" ref="S10" ca="1">INDIRECT(A10&amp;"!N5")</f>
        <v>5800</v>
      </c>
      <c r="T10" s="41" cm="1">
        <f t="array" aca="1" ref="T10" ca="1">INDIRECT(A10&amp;"!N6")</f>
        <v>600</v>
      </c>
      <c r="U10" s="73" cm="1">
        <f t="array" aca="1" ref="U10" ca="1">INDIRECT(A10&amp;"!N7")</f>
        <v>0</v>
      </c>
      <c r="V10" s="72"/>
      <c r="W10" s="64" cm="1">
        <f t="array" aca="1" ref="W10" ca="1">INDIRECT(A10&amp;"!K5")</f>
        <v>0</v>
      </c>
      <c r="X10" s="41" cm="1">
        <f t="array" aca="1" ref="X10" ca="1">INDIRECT(A10&amp;"!K6")</f>
        <v>0</v>
      </c>
      <c r="Y10" s="73" cm="1">
        <f t="array" aca="1" ref="Y10" ca="1">INDIRECT(A10&amp;"!K7")</f>
        <v>0</v>
      </c>
      <c r="Z10" s="64" cm="1">
        <f t="array" aca="1" ref="Z10" ca="1">INDIRECT(A10&amp;"!L5")</f>
        <v>0</v>
      </c>
      <c r="AA10" s="41" cm="1">
        <f t="array" aca="1" ref="AA10" ca="1">INDIRECT(A10&amp;"!L6")</f>
        <v>0</v>
      </c>
      <c r="AB10" s="73" cm="1">
        <f t="array" aca="1" ref="AB10" ca="1">INDIRECT(A10&amp;"!L7")</f>
        <v>0</v>
      </c>
      <c r="AC10" s="131">
        <f t="shared" ca="1" si="3"/>
        <v>0</v>
      </c>
      <c r="AD10" s="41">
        <f t="shared" ca="1" si="4"/>
        <v>0</v>
      </c>
      <c r="AE10" s="73">
        <f t="shared" ca="1" si="5"/>
        <v>0</v>
      </c>
    </row>
    <row r="11" spans="1:31">
      <c r="A11" s="112">
        <v>7</v>
      </c>
      <c r="B11" s="113" t="str" cm="1">
        <f t="array" aca="1" ref="B11" ca="1">""&amp;INDIRECT(A11&amp;"!f1")&amp;"-"&amp;INDIRECT(A11&amp;"!g1")&amp;"-"&amp;INDIRECT(A11&amp;"!h1")</f>
        <v>7-3-2026</v>
      </c>
      <c r="C11" s="64" cm="1">
        <f t="array" aca="1" ref="C11" ca="1">IF(J11=0, 0, INDIRECT(A11&amp;"!M3"))</f>
        <v>7900</v>
      </c>
      <c r="D11" s="41" cm="1">
        <f t="array" aca="1" ref="D11" ca="1">IF(J11=0, 0, INDIRECT(A11&amp;"!M4"))</f>
        <v>2800</v>
      </c>
      <c r="E11" s="41" cm="1">
        <f t="array" aca="1" ref="E11" ca="1">IF(J11=0, 0, INDIRECT(A11&amp;"!M5"))</f>
        <v>10700</v>
      </c>
      <c r="F11" s="41" cm="1">
        <f t="array" aca="1" ref="F11" ca="1">IF(K11=0, 0, INDIRECT(A11&amp;"!M6"))</f>
        <v>22600</v>
      </c>
      <c r="G11" s="73" cm="1">
        <f t="array" aca="1" ref="G11" ca="1">IF(L11=0, 0, INDIRECT(A11&amp;"!M7"))</f>
        <v>0</v>
      </c>
      <c r="H11" s="64" cm="1">
        <f t="array" aca="1" ref="H11" ca="1">INDIRECT(A11&amp;"!P3")</f>
        <v>-6</v>
      </c>
      <c r="I11" s="41" cm="1">
        <f t="array" aca="1" ref="I11" ca="1">INDIRECT(A11&amp;"!P4")</f>
        <v>16</v>
      </c>
      <c r="J11" s="41" cm="1">
        <f t="array" aca="1" ref="J11" ca="1">INDIRECT(A11&amp;"!P5")</f>
        <v>10</v>
      </c>
      <c r="K11" s="41" cm="1">
        <f t="array" aca="1" ref="K11" ca="1">INDIRECT(A11&amp;"!P6")</f>
        <v>79</v>
      </c>
      <c r="L11" s="73" cm="1">
        <f t="array" aca="1" ref="L11" ca="1">INDIRECT(A11&amp;"!P7")</f>
        <v>0</v>
      </c>
      <c r="M11" s="157" cm="1">
        <f t="array" aca="1" ref="M11" ca="1">J11-INDIRECT(A11&amp;"!n11")</f>
        <v>10</v>
      </c>
      <c r="N11" s="158" cm="1">
        <f t="array" aca="1" ref="N11" ca="1">K11-INDIRECT(A11&amp;"!n12")</f>
        <v>79</v>
      </c>
      <c r="O11" s="153" cm="1">
        <f t="array" aca="1" ref="O11" ca="1">L11-INDIRECT(A11&amp;"!n13")</f>
        <v>0</v>
      </c>
      <c r="P11" s="157">
        <f t="shared" ca="1" si="0"/>
        <v>-46.875</v>
      </c>
      <c r="Q11" s="158">
        <f t="shared" ca="1" si="1"/>
        <v>-72.75</v>
      </c>
      <c r="R11" s="153">
        <f t="shared" ca="1" si="2"/>
        <v>0</v>
      </c>
      <c r="S11" s="64" cm="1">
        <f t="array" aca="1" ref="S11" ca="1">INDIRECT(A11&amp;"!N5")</f>
        <v>4550</v>
      </c>
      <c r="T11" s="41" cm="1">
        <f t="array" aca="1" ref="T11" ca="1">INDIRECT(A11&amp;"!N6")</f>
        <v>500</v>
      </c>
      <c r="U11" s="73" cm="1">
        <f t="array" aca="1" ref="U11" ca="1">INDIRECT(A11&amp;"!N7")</f>
        <v>0</v>
      </c>
      <c r="V11" s="72"/>
      <c r="W11" s="64" cm="1">
        <f t="array" aca="1" ref="W11" ca="1">INDIRECT(A11&amp;"!K5")</f>
        <v>0</v>
      </c>
      <c r="X11" s="41" cm="1">
        <f t="array" aca="1" ref="X11" ca="1">INDIRECT(A11&amp;"!K6")</f>
        <v>0</v>
      </c>
      <c r="Y11" s="73" cm="1">
        <f t="array" aca="1" ref="Y11" ca="1">INDIRECT(A11&amp;"!K7")</f>
        <v>0</v>
      </c>
      <c r="Z11" s="64" cm="1">
        <f t="array" aca="1" ref="Z11" ca="1">INDIRECT(A11&amp;"!L5")</f>
        <v>0</v>
      </c>
      <c r="AA11" s="41" cm="1">
        <f t="array" aca="1" ref="AA11" ca="1">INDIRECT(A11&amp;"!L6")</f>
        <v>0</v>
      </c>
      <c r="AB11" s="73" cm="1">
        <f t="array" aca="1" ref="AB11" ca="1">INDIRECT(A11&amp;"!L7")</f>
        <v>0</v>
      </c>
      <c r="AC11" s="131">
        <f t="shared" ca="1" si="3"/>
        <v>0</v>
      </c>
      <c r="AD11" s="41">
        <f t="shared" ca="1" si="4"/>
        <v>0</v>
      </c>
      <c r="AE11" s="73">
        <f t="shared" ca="1" si="5"/>
        <v>0</v>
      </c>
    </row>
    <row r="12" spans="1:31">
      <c r="A12" s="112">
        <v>8</v>
      </c>
      <c r="B12" s="113" t="str" cm="1">
        <f t="array" aca="1" ref="B12" ca="1">""&amp;INDIRECT(A12&amp;"!f1")&amp;"-"&amp;INDIRECT(A12&amp;"!g1")&amp;"-"&amp;INDIRECT(A12&amp;"!h1")</f>
        <v>8-3-2026</v>
      </c>
      <c r="C12" s="64" cm="1">
        <f t="array" aca="1" ref="C12" ca="1">IF(J12=0, 0, INDIRECT(A12&amp;"!M3"))</f>
        <v>5500</v>
      </c>
      <c r="D12" s="41" cm="1">
        <f t="array" aca="1" ref="D12" ca="1">IF(J12=0, 0, INDIRECT(A12&amp;"!M4"))</f>
        <v>1500</v>
      </c>
      <c r="E12" s="41" cm="1">
        <f t="array" aca="1" ref="E12" ca="1">IF(J12=0, 0, INDIRECT(A12&amp;"!M5"))</f>
        <v>7000</v>
      </c>
      <c r="F12" s="41" cm="1">
        <f t="array" aca="1" ref="F12" ca="1">IF(K12=0, 0, INDIRECT(A12&amp;"!M6"))</f>
        <v>22500</v>
      </c>
      <c r="G12" s="73" cm="1">
        <f t="array" aca="1" ref="G12" ca="1">IF(L12=0, 0, INDIRECT(A12&amp;"!M7"))</f>
        <v>0</v>
      </c>
      <c r="H12" s="64" cm="1">
        <f t="array" aca="1" ref="H12" ca="1">INDIRECT(A12&amp;"!P3")</f>
        <v>65</v>
      </c>
      <c r="I12" s="41" cm="1">
        <f t="array" aca="1" ref="I12" ca="1">INDIRECT(A12&amp;"!P4")</f>
        <v>50</v>
      </c>
      <c r="J12" s="41" cm="1">
        <f t="array" aca="1" ref="J12" ca="1">INDIRECT(A12&amp;"!P5")</f>
        <v>115</v>
      </c>
      <c r="K12" s="41" cm="1">
        <f t="array" aca="1" ref="K12" ca="1">INDIRECT(A12&amp;"!P6")</f>
        <v>36</v>
      </c>
      <c r="L12" s="73" cm="1">
        <f t="array" aca="1" ref="L12" ca="1">INDIRECT(A12&amp;"!P7")</f>
        <v>0</v>
      </c>
      <c r="M12" s="157" cm="1">
        <f t="array" aca="1" ref="M12" ca="1">J12-INDIRECT(A12&amp;"!n11")</f>
        <v>115</v>
      </c>
      <c r="N12" s="158" cm="1">
        <f t="array" aca="1" ref="N12" ca="1">K12-INDIRECT(A12&amp;"!n12")</f>
        <v>36</v>
      </c>
      <c r="O12" s="153" cm="1">
        <f t="array" aca="1" ref="O12" ca="1">L12-INDIRECT(A12&amp;"!n13")</f>
        <v>0</v>
      </c>
      <c r="P12" s="157">
        <f t="shared" ca="1" si="0"/>
        <v>68.75</v>
      </c>
      <c r="Q12" s="158">
        <f t="shared" ca="1" si="1"/>
        <v>-34.75</v>
      </c>
      <c r="R12" s="153">
        <f t="shared" ca="1" si="2"/>
        <v>0</v>
      </c>
      <c r="S12" s="64" cm="1">
        <f t="array" aca="1" ref="S12" ca="1">INDIRECT(A12&amp;"!N5")</f>
        <v>3700</v>
      </c>
      <c r="T12" s="41" cm="1">
        <f t="array" aca="1" ref="T12" ca="1">INDIRECT(A12&amp;"!N6")</f>
        <v>100</v>
      </c>
      <c r="U12" s="73" cm="1">
        <f t="array" aca="1" ref="U12" ca="1">INDIRECT(A12&amp;"!N7")</f>
        <v>0</v>
      </c>
      <c r="V12" s="72"/>
      <c r="W12" s="64" cm="1">
        <f t="array" aca="1" ref="W12" ca="1">INDIRECT(A12&amp;"!K5")</f>
        <v>0</v>
      </c>
      <c r="X12" s="41" cm="1">
        <f t="array" aca="1" ref="X12" ca="1">INDIRECT(A12&amp;"!K6")</f>
        <v>0</v>
      </c>
      <c r="Y12" s="73" cm="1">
        <f t="array" aca="1" ref="Y12" ca="1">INDIRECT(A12&amp;"!K7")</f>
        <v>0</v>
      </c>
      <c r="Z12" s="64" cm="1">
        <f t="array" aca="1" ref="Z12" ca="1">INDIRECT(A12&amp;"!L5")</f>
        <v>0</v>
      </c>
      <c r="AA12" s="41" cm="1">
        <f t="array" aca="1" ref="AA12" ca="1">INDIRECT(A12&amp;"!L6")</f>
        <v>0</v>
      </c>
      <c r="AB12" s="73" cm="1">
        <f t="array" aca="1" ref="AB12" ca="1">INDIRECT(A12&amp;"!L7")</f>
        <v>0</v>
      </c>
      <c r="AC12" s="131">
        <f t="shared" ca="1" si="3"/>
        <v>0</v>
      </c>
      <c r="AD12" s="41">
        <f t="shared" ca="1" si="4"/>
        <v>0</v>
      </c>
      <c r="AE12" s="73">
        <f t="shared" ca="1" si="5"/>
        <v>0</v>
      </c>
    </row>
    <row r="13" spans="1:31">
      <c r="A13" s="112">
        <v>9</v>
      </c>
      <c r="B13" s="113" t="str" cm="1">
        <f t="array" aca="1" ref="B13" ca="1">""&amp;INDIRECT(A13&amp;"!f1")&amp;"-"&amp;INDIRECT(A13&amp;"!g1")&amp;"-"&amp;INDIRECT(A13&amp;"!h1")</f>
        <v>9-3-2026</v>
      </c>
      <c r="C13" s="64" cm="1">
        <f t="array" aca="1" ref="C13" ca="1">IF(J13=0, 0, INDIRECT(A13&amp;"!M3"))</f>
        <v>32900</v>
      </c>
      <c r="D13" s="41" cm="1">
        <f t="array" aca="1" ref="D13" ca="1">IF(J13=0, 0, INDIRECT(A13&amp;"!M4"))</f>
        <v>15300</v>
      </c>
      <c r="E13" s="41" cm="1">
        <f t="array" aca="1" ref="E13" ca="1">IF(J13=0, 0, INDIRECT(A13&amp;"!M5"))</f>
        <v>48200</v>
      </c>
      <c r="F13" s="41" cm="1">
        <f t="array" aca="1" ref="F13" ca="1">IF(K13=0, 0, INDIRECT(A13&amp;"!M6"))</f>
        <v>22300</v>
      </c>
      <c r="G13" s="73" cm="1">
        <f t="array" aca="1" ref="G13" ca="1">IF(L13=0, 0, INDIRECT(A13&amp;"!M7"))</f>
        <v>0</v>
      </c>
      <c r="H13" s="64" cm="1">
        <f t="array" aca="1" ref="H13" ca="1">INDIRECT(A13&amp;"!P3")</f>
        <v>96</v>
      </c>
      <c r="I13" s="41" cm="1">
        <f t="array" aca="1" ref="I13" ca="1">INDIRECT(A13&amp;"!P4")</f>
        <v>-50</v>
      </c>
      <c r="J13" s="41" cm="1">
        <f t="array" aca="1" ref="J13" ca="1">INDIRECT(A13&amp;"!P5")</f>
        <v>46</v>
      </c>
      <c r="K13" s="41" cm="1">
        <f t="array" aca="1" ref="K13" ca="1">INDIRECT(A13&amp;"!P6")</f>
        <v>8</v>
      </c>
      <c r="L13" s="73" cm="1">
        <f t="array" aca="1" ref="L13" ca="1">INDIRECT(A13&amp;"!P7")</f>
        <v>0</v>
      </c>
      <c r="M13" s="157" cm="1">
        <f t="array" aca="1" ref="M13" ca="1">J13-INDIRECT(A13&amp;"!n11")</f>
        <v>46</v>
      </c>
      <c r="N13" s="158" cm="1">
        <f t="array" aca="1" ref="N13" ca="1">K13-INDIRECT(A13&amp;"!n12")</f>
        <v>8</v>
      </c>
      <c r="O13" s="153" cm="1">
        <f t="array" aca="1" ref="O13" ca="1">L13-INDIRECT(A13&amp;"!n13")</f>
        <v>0</v>
      </c>
      <c r="P13" s="157">
        <f t="shared" ca="1" si="0"/>
        <v>403.5</v>
      </c>
      <c r="Q13" s="158">
        <f t="shared" ca="1" si="1"/>
        <v>-5.5</v>
      </c>
      <c r="R13" s="153">
        <f t="shared" ca="1" si="2"/>
        <v>0</v>
      </c>
      <c r="S13" s="64" cm="1">
        <f t="array" aca="1" ref="S13" ca="1">INDIRECT(A13&amp;"!N5")</f>
        <v>3400</v>
      </c>
      <c r="T13" s="41" cm="1">
        <f t="array" aca="1" ref="T13" ca="1">INDIRECT(A13&amp;"!N6")</f>
        <v>200</v>
      </c>
      <c r="U13" s="73" cm="1">
        <f t="array" aca="1" ref="U13" ca="1">INDIRECT(A13&amp;"!N7")</f>
        <v>0</v>
      </c>
      <c r="V13" s="72"/>
      <c r="W13" s="64" cm="1">
        <f t="array" aca="1" ref="W13" ca="1">INDIRECT(A13&amp;"!K5")</f>
        <v>45000</v>
      </c>
      <c r="X13" s="41" cm="1">
        <f t="array" aca="1" ref="X13" ca="1">INDIRECT(A13&amp;"!K6")</f>
        <v>0</v>
      </c>
      <c r="Y13" s="73" cm="1">
        <f t="array" aca="1" ref="Y13" ca="1">INDIRECT(A13&amp;"!K7")</f>
        <v>0</v>
      </c>
      <c r="Z13" s="64" cm="1">
        <f t="array" aca="1" ref="Z13" ca="1">INDIRECT(A13&amp;"!L5")</f>
        <v>44600</v>
      </c>
      <c r="AA13" s="41" cm="1">
        <f t="array" aca="1" ref="AA13" ca="1">INDIRECT(A13&amp;"!L6")</f>
        <v>0</v>
      </c>
      <c r="AB13" s="73" cm="1">
        <f t="array" aca="1" ref="AB13" ca="1">INDIRECT(A13&amp;"!L7")</f>
        <v>0</v>
      </c>
      <c r="AC13" s="131">
        <f t="shared" ca="1" si="3"/>
        <v>400</v>
      </c>
      <c r="AD13" s="41">
        <f t="shared" ca="1" si="4"/>
        <v>0</v>
      </c>
      <c r="AE13" s="73">
        <f t="shared" ca="1" si="5"/>
        <v>0</v>
      </c>
    </row>
    <row r="14" spans="1:31">
      <c r="A14" s="112">
        <v>10</v>
      </c>
      <c r="B14" s="113" t="str" cm="1">
        <f t="array" aca="1" ref="B14" ca="1">""&amp;INDIRECT(A14&amp;"!f1")&amp;"-"&amp;INDIRECT(A14&amp;"!g1")&amp;"-"&amp;INDIRECT(A14&amp;"!h1")</f>
        <v>10-3-2026</v>
      </c>
      <c r="C14" s="64" cm="1">
        <f t="array" aca="1" ref="C14" ca="1">IF(J14=0, 0, INDIRECT(A14&amp;"!M3"))</f>
        <v>29900</v>
      </c>
      <c r="D14" s="41" cm="1">
        <f t="array" aca="1" ref="D14" ca="1">IF(J14=0, 0, INDIRECT(A14&amp;"!M4"))</f>
        <v>14000</v>
      </c>
      <c r="E14" s="41" cm="1">
        <f t="array" aca="1" ref="E14" ca="1">IF(J14=0, 0, INDIRECT(A14&amp;"!M5"))</f>
        <v>43900</v>
      </c>
      <c r="F14" s="41" cm="1">
        <f t="array" aca="1" ref="F14" ca="1">IF(K14=0, 0, INDIRECT(A14&amp;"!M6"))</f>
        <v>21900</v>
      </c>
      <c r="G14" s="73" cm="1">
        <f t="array" aca="1" ref="G14" ca="1">IF(L14=0, 0, INDIRECT(A14&amp;"!M7"))</f>
        <v>0</v>
      </c>
      <c r="H14" s="64" cm="1">
        <f t="array" aca="1" ref="H14" ca="1">INDIRECT(A14&amp;"!P3")</f>
        <v>-103</v>
      </c>
      <c r="I14" s="41" cm="1">
        <f t="array" aca="1" ref="I14" ca="1">INDIRECT(A14&amp;"!P4")</f>
        <v>34</v>
      </c>
      <c r="J14" s="41" cm="1">
        <f t="array" aca="1" ref="J14" ca="1">INDIRECT(A14&amp;"!P5")</f>
        <v>-69</v>
      </c>
      <c r="K14" s="41" cm="1">
        <f t="array" aca="1" ref="K14" ca="1">INDIRECT(A14&amp;"!P6")</f>
        <v>-63</v>
      </c>
      <c r="L14" s="73" cm="1">
        <f t="array" aca="1" ref="L14" ca="1">INDIRECT(A14&amp;"!P7")</f>
        <v>0</v>
      </c>
      <c r="M14" s="157" cm="1">
        <f t="array" aca="1" ref="M14" ca="1">J14-INDIRECT(A14&amp;"!n11")</f>
        <v>-69</v>
      </c>
      <c r="N14" s="158" cm="1">
        <f t="array" aca="1" ref="N14" ca="1">K14-INDIRECT(A14&amp;"!n12")</f>
        <v>-63</v>
      </c>
      <c r="O14" s="153" cm="1">
        <f t="array" aca="1" ref="O14" ca="1">L14-INDIRECT(A14&amp;"!n13")</f>
        <v>0</v>
      </c>
      <c r="P14" s="157">
        <f t="shared" ca="1" si="0"/>
        <v>-122.75</v>
      </c>
      <c r="Q14" s="158">
        <f t="shared" ca="1" si="1"/>
        <v>68</v>
      </c>
      <c r="R14" s="153">
        <f t="shared" ca="1" si="2"/>
        <v>0</v>
      </c>
      <c r="S14" s="64" cm="1">
        <f t="array" aca="1" ref="S14" ca="1">INDIRECT(A14&amp;"!N5")</f>
        <v>4300</v>
      </c>
      <c r="T14" s="41" cm="1">
        <f t="array" aca="1" ref="T14" ca="1">INDIRECT(A14&amp;"!N6")</f>
        <v>400</v>
      </c>
      <c r="U14" s="73" cm="1">
        <f t="array" aca="1" ref="U14" ca="1">INDIRECT(A14&amp;"!N7")</f>
        <v>0</v>
      </c>
      <c r="V14" s="72"/>
      <c r="W14" s="64" cm="1">
        <f t="array" aca="1" ref="W14" ca="1">INDIRECT(A14&amp;"!K5")</f>
        <v>0</v>
      </c>
      <c r="X14" s="41" cm="1">
        <f t="array" aca="1" ref="X14" ca="1">INDIRECT(A14&amp;"!K6")</f>
        <v>0</v>
      </c>
      <c r="Y14" s="73" cm="1">
        <f t="array" aca="1" ref="Y14" ca="1">INDIRECT(A14&amp;"!K7")</f>
        <v>0</v>
      </c>
      <c r="Z14" s="64" cm="1">
        <f t="array" aca="1" ref="Z14" ca="1">INDIRECT(A14&amp;"!L5")</f>
        <v>0</v>
      </c>
      <c r="AA14" s="41" cm="1">
        <f t="array" aca="1" ref="AA14" ca="1">INDIRECT(A14&amp;"!L6")</f>
        <v>0</v>
      </c>
      <c r="AB14" s="73" cm="1">
        <f t="array" aca="1" ref="AB14" ca="1">INDIRECT(A14&amp;"!L7")</f>
        <v>0</v>
      </c>
      <c r="AC14" s="131">
        <f t="shared" ca="1" si="3"/>
        <v>0</v>
      </c>
      <c r="AD14" s="41">
        <f t="shared" ca="1" si="4"/>
        <v>0</v>
      </c>
      <c r="AE14" s="73">
        <f t="shared" ca="1" si="5"/>
        <v>0</v>
      </c>
    </row>
    <row r="15" spans="1:31">
      <c r="A15" s="112">
        <v>11</v>
      </c>
      <c r="B15" s="113" t="str" cm="1">
        <f t="array" aca="1" ref="B15" ca="1">""&amp;INDIRECT(A15&amp;"!f1")&amp;"-"&amp;INDIRECT(A15&amp;"!g1")&amp;"-"&amp;INDIRECT(A15&amp;"!h1")</f>
        <v>11-3-2026</v>
      </c>
      <c r="C15" s="64" cm="1">
        <f t="array" aca="1" ref="C15" ca="1">IF(J15=0, 0, INDIRECT(A15&amp;"!M3"))</f>
        <v>27300</v>
      </c>
      <c r="D15" s="41" cm="1">
        <f t="array" aca="1" ref="D15" ca="1">IF(J15=0, 0, INDIRECT(A15&amp;"!M4"))</f>
        <v>12750</v>
      </c>
      <c r="E15" s="41" cm="1">
        <f t="array" aca="1" ref="E15" ca="1">IF(J15=0, 0, INDIRECT(A15&amp;"!M5"))</f>
        <v>40050</v>
      </c>
      <c r="F15" s="41" cm="1">
        <f t="array" aca="1" ref="F15" ca="1">IF(K15=0, 0, INDIRECT(A15&amp;"!M6"))</f>
        <v>21050</v>
      </c>
      <c r="G15" s="73" cm="1">
        <f t="array" aca="1" ref="G15" ca="1">IF(L15=0, 0, INDIRECT(A15&amp;"!M7"))</f>
        <v>0</v>
      </c>
      <c r="H15" s="64" cm="1">
        <f t="array" aca="1" ref="H15" ca="1">INDIRECT(A15&amp;"!P3")</f>
        <v>68</v>
      </c>
      <c r="I15" s="41" cm="1">
        <f t="array" aca="1" ref="I15" ca="1">INDIRECT(A15&amp;"!P4")</f>
        <v>-101</v>
      </c>
      <c r="J15" s="41" cm="1">
        <f t="array" aca="1" ref="J15" ca="1">INDIRECT(A15&amp;"!P5")</f>
        <v>-33</v>
      </c>
      <c r="K15" s="41" cm="1">
        <f t="array" aca="1" ref="K15" ca="1">INDIRECT(A15&amp;"!P6")</f>
        <v>-39</v>
      </c>
      <c r="L15" s="73" cm="1">
        <f t="array" aca="1" ref="L15" ca="1">INDIRECT(A15&amp;"!P7")</f>
        <v>0</v>
      </c>
      <c r="M15" s="157" cm="1">
        <f t="array" aca="1" ref="M15" ca="1">J15-INDIRECT(A15&amp;"!n11")</f>
        <v>-33</v>
      </c>
      <c r="N15" s="158" cm="1">
        <f t="array" aca="1" ref="N15" ca="1">K15-INDIRECT(A15&amp;"!n12")</f>
        <v>-39</v>
      </c>
      <c r="O15" s="153" cm="1">
        <f t="array" aca="1" ref="O15" ca="1">L15-INDIRECT(A15&amp;"!n13")</f>
        <v>0</v>
      </c>
      <c r="P15" s="157">
        <f t="shared" ca="1" si="0"/>
        <v>-81.125</v>
      </c>
      <c r="Q15" s="158">
        <f t="shared" ca="1" si="1"/>
        <v>49.625</v>
      </c>
      <c r="R15" s="153">
        <f t="shared" ca="1" si="2"/>
        <v>0</v>
      </c>
      <c r="S15" s="64" cm="1">
        <f t="array" aca="1" ref="S15" ca="1">INDIRECT(A15&amp;"!N5")</f>
        <v>3850</v>
      </c>
      <c r="T15" s="41" cm="1">
        <f t="array" aca="1" ref="T15" ca="1">INDIRECT(A15&amp;"!N6")</f>
        <v>850</v>
      </c>
      <c r="U15" s="73" cm="1">
        <f t="array" aca="1" ref="U15" ca="1">INDIRECT(A15&amp;"!N7")</f>
        <v>0</v>
      </c>
      <c r="V15" s="72"/>
      <c r="W15" s="64" cm="1">
        <f t="array" aca="1" ref="W15" ca="1">INDIRECT(A15&amp;"!K5")</f>
        <v>0</v>
      </c>
      <c r="X15" s="41" cm="1">
        <f t="array" aca="1" ref="X15" ca="1">INDIRECT(A15&amp;"!K6")</f>
        <v>0</v>
      </c>
      <c r="Y15" s="73" cm="1">
        <f t="array" aca="1" ref="Y15" ca="1">INDIRECT(A15&amp;"!K7")</f>
        <v>0</v>
      </c>
      <c r="Z15" s="64" cm="1">
        <f t="array" aca="1" ref="Z15" ca="1">INDIRECT(A15&amp;"!L5")</f>
        <v>0</v>
      </c>
      <c r="AA15" s="41" cm="1">
        <f t="array" aca="1" ref="AA15" ca="1">INDIRECT(A15&amp;"!L6")</f>
        <v>0</v>
      </c>
      <c r="AB15" s="73" cm="1">
        <f t="array" aca="1" ref="AB15" ca="1">INDIRECT(A15&amp;"!L7")</f>
        <v>0</v>
      </c>
      <c r="AC15" s="131">
        <f t="shared" ca="1" si="3"/>
        <v>0</v>
      </c>
      <c r="AD15" s="41">
        <f t="shared" ca="1" si="4"/>
        <v>0</v>
      </c>
      <c r="AE15" s="73">
        <f t="shared" ca="1" si="5"/>
        <v>0</v>
      </c>
    </row>
    <row r="16" spans="1:31">
      <c r="A16" s="112">
        <v>12</v>
      </c>
      <c r="B16" s="113" t="str" cm="1">
        <f t="array" aca="1" ref="B16" ca="1">""&amp;INDIRECT(A16&amp;"!f1")&amp;"-"&amp;INDIRECT(A16&amp;"!g1")&amp;"-"&amp;INDIRECT(A16&amp;"!h1")</f>
        <v>12-3-2026</v>
      </c>
      <c r="C16" s="64" cm="1">
        <f t="array" aca="1" ref="C16" ca="1">IF(J16=0, 0, INDIRECT(A16&amp;"!M3"))</f>
        <v>24400</v>
      </c>
      <c r="D16" s="41" cm="1">
        <f t="array" aca="1" ref="D16" ca="1">IF(J16=0, 0, INDIRECT(A16&amp;"!M4"))</f>
        <v>11300</v>
      </c>
      <c r="E16" s="41" cm="1">
        <f t="array" aca="1" ref="E16" ca="1">IF(J16=0, 0, INDIRECT(A16&amp;"!M5"))</f>
        <v>35700</v>
      </c>
      <c r="F16" s="41" cm="1">
        <f t="array" aca="1" ref="F16" ca="1">IF(K16=0, 0, INDIRECT(A16&amp;"!M6"))</f>
        <v>20700</v>
      </c>
      <c r="G16" s="73" cm="1">
        <f t="array" aca="1" ref="G16" ca="1">IF(L16=0, 0, INDIRECT(A16&amp;"!M7"))</f>
        <v>0</v>
      </c>
      <c r="H16" s="64" cm="1">
        <f t="array" aca="1" ref="H16" ca="1">INDIRECT(A16&amp;"!P3")</f>
        <v>-12</v>
      </c>
      <c r="I16" s="41" cm="1">
        <f t="array" aca="1" ref="I16" ca="1">INDIRECT(A16&amp;"!P4")</f>
        <v>13</v>
      </c>
      <c r="J16" s="41" cm="1">
        <f t="array" aca="1" ref="J16" ca="1">INDIRECT(A16&amp;"!P5")</f>
        <v>1</v>
      </c>
      <c r="K16" s="41" cm="1">
        <f t="array" aca="1" ref="K16" ca="1">INDIRECT(A16&amp;"!P6")</f>
        <v>27</v>
      </c>
      <c r="L16" s="73" cm="1">
        <f t="array" aca="1" ref="L16" ca="1">INDIRECT(A16&amp;"!P7")</f>
        <v>0</v>
      </c>
      <c r="M16" s="157" cm="1">
        <f t="array" aca="1" ref="M16" ca="1">J16-INDIRECT(A16&amp;"!n11")</f>
        <v>1</v>
      </c>
      <c r="N16" s="158" cm="1">
        <f t="array" aca="1" ref="N16" ca="1">K16-INDIRECT(A16&amp;"!n12")</f>
        <v>27</v>
      </c>
      <c r="O16" s="153" cm="1">
        <f t="array" aca="1" ref="O16" ca="1">L16-INDIRECT(A16&amp;"!n13")</f>
        <v>0</v>
      </c>
      <c r="P16" s="157">
        <f t="shared" ca="1" si="0"/>
        <v>-53.375</v>
      </c>
      <c r="Q16" s="158">
        <f t="shared" ca="1" si="1"/>
        <v>-22.625</v>
      </c>
      <c r="R16" s="153">
        <f t="shared" ca="1" si="2"/>
        <v>0</v>
      </c>
      <c r="S16" s="64" cm="1">
        <f t="array" aca="1" ref="S16" ca="1">INDIRECT(A16&amp;"!N5")</f>
        <v>4350</v>
      </c>
      <c r="T16" s="41" cm="1">
        <f t="array" aca="1" ref="T16" ca="1">INDIRECT(A16&amp;"!N6")</f>
        <v>350</v>
      </c>
      <c r="U16" s="73" cm="1">
        <f t="array" aca="1" ref="U16" ca="1">INDIRECT(A16&amp;"!N7")</f>
        <v>0</v>
      </c>
      <c r="V16" s="72"/>
      <c r="W16" s="64" cm="1">
        <f t="array" aca="1" ref="W16" ca="1">INDIRECT(A16&amp;"!K5")</f>
        <v>0</v>
      </c>
      <c r="X16" s="41" cm="1">
        <f t="array" aca="1" ref="X16" ca="1">INDIRECT(A16&amp;"!K6")</f>
        <v>0</v>
      </c>
      <c r="Y16" s="73" cm="1">
        <f t="array" aca="1" ref="Y16" ca="1">INDIRECT(A16&amp;"!K7")</f>
        <v>0</v>
      </c>
      <c r="Z16" s="64" cm="1">
        <f t="array" aca="1" ref="Z16" ca="1">INDIRECT(A16&amp;"!L5")</f>
        <v>0</v>
      </c>
      <c r="AA16" s="41" cm="1">
        <f t="array" aca="1" ref="AA16" ca="1">INDIRECT(A16&amp;"!L6")</f>
        <v>0</v>
      </c>
      <c r="AB16" s="73" cm="1">
        <f t="array" aca="1" ref="AB16" ca="1">INDIRECT(A16&amp;"!L7")</f>
        <v>0</v>
      </c>
      <c r="AC16" s="131">
        <f t="shared" ca="1" si="3"/>
        <v>0</v>
      </c>
      <c r="AD16" s="41">
        <f t="shared" ca="1" si="4"/>
        <v>0</v>
      </c>
      <c r="AE16" s="73">
        <f t="shared" ca="1" si="5"/>
        <v>0</v>
      </c>
    </row>
    <row r="17" spans="1:31">
      <c r="A17" s="112">
        <v>13</v>
      </c>
      <c r="B17" s="113" t="str" cm="1">
        <f t="array" aca="1" ref="B17" ca="1">""&amp;INDIRECT(A17&amp;"!f1")&amp;"-"&amp;INDIRECT(A17&amp;"!g1")&amp;"-"&amp;INDIRECT(A17&amp;"!h1")</f>
        <v>13-3-2026</v>
      </c>
      <c r="C17" s="64" cm="1">
        <f t="array" aca="1" ref="C17" ca="1">IF(J17=0, 0, INDIRECT(A17&amp;"!M3"))</f>
        <v>22000</v>
      </c>
      <c r="D17" s="41" cm="1">
        <f t="array" aca="1" ref="D17" ca="1">IF(J17=0, 0, INDIRECT(A17&amp;"!M4"))</f>
        <v>9950</v>
      </c>
      <c r="E17" s="41" cm="1">
        <f t="array" aca="1" ref="E17" ca="1">IF(J17=0, 0, INDIRECT(A17&amp;"!M5"))</f>
        <v>31950</v>
      </c>
      <c r="F17" s="41" cm="1">
        <f t="array" aca="1" ref="F17" ca="1">IF(K17=0, 0, INDIRECT(A17&amp;"!M6"))</f>
        <v>35250</v>
      </c>
      <c r="G17" s="73" cm="1">
        <f t="array" aca="1" ref="G17" ca="1">IF(L17=0, 0, INDIRECT(A17&amp;"!M7"))</f>
        <v>0</v>
      </c>
      <c r="H17" s="64" cm="1">
        <f t="array" aca="1" ref="H17" ca="1">INDIRECT(A17&amp;"!P3")</f>
        <v>87</v>
      </c>
      <c r="I17" s="41" cm="1">
        <f t="array" aca="1" ref="I17" ca="1">INDIRECT(A17&amp;"!P4")</f>
        <v>-22</v>
      </c>
      <c r="J17" s="41" cm="1">
        <f t="array" aca="1" ref="J17" ca="1">INDIRECT(A17&amp;"!P5")</f>
        <v>65</v>
      </c>
      <c r="K17" s="41" cm="1">
        <f t="array" aca="1" ref="K17" ca="1">INDIRECT(A17&amp;"!P6")</f>
        <v>-137</v>
      </c>
      <c r="L17" s="73" cm="1">
        <f t="array" aca="1" ref="L17" ca="1">INDIRECT(A17&amp;"!P7")</f>
        <v>0</v>
      </c>
      <c r="M17" s="157" cm="1">
        <f t="array" aca="1" ref="M17" ca="1">J17-INDIRECT(A17&amp;"!n11")</f>
        <v>65</v>
      </c>
      <c r="N17" s="158" cm="1">
        <f t="array" aca="1" ref="N17" ca="1">K17-INDIRECT(A17&amp;"!n12")</f>
        <v>-137</v>
      </c>
      <c r="O17" s="153" cm="1">
        <f t="array" aca="1" ref="O17" ca="1">L17-INDIRECT(A17&amp;"!n13")</f>
        <v>0</v>
      </c>
      <c r="P17" s="157">
        <f t="shared" ca="1" si="0"/>
        <v>18.125</v>
      </c>
      <c r="Q17" s="158">
        <f t="shared" ca="1" si="1"/>
        <v>142.625</v>
      </c>
      <c r="R17" s="153">
        <f t="shared" ca="1" si="2"/>
        <v>0</v>
      </c>
      <c r="S17" s="64" cm="1">
        <f t="array" aca="1" ref="S17" ca="1">INDIRECT(A17&amp;"!N5")</f>
        <v>3750</v>
      </c>
      <c r="T17" s="41" cm="1">
        <f t="array" aca="1" ref="T17" ca="1">INDIRECT(A17&amp;"!N6")</f>
        <v>450</v>
      </c>
      <c r="U17" s="73" cm="1">
        <f t="array" aca="1" ref="U17" ca="1">INDIRECT(A17&amp;"!N7")</f>
        <v>0</v>
      </c>
      <c r="V17" s="72"/>
      <c r="W17" s="64" cm="1">
        <f t="array" aca="1" ref="W17" ca="1">INDIRECT(A17&amp;"!K5")</f>
        <v>0</v>
      </c>
      <c r="X17" s="41" cm="1">
        <f t="array" aca="1" ref="X17" ca="1">INDIRECT(A17&amp;"!K6")</f>
        <v>15000</v>
      </c>
      <c r="Y17" s="73" cm="1">
        <f t="array" aca="1" ref="Y17" ca="1">INDIRECT(A17&amp;"!K7")</f>
        <v>0</v>
      </c>
      <c r="Z17" s="64" cm="1">
        <f t="array" aca="1" ref="Z17" ca="1">INDIRECT(A17&amp;"!L5")</f>
        <v>0</v>
      </c>
      <c r="AA17" s="41" cm="1">
        <f t="array" aca="1" ref="AA17" ca="1">INDIRECT(A17&amp;"!L6")</f>
        <v>15000</v>
      </c>
      <c r="AB17" s="73" cm="1">
        <f t="array" aca="1" ref="AB17" ca="1">INDIRECT(A17&amp;"!L7")</f>
        <v>0</v>
      </c>
      <c r="AC17" s="131">
        <f t="shared" ca="1" si="3"/>
        <v>0</v>
      </c>
      <c r="AD17" s="41">
        <f t="shared" ca="1" si="4"/>
        <v>0</v>
      </c>
      <c r="AE17" s="73">
        <f t="shared" ca="1" si="5"/>
        <v>0</v>
      </c>
    </row>
    <row r="18" spans="1:31">
      <c r="A18" s="112">
        <v>14</v>
      </c>
      <c r="B18" s="113" t="str" cm="1">
        <f t="array" aca="1" ref="B18" ca="1">""&amp;INDIRECT(A18&amp;"!f1")&amp;"-"&amp;INDIRECT(A18&amp;"!g1")&amp;"-"&amp;INDIRECT(A18&amp;"!h1")</f>
        <v>14-3-2026</v>
      </c>
      <c r="C18" s="64" cm="1">
        <f t="array" aca="1" ref="C18" ca="1">IF(J18=0, 0, INDIRECT(A18&amp;"!M3"))</f>
        <v>19350</v>
      </c>
      <c r="D18" s="41" cm="1">
        <f t="array" aca="1" ref="D18" ca="1">IF(J18=0, 0, INDIRECT(A18&amp;"!M4"))</f>
        <v>8650</v>
      </c>
      <c r="E18" s="41" cm="1">
        <f t="array" aca="1" ref="E18" ca="1">IF(J18=0, 0, INDIRECT(A18&amp;"!M5"))</f>
        <v>28000</v>
      </c>
      <c r="F18" s="41" cm="1">
        <f t="array" aca="1" ref="F18" ca="1">IF(K18=0, 0, INDIRECT(A18&amp;"!M6"))</f>
        <v>34900</v>
      </c>
      <c r="G18" s="73" cm="1">
        <f t="array" aca="1" ref="G18" ca="1">IF(L18=0, 0, INDIRECT(A18&amp;"!M7"))</f>
        <v>0</v>
      </c>
      <c r="H18" s="64" cm="1">
        <f t="array" aca="1" ref="H18" ca="1">INDIRECT(A18&amp;"!P3")</f>
        <v>64</v>
      </c>
      <c r="I18" s="41" cm="1">
        <f t="array" aca="1" ref="I18" ca="1">INDIRECT(A18&amp;"!P4")</f>
        <v>60</v>
      </c>
      <c r="J18" s="41" cm="1">
        <f t="array" aca="1" ref="J18" ca="1">INDIRECT(A18&amp;"!P5")</f>
        <v>124</v>
      </c>
      <c r="K18" s="41" cm="1">
        <f t="array" aca="1" ref="K18" ca="1">INDIRECT(A18&amp;"!P6")</f>
        <v>-29</v>
      </c>
      <c r="L18" s="73" cm="1">
        <f t="array" aca="1" ref="L18" ca="1">INDIRECT(A18&amp;"!P7")</f>
        <v>0</v>
      </c>
      <c r="M18" s="157" cm="1">
        <f t="array" aca="1" ref="M18" ca="1">J18-INDIRECT(A18&amp;"!n11")</f>
        <v>124</v>
      </c>
      <c r="N18" s="158" cm="1">
        <f t="array" aca="1" ref="N18" ca="1">K18-INDIRECT(A18&amp;"!n12")</f>
        <v>-29</v>
      </c>
      <c r="O18" s="153" cm="1">
        <f t="array" aca="1" ref="O18" ca="1">L18-INDIRECT(A18&amp;"!n13")</f>
        <v>0</v>
      </c>
      <c r="P18" s="157">
        <f t="shared" ca="1" si="0"/>
        <v>74.625</v>
      </c>
      <c r="Q18" s="158">
        <f t="shared" ca="1" si="1"/>
        <v>33.375</v>
      </c>
      <c r="R18" s="153">
        <f t="shared" ca="1" si="2"/>
        <v>0</v>
      </c>
      <c r="S18" s="64" cm="1">
        <f t="array" aca="1" ref="S18" ca="1">INDIRECT(A18&amp;"!N5")</f>
        <v>3950</v>
      </c>
      <c r="T18" s="41" cm="1">
        <f t="array" aca="1" ref="T18" ca="1">INDIRECT(A18&amp;"!N6")</f>
        <v>350</v>
      </c>
      <c r="U18" s="73" cm="1">
        <f t="array" aca="1" ref="U18" ca="1">INDIRECT(A18&amp;"!N7")</f>
        <v>0</v>
      </c>
      <c r="V18" s="72"/>
      <c r="W18" s="64" cm="1">
        <f t="array" aca="1" ref="W18" ca="1">INDIRECT(A18&amp;"!K5")</f>
        <v>0</v>
      </c>
      <c r="X18" s="41" cm="1">
        <f t="array" aca="1" ref="X18" ca="1">INDIRECT(A18&amp;"!K6")</f>
        <v>0</v>
      </c>
      <c r="Y18" s="73" cm="1">
        <f t="array" aca="1" ref="Y18" ca="1">INDIRECT(A18&amp;"!K7")</f>
        <v>0</v>
      </c>
      <c r="Z18" s="64" cm="1">
        <f t="array" aca="1" ref="Z18" ca="1">INDIRECT(A18&amp;"!L5")</f>
        <v>0</v>
      </c>
      <c r="AA18" s="41" cm="1">
        <f t="array" aca="1" ref="AA18" ca="1">INDIRECT(A18&amp;"!L6")</f>
        <v>0</v>
      </c>
      <c r="AB18" s="73" cm="1">
        <f t="array" aca="1" ref="AB18" ca="1">INDIRECT(A18&amp;"!L7")</f>
        <v>0</v>
      </c>
      <c r="AC18" s="131">
        <f t="shared" ca="1" si="3"/>
        <v>0</v>
      </c>
      <c r="AD18" s="41">
        <f t="shared" ca="1" si="4"/>
        <v>0</v>
      </c>
      <c r="AE18" s="73">
        <f t="shared" ca="1" si="5"/>
        <v>0</v>
      </c>
    </row>
    <row r="19" spans="1:31">
      <c r="A19" s="112">
        <v>15</v>
      </c>
      <c r="B19" s="113" t="str" cm="1">
        <f t="array" aca="1" ref="B19" ca="1">""&amp;INDIRECT(A19&amp;"!f1")&amp;"-"&amp;INDIRECT(A19&amp;"!g1")&amp;"-"&amp;INDIRECT(A19&amp;"!h1")</f>
        <v>15-3-2026</v>
      </c>
      <c r="C19" s="64" cm="1">
        <f t="array" aca="1" ref="C19" ca="1">IF(J19=0, 0, INDIRECT(A19&amp;"!M3"))</f>
        <v>17150</v>
      </c>
      <c r="D19" s="41" cm="1">
        <f t="array" aca="1" ref="D19" ca="1">IF(J19=0, 0, INDIRECT(A19&amp;"!M4"))</f>
        <v>7400.01</v>
      </c>
      <c r="E19" s="41" cm="1">
        <f t="array" aca="1" ref="E19" ca="1">IF(J19=0, 0, INDIRECT(A19&amp;"!M5"))</f>
        <v>24550.010000000002</v>
      </c>
      <c r="F19" s="41" cm="1">
        <f t="array" aca="1" ref="F19" ca="1">IF(K19=0, 0, INDIRECT(A19&amp;"!M6"))</f>
        <v>34600</v>
      </c>
      <c r="G19" s="73" cm="1">
        <f t="array" aca="1" ref="G19" ca="1">IF(L19=0, 0, INDIRECT(A19&amp;"!M7"))</f>
        <v>0</v>
      </c>
      <c r="H19" s="64" cm="1">
        <f t="array" aca="1" ref="H19" ca="1">INDIRECT(A19&amp;"!P3")</f>
        <v>52</v>
      </c>
      <c r="I19" s="41" cm="1">
        <f t="array" aca="1" ref="I19" ca="1">INDIRECT(A19&amp;"!P4")</f>
        <v>1.0000000000218279E-2</v>
      </c>
      <c r="J19" s="41" cm="1">
        <f t="array" aca="1" ref="J19" ca="1">INDIRECT(A19&amp;"!P5")</f>
        <v>52.010000000002037</v>
      </c>
      <c r="K19" s="41" cm="1">
        <f t="array" aca="1" ref="K19" ca="1">INDIRECT(A19&amp;"!P6")</f>
        <v>-119</v>
      </c>
      <c r="L19" s="73" cm="1">
        <f t="array" aca="1" ref="L19" ca="1">INDIRECT(A19&amp;"!P7")</f>
        <v>0</v>
      </c>
      <c r="M19" s="157" cm="1">
        <f t="array" aca="1" ref="M19" ca="1">J19-INDIRECT(A19&amp;"!n11")</f>
        <v>52.010000000002037</v>
      </c>
      <c r="N19" s="158" cm="1">
        <f t="array" aca="1" ref="N19" ca="1">K19-INDIRECT(A19&amp;"!n12")</f>
        <v>-119</v>
      </c>
      <c r="O19" s="153" cm="1">
        <f t="array" aca="1" ref="O19" ca="1">L19-INDIRECT(A19&amp;"!n13")</f>
        <v>0</v>
      </c>
      <c r="P19" s="157">
        <f t="shared" ca="1" si="0"/>
        <v>8.8851250000020627</v>
      </c>
      <c r="Q19" s="158">
        <f t="shared" ca="1" si="1"/>
        <v>122.75</v>
      </c>
      <c r="R19" s="153">
        <f t="shared" ca="1" si="2"/>
        <v>0</v>
      </c>
      <c r="S19" s="64" cm="1">
        <f t="array" aca="1" ref="S19" ca="1">INDIRECT(A19&amp;"!N5")</f>
        <v>3449.989999999998</v>
      </c>
      <c r="T19" s="41" cm="1">
        <f t="array" aca="1" ref="T19" ca="1">INDIRECT(A19&amp;"!N6")</f>
        <v>300</v>
      </c>
      <c r="U19" s="73" cm="1">
        <f t="array" aca="1" ref="U19" ca="1">INDIRECT(A19&amp;"!N7")</f>
        <v>0</v>
      </c>
      <c r="V19" s="72"/>
      <c r="W19" s="64" cm="1">
        <f t="array" aca="1" ref="W19" ca="1">INDIRECT(A19&amp;"!K5")</f>
        <v>0</v>
      </c>
      <c r="X19" s="41" cm="1">
        <f t="array" aca="1" ref="X19" ca="1">INDIRECT(A19&amp;"!K6")</f>
        <v>0</v>
      </c>
      <c r="Y19" s="73" cm="1">
        <f t="array" aca="1" ref="Y19" ca="1">INDIRECT(A19&amp;"!K7")</f>
        <v>0</v>
      </c>
      <c r="Z19" s="64" cm="1">
        <f t="array" aca="1" ref="Z19" ca="1">INDIRECT(A19&amp;"!L5")</f>
        <v>0</v>
      </c>
      <c r="AA19" s="41" cm="1">
        <f t="array" aca="1" ref="AA19" ca="1">INDIRECT(A19&amp;"!L6")</f>
        <v>0</v>
      </c>
      <c r="AB19" s="73" cm="1">
        <f t="array" aca="1" ref="AB19" ca="1">INDIRECT(A19&amp;"!L7")</f>
        <v>0</v>
      </c>
      <c r="AC19" s="131">
        <f t="shared" ca="1" si="3"/>
        <v>0</v>
      </c>
      <c r="AD19" s="41">
        <f t="shared" ca="1" si="4"/>
        <v>0</v>
      </c>
      <c r="AE19" s="73">
        <f t="shared" ca="1" si="5"/>
        <v>0</v>
      </c>
    </row>
    <row r="20" spans="1:31">
      <c r="A20" s="112">
        <v>16</v>
      </c>
      <c r="B20" s="113" t="str" cm="1">
        <f t="array" aca="1" ref="B20" ca="1">""&amp;INDIRECT(A20&amp;"!f1")&amp;"-"&amp;INDIRECT(A20&amp;"!g1")&amp;"-"&amp;INDIRECT(A20&amp;"!h1")</f>
        <v>16-3-2026</v>
      </c>
      <c r="C20" s="64" cm="1">
        <f t="array" aca="1" ref="C20" ca="1">IF(J20=0, 0, INDIRECT(A20&amp;"!M3"))</f>
        <v>14500</v>
      </c>
      <c r="D20" s="41" cm="1">
        <f t="array" aca="1" ref="D20" ca="1">IF(J20=0, 0, INDIRECT(A20&amp;"!M4"))</f>
        <v>6000</v>
      </c>
      <c r="E20" s="41" cm="1">
        <f t="array" aca="1" ref="E20" ca="1">IF(J20=0, 0, INDIRECT(A20&amp;"!M5"))</f>
        <v>20500</v>
      </c>
      <c r="F20" s="41" cm="1">
        <f t="array" aca="1" ref="F20" ca="1">IF(K20=0, 0, INDIRECT(A20&amp;"!M6"))</f>
        <v>34400</v>
      </c>
      <c r="G20" s="73" cm="1">
        <f t="array" aca="1" ref="G20" ca="1">IF(L20=0, 0, INDIRECT(A20&amp;"!M7"))</f>
        <v>0</v>
      </c>
      <c r="H20" s="64" cm="1">
        <f t="array" aca="1" ref="H20" ca="1">INDIRECT(A20&amp;"!P3")</f>
        <v>92</v>
      </c>
      <c r="I20" s="41" cm="1">
        <f t="array" aca="1" ref="I20" ca="1">INDIRECT(A20&amp;"!P4")</f>
        <v>-1.0100000000002183</v>
      </c>
      <c r="J20" s="41" cm="1">
        <f t="array" aca="1" ref="J20" ca="1">INDIRECT(A20&amp;"!P5")</f>
        <v>90.989999999997963</v>
      </c>
      <c r="K20" s="41" cm="1">
        <f t="array" aca="1" ref="K20" ca="1">INDIRECT(A20&amp;"!P6")</f>
        <v>133</v>
      </c>
      <c r="L20" s="73" cm="1">
        <f t="array" aca="1" ref="L20" ca="1">INDIRECT(A20&amp;"!P7")</f>
        <v>0</v>
      </c>
      <c r="M20" s="157" cm="1">
        <f t="array" aca="1" ref="M20" ca="1">J20-INDIRECT(A20&amp;"!n11")</f>
        <v>90.989999999997963</v>
      </c>
      <c r="N20" s="158" cm="1">
        <f t="array" aca="1" ref="N20" ca="1">K20-INDIRECT(A20&amp;"!n12")</f>
        <v>133</v>
      </c>
      <c r="O20" s="153" cm="1">
        <f t="array" aca="1" ref="O20" ca="1">L20-INDIRECT(A20&amp;"!n13")</f>
        <v>0</v>
      </c>
      <c r="P20" s="157">
        <f t="shared" ca="1" si="0"/>
        <v>40.364874999997937</v>
      </c>
      <c r="Q20" s="158">
        <f t="shared" ca="1" si="1"/>
        <v>-130.5</v>
      </c>
      <c r="R20" s="153">
        <f t="shared" ca="1" si="2"/>
        <v>0</v>
      </c>
      <c r="S20" s="64" cm="1">
        <f t="array" aca="1" ref="S20" ca="1">INDIRECT(A20&amp;"!N5")</f>
        <v>4050.010000000002</v>
      </c>
      <c r="T20" s="41" cm="1">
        <f t="array" aca="1" ref="T20" ca="1">INDIRECT(A20&amp;"!N6")</f>
        <v>200</v>
      </c>
      <c r="U20" s="73" cm="1">
        <f t="array" aca="1" ref="U20" ca="1">INDIRECT(A20&amp;"!N7")</f>
        <v>0</v>
      </c>
      <c r="V20" s="72"/>
      <c r="W20" s="64" cm="1">
        <f t="array" aca="1" ref="W20" ca="1">INDIRECT(A20&amp;"!K5")</f>
        <v>0</v>
      </c>
      <c r="X20" s="41" cm="1">
        <f t="array" aca="1" ref="X20" ca="1">INDIRECT(A20&amp;"!K6")</f>
        <v>0</v>
      </c>
      <c r="Y20" s="73" cm="1">
        <f t="array" aca="1" ref="Y20" ca="1">INDIRECT(A20&amp;"!K7")</f>
        <v>0</v>
      </c>
      <c r="Z20" s="64" cm="1">
        <f t="array" aca="1" ref="Z20" ca="1">INDIRECT(A20&amp;"!L5")</f>
        <v>0</v>
      </c>
      <c r="AA20" s="41" cm="1">
        <f t="array" aca="1" ref="AA20" ca="1">INDIRECT(A20&amp;"!L6")</f>
        <v>0</v>
      </c>
      <c r="AB20" s="73" cm="1">
        <f t="array" aca="1" ref="AB20" ca="1">INDIRECT(A20&amp;"!L7")</f>
        <v>0</v>
      </c>
      <c r="AC20" s="131">
        <f t="shared" ca="1" si="3"/>
        <v>0</v>
      </c>
      <c r="AD20" s="41">
        <f t="shared" ca="1" si="4"/>
        <v>0</v>
      </c>
      <c r="AE20" s="73">
        <f t="shared" ca="1" si="5"/>
        <v>0</v>
      </c>
    </row>
    <row r="21" spans="1:31">
      <c r="A21" s="112">
        <v>17</v>
      </c>
      <c r="B21" s="113" t="str" cm="1">
        <f t="array" aca="1" ref="B21" ca="1">""&amp;INDIRECT(A21&amp;"!f1")&amp;"-"&amp;INDIRECT(A21&amp;"!g1")&amp;"-"&amp;INDIRECT(A21&amp;"!h1")</f>
        <v>17-3-2026</v>
      </c>
      <c r="C21" s="64" cm="1">
        <f t="array" aca="1" ref="C21" ca="1">IF(J21=0, 0, INDIRECT(A21&amp;"!M3"))</f>
        <v>12000</v>
      </c>
      <c r="D21" s="41" cm="1">
        <f t="array" aca="1" ref="D21" ca="1">IF(J21=0, 0, INDIRECT(A21&amp;"!M4"))</f>
        <v>4200</v>
      </c>
      <c r="E21" s="41" cm="1">
        <f t="array" aca="1" ref="E21" ca="1">IF(J21=0, 0, INDIRECT(A21&amp;"!M5"))</f>
        <v>16200</v>
      </c>
      <c r="F21" s="41" cm="1">
        <f t="array" aca="1" ref="F21" ca="1">IF(K21=0, 0, INDIRECT(A21&amp;"!M6"))</f>
        <v>33950</v>
      </c>
      <c r="G21" s="73" cm="1">
        <f t="array" aca="1" ref="G21" ca="1">IF(L21=0, 0, INDIRECT(A21&amp;"!M7"))</f>
        <v>0</v>
      </c>
      <c r="H21" s="64" cm="1">
        <f t="array" aca="1" ref="H21" ca="1">INDIRECT(A21&amp;"!P3")</f>
        <v>-46</v>
      </c>
      <c r="I21" s="41" cm="1">
        <f t="array" aca="1" ref="I21" ca="1">INDIRECT(A21&amp;"!P4")</f>
        <v>27</v>
      </c>
      <c r="J21" s="41" cm="1">
        <f t="array" aca="1" ref="J21" ca="1">INDIRECT(A21&amp;"!P5")</f>
        <v>-19</v>
      </c>
      <c r="K21" s="41" cm="1">
        <f t="array" aca="1" ref="K21" ca="1">INDIRECT(A21&amp;"!P6")</f>
        <v>32</v>
      </c>
      <c r="L21" s="73" cm="1">
        <f t="array" aca="1" ref="L21" ca="1">INDIRECT(A21&amp;"!P7")</f>
        <v>0</v>
      </c>
      <c r="M21" s="157" cm="1">
        <f t="array" aca="1" ref="M21" ca="1">J21-INDIRECT(A21&amp;"!n11")</f>
        <v>-19</v>
      </c>
      <c r="N21" s="158" cm="1">
        <f t="array" aca="1" ref="N21" ca="1">K21-INDIRECT(A21&amp;"!n12")</f>
        <v>32</v>
      </c>
      <c r="O21" s="153" cm="1">
        <f t="array" aca="1" ref="O21" ca="1">L21-INDIRECT(A21&amp;"!n13")</f>
        <v>0</v>
      </c>
      <c r="P21" s="157">
        <f t="shared" ca="1" si="0"/>
        <v>-72.75</v>
      </c>
      <c r="Q21" s="158">
        <f t="shared" ca="1" si="1"/>
        <v>-26.375</v>
      </c>
      <c r="R21" s="153">
        <f t="shared" ca="1" si="2"/>
        <v>0</v>
      </c>
      <c r="S21" s="64" cm="1">
        <f t="array" aca="1" ref="S21" ca="1">INDIRECT(A21&amp;"!N5")</f>
        <v>4300</v>
      </c>
      <c r="T21" s="41" cm="1">
        <f t="array" aca="1" ref="T21" ca="1">INDIRECT(A21&amp;"!N6")</f>
        <v>450</v>
      </c>
      <c r="U21" s="73" cm="1">
        <f t="array" aca="1" ref="U21" ca="1">INDIRECT(A21&amp;"!N7")</f>
        <v>0</v>
      </c>
      <c r="V21" s="72"/>
      <c r="W21" s="64" cm="1">
        <f t="array" aca="1" ref="W21" ca="1">INDIRECT(A21&amp;"!K5")</f>
        <v>0</v>
      </c>
      <c r="X21" s="41" cm="1">
        <f t="array" aca="1" ref="X21" ca="1">INDIRECT(A21&amp;"!K6")</f>
        <v>0</v>
      </c>
      <c r="Y21" s="73" cm="1">
        <f t="array" aca="1" ref="Y21" ca="1">INDIRECT(A21&amp;"!K7")</f>
        <v>0</v>
      </c>
      <c r="Z21" s="64" cm="1">
        <f t="array" aca="1" ref="Z21" ca="1">INDIRECT(A21&amp;"!L5")</f>
        <v>0</v>
      </c>
      <c r="AA21" s="41" cm="1">
        <f t="array" aca="1" ref="AA21" ca="1">INDIRECT(A21&amp;"!L6")</f>
        <v>0</v>
      </c>
      <c r="AB21" s="73" cm="1">
        <f t="array" aca="1" ref="AB21" ca="1">INDIRECT(A21&amp;"!L7")</f>
        <v>0</v>
      </c>
      <c r="AC21" s="131">
        <f t="shared" ca="1" si="3"/>
        <v>0</v>
      </c>
      <c r="AD21" s="41">
        <f t="shared" ca="1" si="4"/>
        <v>0</v>
      </c>
      <c r="AE21" s="73">
        <f t="shared" ca="1" si="5"/>
        <v>0</v>
      </c>
    </row>
    <row r="22" spans="1:31">
      <c r="A22" s="112">
        <v>18</v>
      </c>
      <c r="B22" s="113" t="str" cm="1">
        <f t="array" aca="1" ref="B22" ca="1">""&amp;INDIRECT(A22&amp;"!f1")&amp;"-"&amp;INDIRECT(A22&amp;"!g1")&amp;"-"&amp;INDIRECT(A22&amp;"!h1")</f>
        <v>18-3-2026</v>
      </c>
      <c r="C22" s="64" cm="1">
        <f t="array" aca="1" ref="C22" ca="1">IF(J22=0, 0, INDIRECT(A22&amp;"!M3"))</f>
        <v>9550</v>
      </c>
      <c r="D22" s="41" cm="1">
        <f t="array" aca="1" ref="D22" ca="1">IF(J22=0, 0, INDIRECT(A22&amp;"!M4"))</f>
        <v>2850</v>
      </c>
      <c r="E22" s="41" cm="1">
        <f t="array" aca="1" ref="E22" ca="1">IF(J22=0, 0, INDIRECT(A22&amp;"!M5"))</f>
        <v>12400</v>
      </c>
      <c r="F22" s="41" cm="1">
        <f t="array" aca="1" ref="F22" ca="1">IF(K22=0, 0, INDIRECT(A22&amp;"!M6"))</f>
        <v>33700</v>
      </c>
      <c r="G22" s="73" cm="1">
        <f t="array" aca="1" ref="G22" ca="1">IF(L22=0, 0, INDIRECT(A22&amp;"!M7"))</f>
        <v>0</v>
      </c>
      <c r="H22" s="64" cm="1">
        <f t="array" aca="1" ref="H22" ca="1">INDIRECT(A22&amp;"!P3")</f>
        <v>11</v>
      </c>
      <c r="I22" s="41" cm="1">
        <f t="array" aca="1" ref="I22" ca="1">INDIRECT(A22&amp;"!P4")</f>
        <v>-48</v>
      </c>
      <c r="J22" s="41" cm="1">
        <f t="array" aca="1" ref="J22" ca="1">INDIRECT(A22&amp;"!P5")</f>
        <v>-37</v>
      </c>
      <c r="K22" s="41" cm="1">
        <f t="array" aca="1" ref="K22" ca="1">INDIRECT(A22&amp;"!P6")</f>
        <v>75</v>
      </c>
      <c r="L22" s="73" cm="1">
        <f t="array" aca="1" ref="L22" ca="1">INDIRECT(A22&amp;"!P7")</f>
        <v>0</v>
      </c>
      <c r="M22" s="157" cm="1">
        <f t="array" aca="1" ref="M22" ca="1">J22-INDIRECT(A22&amp;"!n11")</f>
        <v>-37</v>
      </c>
      <c r="N22" s="158" cm="1">
        <f t="array" aca="1" ref="N22" ca="1">K22-INDIRECT(A22&amp;"!n12")</f>
        <v>75</v>
      </c>
      <c r="O22" s="153" cm="1">
        <f t="array" aca="1" ref="O22" ca="1">L22-INDIRECT(A22&amp;"!n13")</f>
        <v>0</v>
      </c>
      <c r="P22" s="157">
        <f t="shared" ca="1" si="0"/>
        <v>-84.5</v>
      </c>
      <c r="Q22" s="158">
        <f t="shared" ca="1" si="1"/>
        <v>-71.875</v>
      </c>
      <c r="R22" s="153">
        <f t="shared" ca="1" si="2"/>
        <v>0</v>
      </c>
      <c r="S22" s="64" cm="1">
        <f t="array" aca="1" ref="S22" ca="1">INDIRECT(A22&amp;"!N5")</f>
        <v>3800</v>
      </c>
      <c r="T22" s="41" cm="1">
        <f t="array" aca="1" ref="T22" ca="1">INDIRECT(A22&amp;"!N6")</f>
        <v>250</v>
      </c>
      <c r="U22" s="73" cm="1">
        <f t="array" aca="1" ref="U22" ca="1">INDIRECT(A22&amp;"!N7")</f>
        <v>0</v>
      </c>
      <c r="V22" s="72"/>
      <c r="W22" s="64" cm="1">
        <f t="array" aca="1" ref="W22" ca="1">INDIRECT(A22&amp;"!K5")</f>
        <v>0</v>
      </c>
      <c r="X22" s="41" cm="1">
        <f t="array" aca="1" ref="X22" ca="1">INDIRECT(A22&amp;"!K6")</f>
        <v>0</v>
      </c>
      <c r="Y22" s="73" cm="1">
        <f t="array" aca="1" ref="Y22" ca="1">INDIRECT(A22&amp;"!K7")</f>
        <v>0</v>
      </c>
      <c r="Z22" s="64" cm="1">
        <f t="array" aca="1" ref="Z22" ca="1">INDIRECT(A22&amp;"!L5")</f>
        <v>0</v>
      </c>
      <c r="AA22" s="41" cm="1">
        <f t="array" aca="1" ref="AA22" ca="1">INDIRECT(A22&amp;"!L6")</f>
        <v>0</v>
      </c>
      <c r="AB22" s="73" cm="1">
        <f t="array" aca="1" ref="AB22" ca="1">INDIRECT(A22&amp;"!L7")</f>
        <v>0</v>
      </c>
      <c r="AC22" s="131">
        <f t="shared" ca="1" si="3"/>
        <v>0</v>
      </c>
      <c r="AD22" s="41">
        <f t="shared" ca="1" si="4"/>
        <v>0</v>
      </c>
      <c r="AE22" s="73">
        <f t="shared" ca="1" si="5"/>
        <v>0</v>
      </c>
    </row>
    <row r="23" spans="1:31">
      <c r="A23" s="112">
        <v>19</v>
      </c>
      <c r="B23" s="113" t="str" cm="1">
        <f t="array" aca="1" ref="B23" ca="1">""&amp;INDIRECT(A23&amp;"!f1")&amp;"-"&amp;INDIRECT(A23&amp;"!g1")&amp;"-"&amp;INDIRECT(A23&amp;"!h1")</f>
        <v>19-3-2026</v>
      </c>
      <c r="C23" s="64" cm="1">
        <f t="array" aca="1" ref="C23" ca="1">IF(J23=0, 0, INDIRECT(A23&amp;"!M3"))</f>
        <v>33700</v>
      </c>
      <c r="D23" s="41" cm="1">
        <f t="array" aca="1" ref="D23" ca="1">IF(J23=0, 0, INDIRECT(A23&amp;"!M4"))</f>
        <v>14400</v>
      </c>
      <c r="E23" s="41" cm="1">
        <f t="array" aca="1" ref="E23" ca="1">IF(J23=0, 0, INDIRECT(A23&amp;"!M5"))</f>
        <v>48100</v>
      </c>
      <c r="F23" s="41" cm="1">
        <f t="array" aca="1" ref="F23" ca="1">IF(K23=0, 0, INDIRECT(A23&amp;"!M6"))</f>
        <v>32500</v>
      </c>
      <c r="G23" s="73" cm="1">
        <f t="array" aca="1" ref="G23" ca="1">IF(L23=0, 0, INDIRECT(A23&amp;"!M7"))</f>
        <v>0</v>
      </c>
      <c r="H23" s="64" cm="1">
        <f t="array" aca="1" ref="H23" ca="1">INDIRECT(A23&amp;"!P3")</f>
        <v>-1</v>
      </c>
      <c r="I23" s="41" cm="1">
        <f t="array" aca="1" ref="I23" ca="1">INDIRECT(A23&amp;"!P4")</f>
        <v>14</v>
      </c>
      <c r="J23" s="41" cm="1">
        <f t="array" aca="1" ref="J23" ca="1">INDIRECT(A23&amp;"!P5")</f>
        <v>13</v>
      </c>
      <c r="K23" s="41" cm="1">
        <f t="array" aca="1" ref="K23" ca="1">INDIRECT(A23&amp;"!P6")</f>
        <v>-57</v>
      </c>
      <c r="L23" s="73" cm="1">
        <f t="array" aca="1" ref="L23" ca="1">INDIRECT(A23&amp;"!P7")</f>
        <v>0</v>
      </c>
      <c r="M23" s="157" cm="1">
        <f t="array" aca="1" ref="M23" ca="1">J23-INDIRECT(A23&amp;"!n11")</f>
        <v>13</v>
      </c>
      <c r="N23" s="158" cm="1">
        <f t="array" aca="1" ref="N23" ca="1">K23-INDIRECT(A23&amp;"!n12")</f>
        <v>-57</v>
      </c>
      <c r="O23" s="153" cm="1">
        <f t="array" aca="1" ref="O23" ca="1">L23-INDIRECT(A23&amp;"!n13")</f>
        <v>0</v>
      </c>
      <c r="P23" s="157">
        <f t="shared" ca="1" si="0"/>
        <v>263</v>
      </c>
      <c r="Q23" s="158">
        <f t="shared" ca="1" si="1"/>
        <v>72</v>
      </c>
      <c r="R23" s="153">
        <f t="shared" ca="1" si="2"/>
        <v>0</v>
      </c>
      <c r="S23" s="64" cm="1">
        <f t="array" aca="1" ref="S23" ca="1">INDIRECT(A23&amp;"!N5")</f>
        <v>4000</v>
      </c>
      <c r="T23" s="41" cm="1">
        <f t="array" aca="1" ref="T23" ca="1">INDIRECT(A23&amp;"!N6")</f>
        <v>1200</v>
      </c>
      <c r="U23" s="73" cm="1">
        <f t="array" aca="1" ref="U23" ca="1">INDIRECT(A23&amp;"!N7")</f>
        <v>0</v>
      </c>
      <c r="V23" s="72"/>
      <c r="W23" s="64" cm="1">
        <f t="array" aca="1" ref="W23" ca="1">INDIRECT(A23&amp;"!K5")</f>
        <v>40000</v>
      </c>
      <c r="X23" s="41" cm="1">
        <f t="array" aca="1" ref="X23" ca="1">INDIRECT(A23&amp;"!K6")</f>
        <v>0</v>
      </c>
      <c r="Y23" s="73" cm="1">
        <f t="array" aca="1" ref="Y23" ca="1">INDIRECT(A23&amp;"!K7")</f>
        <v>0</v>
      </c>
      <c r="Z23" s="64" cm="1">
        <f t="array" aca="1" ref="Z23" ca="1">INDIRECT(A23&amp;"!L5")</f>
        <v>39700</v>
      </c>
      <c r="AA23" s="41" cm="1">
        <f t="array" aca="1" ref="AA23" ca="1">INDIRECT(A23&amp;"!L6")</f>
        <v>0</v>
      </c>
      <c r="AB23" s="73" cm="1">
        <f t="array" aca="1" ref="AB23" ca="1">INDIRECT(A23&amp;"!L7")</f>
        <v>0</v>
      </c>
      <c r="AC23" s="131">
        <f t="shared" ca="1" si="3"/>
        <v>300</v>
      </c>
      <c r="AD23" s="41">
        <f t="shared" ca="1" si="4"/>
        <v>0</v>
      </c>
      <c r="AE23" s="73">
        <f t="shared" ca="1" si="5"/>
        <v>0</v>
      </c>
    </row>
    <row r="24" spans="1:31">
      <c r="A24" s="112">
        <v>20</v>
      </c>
      <c r="B24" s="113" t="str" cm="1">
        <f t="array" aca="1" ref="B24" ca="1">""&amp;INDIRECT(A24&amp;"!f1")&amp;"-"&amp;INDIRECT(A24&amp;"!g1")&amp;"-"&amp;INDIRECT(A24&amp;"!h1")</f>
        <v>20-3-2026</v>
      </c>
      <c r="C24" s="64" cm="1">
        <f t="array" aca="1" ref="C24" ca="1">IF(J24=0, 0, INDIRECT(A24&amp;"!M3"))</f>
        <v>31400</v>
      </c>
      <c r="D24" s="41" cm="1">
        <f t="array" aca="1" ref="D24" ca="1">IF(J24=0, 0, INDIRECT(A24&amp;"!M4"))</f>
        <v>12250</v>
      </c>
      <c r="E24" s="41" cm="1">
        <f t="array" aca="1" ref="E24" ca="1">IF(J24=0, 0, INDIRECT(A24&amp;"!M5"))</f>
        <v>43650</v>
      </c>
      <c r="F24" s="41" cm="1">
        <f t="array" aca="1" ref="F24" ca="1">IF(K24=0, 0, INDIRECT(A24&amp;"!M6"))</f>
        <v>32150</v>
      </c>
      <c r="G24" s="73" cm="1">
        <f t="array" aca="1" ref="G24" ca="1">IF(L24=0, 0, INDIRECT(A24&amp;"!M7"))</f>
        <v>0</v>
      </c>
      <c r="H24" s="64" cm="1">
        <f t="array" aca="1" ref="H24" ca="1">INDIRECT(A24&amp;"!P3")</f>
        <v>4</v>
      </c>
      <c r="I24" s="41" cm="1">
        <f t="array" aca="1" ref="I24" ca="1">INDIRECT(A24&amp;"!P4")</f>
        <v>-79</v>
      </c>
      <c r="J24" s="41" cm="1">
        <f t="array" aca="1" ref="J24" ca="1">INDIRECT(A24&amp;"!P5")</f>
        <v>-75</v>
      </c>
      <c r="K24" s="41" cm="1">
        <f t="array" aca="1" ref="K24" ca="1">INDIRECT(A24&amp;"!P6")</f>
        <v>-23</v>
      </c>
      <c r="L24" s="73" cm="1">
        <f t="array" aca="1" ref="L24" ca="1">INDIRECT(A24&amp;"!P7")</f>
        <v>0</v>
      </c>
      <c r="M24" s="157" cm="1">
        <f t="array" aca="1" ref="M24" ca="1">J24-INDIRECT(A24&amp;"!n11")</f>
        <v>-75</v>
      </c>
      <c r="N24" s="158" cm="1">
        <f t="array" aca="1" ref="N24" ca="1">K24-INDIRECT(A24&amp;"!n12")</f>
        <v>-23</v>
      </c>
      <c r="O24" s="153" cm="1">
        <f t="array" aca="1" ref="O24" ca="1">L24-INDIRECT(A24&amp;"!n13")</f>
        <v>0</v>
      </c>
      <c r="P24" s="157">
        <f t="shared" ca="1" si="0"/>
        <v>-130.625</v>
      </c>
      <c r="Q24" s="158">
        <f t="shared" ca="1" si="1"/>
        <v>27.375</v>
      </c>
      <c r="R24" s="153">
        <f t="shared" ca="1" si="2"/>
        <v>0</v>
      </c>
      <c r="S24" s="64" cm="1">
        <f t="array" aca="1" ref="S24" ca="1">INDIRECT(A24&amp;"!N5")</f>
        <v>4450</v>
      </c>
      <c r="T24" s="41" cm="1">
        <f t="array" aca="1" ref="T24" ca="1">INDIRECT(A24&amp;"!N6")</f>
        <v>350</v>
      </c>
      <c r="U24" s="73" cm="1">
        <f t="array" aca="1" ref="U24" ca="1">INDIRECT(A24&amp;"!N7")</f>
        <v>0</v>
      </c>
      <c r="V24" s="72"/>
      <c r="W24" s="64" cm="1">
        <f t="array" aca="1" ref="W24" ca="1">INDIRECT(A24&amp;"!K5")</f>
        <v>0</v>
      </c>
      <c r="X24" s="41" cm="1">
        <f t="array" aca="1" ref="X24" ca="1">INDIRECT(A24&amp;"!K6")</f>
        <v>0</v>
      </c>
      <c r="Y24" s="73" cm="1">
        <f t="array" aca="1" ref="Y24" ca="1">INDIRECT(A24&amp;"!K7")</f>
        <v>0</v>
      </c>
      <c r="Z24" s="64" cm="1">
        <f t="array" aca="1" ref="Z24" ca="1">INDIRECT(A24&amp;"!L5")</f>
        <v>0</v>
      </c>
      <c r="AA24" s="41" cm="1">
        <f t="array" aca="1" ref="AA24" ca="1">INDIRECT(A24&amp;"!L6")</f>
        <v>0</v>
      </c>
      <c r="AB24" s="73" cm="1">
        <f t="array" aca="1" ref="AB24" ca="1">INDIRECT(A24&amp;"!L7")</f>
        <v>0</v>
      </c>
      <c r="AC24" s="131">
        <f t="shared" ca="1" si="3"/>
        <v>0</v>
      </c>
      <c r="AD24" s="41">
        <f t="shared" ca="1" si="4"/>
        <v>0</v>
      </c>
      <c r="AE24" s="73">
        <f t="shared" ca="1" si="5"/>
        <v>0</v>
      </c>
    </row>
    <row r="25" spans="1:31">
      <c r="A25" s="112">
        <v>21</v>
      </c>
      <c r="B25" s="113" t="str" cm="1">
        <f t="array" aca="1" ref="B25" ca="1">""&amp;INDIRECT(A25&amp;"!f1")&amp;"-"&amp;INDIRECT(A25&amp;"!g1")&amp;"-"&amp;INDIRECT(A25&amp;"!h1")</f>
        <v>21-3-2026</v>
      </c>
      <c r="C25" s="64" cm="1">
        <f t="array" aca="1" ref="C25" ca="1">IF(J25=0, 0, INDIRECT(A25&amp;"!M3"))</f>
        <v>0</v>
      </c>
      <c r="D25" s="41" cm="1">
        <f t="array" aca="1" ref="D25" ca="1">IF(J25=0, 0, INDIRECT(A25&amp;"!M4"))</f>
        <v>0</v>
      </c>
      <c r="E25" s="41" cm="1">
        <f t="array" aca="1" ref="E25" ca="1">IF(J25=0, 0, INDIRECT(A25&amp;"!M5"))</f>
        <v>0</v>
      </c>
      <c r="F25" s="41" cm="1">
        <f t="array" aca="1" ref="F25" ca="1">IF(K25=0, 0, INDIRECT(A25&amp;"!M6"))</f>
        <v>0</v>
      </c>
      <c r="G25" s="73" cm="1">
        <f t="array" aca="1" ref="G25" ca="1">IF(L25=0, 0, INDIRECT(A25&amp;"!M7"))</f>
        <v>0</v>
      </c>
      <c r="H25" s="64" cm="1">
        <f t="array" aca="1" ref="H25" ca="1">INDIRECT(A25&amp;"!P3")</f>
        <v>0</v>
      </c>
      <c r="I25" s="41" cm="1">
        <f t="array" aca="1" ref="I25" ca="1">INDIRECT(A25&amp;"!P4")</f>
        <v>0</v>
      </c>
      <c r="J25" s="41" cm="1">
        <f t="array" aca="1" ref="J25" ca="1">INDIRECT(A25&amp;"!P5")</f>
        <v>0</v>
      </c>
      <c r="K25" s="41" cm="1">
        <f t="array" aca="1" ref="K25" ca="1">INDIRECT(A25&amp;"!P6")</f>
        <v>0</v>
      </c>
      <c r="L25" s="73" cm="1">
        <f t="array" aca="1" ref="L25" ca="1">INDIRECT(A25&amp;"!P7")</f>
        <v>0</v>
      </c>
      <c r="M25" s="157" cm="1">
        <f t="array" aca="1" ref="M25" ca="1">J25-INDIRECT(A25&amp;"!n11")</f>
        <v>0</v>
      </c>
      <c r="N25" s="158" cm="1">
        <f t="array" aca="1" ref="N25" ca="1">K25-INDIRECT(A25&amp;"!n12")</f>
        <v>0</v>
      </c>
      <c r="O25" s="153" cm="1">
        <f t="array" aca="1" ref="O25" ca="1">L25-INDIRECT(A25&amp;"!n13")</f>
        <v>0</v>
      </c>
      <c r="P25" s="157">
        <f t="shared" ca="1" si="0"/>
        <v>0</v>
      </c>
      <c r="Q25" s="158">
        <f t="shared" ca="1" si="1"/>
        <v>0</v>
      </c>
      <c r="R25" s="153">
        <f t="shared" ca="1" si="2"/>
        <v>0</v>
      </c>
      <c r="S25" s="64" cm="1">
        <f t="array" aca="1" ref="S25" ca="1">INDIRECT(A25&amp;"!N5")</f>
        <v>0</v>
      </c>
      <c r="T25" s="41" cm="1">
        <f t="array" aca="1" ref="T25" ca="1">INDIRECT(A25&amp;"!N6")</f>
        <v>0</v>
      </c>
      <c r="U25" s="73" cm="1">
        <f t="array" aca="1" ref="U25" ca="1">INDIRECT(A25&amp;"!N7")</f>
        <v>0</v>
      </c>
      <c r="V25" s="72"/>
      <c r="W25" s="64" cm="1">
        <f t="array" aca="1" ref="W25" ca="1">INDIRECT(A25&amp;"!K5")</f>
        <v>0</v>
      </c>
      <c r="X25" s="41" cm="1">
        <f t="array" aca="1" ref="X25" ca="1">INDIRECT(A25&amp;"!K6")</f>
        <v>0</v>
      </c>
      <c r="Y25" s="73" cm="1">
        <f t="array" aca="1" ref="Y25" ca="1">INDIRECT(A25&amp;"!K7")</f>
        <v>0</v>
      </c>
      <c r="Z25" s="64" cm="1">
        <f t="array" aca="1" ref="Z25" ca="1">INDIRECT(A25&amp;"!L5")</f>
        <v>0</v>
      </c>
      <c r="AA25" s="41" cm="1">
        <f t="array" aca="1" ref="AA25" ca="1">INDIRECT(A25&amp;"!L6")</f>
        <v>0</v>
      </c>
      <c r="AB25" s="73" cm="1">
        <f t="array" aca="1" ref="AB25" ca="1">INDIRECT(A25&amp;"!L7")</f>
        <v>0</v>
      </c>
      <c r="AC25" s="131">
        <f t="shared" ca="1" si="3"/>
        <v>0</v>
      </c>
      <c r="AD25" s="41">
        <f t="shared" ca="1" si="4"/>
        <v>0</v>
      </c>
      <c r="AE25" s="73">
        <f t="shared" ca="1" si="5"/>
        <v>0</v>
      </c>
    </row>
    <row r="26" spans="1:31">
      <c r="A26" s="112">
        <v>22</v>
      </c>
      <c r="B26" s="113" t="str" cm="1">
        <f t="array" aca="1" ref="B26" ca="1">""&amp;INDIRECT(A26&amp;"!f1")&amp;"-"&amp;INDIRECT(A26&amp;"!g1")&amp;"-"&amp;INDIRECT(A26&amp;"!h1")</f>
        <v>22-3-2026</v>
      </c>
      <c r="C26" s="64" cm="1">
        <f t="array" aca="1" ref="C26" ca="1">IF(J26=0, 0, INDIRECT(A26&amp;"!M3"))</f>
        <v>0</v>
      </c>
      <c r="D26" s="41" cm="1">
        <f t="array" aca="1" ref="D26" ca="1">IF(J26=0, 0, INDIRECT(A26&amp;"!M4"))</f>
        <v>0</v>
      </c>
      <c r="E26" s="41" cm="1">
        <f t="array" aca="1" ref="E26" ca="1">IF(J26=0, 0, INDIRECT(A26&amp;"!M5"))</f>
        <v>0</v>
      </c>
      <c r="F26" s="41" cm="1">
        <f t="array" aca="1" ref="F26" ca="1">IF(K26=0, 0, INDIRECT(A26&amp;"!M6"))</f>
        <v>0</v>
      </c>
      <c r="G26" s="73" cm="1">
        <f t="array" aca="1" ref="G26" ca="1">IF(L26=0, 0, INDIRECT(A26&amp;"!M7"))</f>
        <v>0</v>
      </c>
      <c r="H26" s="64" cm="1">
        <f t="array" aca="1" ref="H26" ca="1">INDIRECT(A26&amp;"!P3")</f>
        <v>0</v>
      </c>
      <c r="I26" s="41" cm="1">
        <f t="array" aca="1" ref="I26" ca="1">INDIRECT(A26&amp;"!P4")</f>
        <v>0</v>
      </c>
      <c r="J26" s="41" cm="1">
        <f t="array" aca="1" ref="J26" ca="1">INDIRECT(A26&amp;"!P5")</f>
        <v>0</v>
      </c>
      <c r="K26" s="41" cm="1">
        <f t="array" aca="1" ref="K26" ca="1">INDIRECT(A26&amp;"!P6")</f>
        <v>0</v>
      </c>
      <c r="L26" s="73" cm="1">
        <f t="array" aca="1" ref="L26" ca="1">INDIRECT(A26&amp;"!P7")</f>
        <v>0</v>
      </c>
      <c r="M26" s="157" cm="1">
        <f t="array" aca="1" ref="M26" ca="1">J26-INDIRECT(A26&amp;"!n11")</f>
        <v>0</v>
      </c>
      <c r="N26" s="158" cm="1">
        <f t="array" aca="1" ref="N26" ca="1">K26-INDIRECT(A26&amp;"!n12")</f>
        <v>0</v>
      </c>
      <c r="O26" s="153" cm="1">
        <f t="array" aca="1" ref="O26" ca="1">L26-INDIRECT(A26&amp;"!n13")</f>
        <v>0</v>
      </c>
      <c r="P26" s="157">
        <f t="shared" ca="1" si="0"/>
        <v>0</v>
      </c>
      <c r="Q26" s="158">
        <f t="shared" ca="1" si="1"/>
        <v>0</v>
      </c>
      <c r="R26" s="153">
        <f t="shared" ca="1" si="2"/>
        <v>0</v>
      </c>
      <c r="S26" s="64" cm="1">
        <f t="array" aca="1" ref="S26" ca="1">INDIRECT(A26&amp;"!N5")</f>
        <v>0</v>
      </c>
      <c r="T26" s="41" cm="1">
        <f t="array" aca="1" ref="T26" ca="1">INDIRECT(A26&amp;"!N6")</f>
        <v>0</v>
      </c>
      <c r="U26" s="73" cm="1">
        <f t="array" aca="1" ref="U26" ca="1">INDIRECT(A26&amp;"!N7")</f>
        <v>0</v>
      </c>
      <c r="V26" s="72"/>
      <c r="W26" s="64" cm="1">
        <f t="array" aca="1" ref="W26" ca="1">INDIRECT(A26&amp;"!K5")</f>
        <v>0</v>
      </c>
      <c r="X26" s="41" cm="1">
        <f t="array" aca="1" ref="X26" ca="1">INDIRECT(A26&amp;"!K6")</f>
        <v>0</v>
      </c>
      <c r="Y26" s="73" cm="1">
        <f t="array" aca="1" ref="Y26" ca="1">INDIRECT(A26&amp;"!K7")</f>
        <v>0</v>
      </c>
      <c r="Z26" s="64" cm="1">
        <f t="array" aca="1" ref="Z26" ca="1">INDIRECT(A26&amp;"!L5")</f>
        <v>0</v>
      </c>
      <c r="AA26" s="41" cm="1">
        <f t="array" aca="1" ref="AA26" ca="1">INDIRECT(A26&amp;"!L6")</f>
        <v>0</v>
      </c>
      <c r="AB26" s="73" cm="1">
        <f t="array" aca="1" ref="AB26" ca="1">INDIRECT(A26&amp;"!L7")</f>
        <v>0</v>
      </c>
      <c r="AC26" s="131">
        <f t="shared" ca="1" si="3"/>
        <v>0</v>
      </c>
      <c r="AD26" s="41">
        <f t="shared" ca="1" si="4"/>
        <v>0</v>
      </c>
      <c r="AE26" s="73">
        <f t="shared" ca="1" si="5"/>
        <v>0</v>
      </c>
    </row>
    <row r="27" spans="1:31">
      <c r="A27" s="112">
        <v>23</v>
      </c>
      <c r="B27" s="113" t="str" cm="1">
        <f t="array" aca="1" ref="B27" ca="1">""&amp;INDIRECT(A27&amp;"!f1")&amp;"-"&amp;INDIRECT(A27&amp;"!g1")&amp;"-"&amp;INDIRECT(A27&amp;"!h1")</f>
        <v>23-3-2026</v>
      </c>
      <c r="C27" s="64" cm="1">
        <f t="array" aca="1" ref="C27" ca="1">IF(J27=0, 0, INDIRECT(A27&amp;"!M3"))</f>
        <v>0</v>
      </c>
      <c r="D27" s="41" cm="1">
        <f t="array" aca="1" ref="D27" ca="1">IF(J27=0, 0, INDIRECT(A27&amp;"!M4"))</f>
        <v>0</v>
      </c>
      <c r="E27" s="41" cm="1">
        <f t="array" aca="1" ref="E27" ca="1">IF(J27=0, 0, INDIRECT(A27&amp;"!M5"))</f>
        <v>0</v>
      </c>
      <c r="F27" s="41" cm="1">
        <f t="array" aca="1" ref="F27" ca="1">IF(K27=0, 0, INDIRECT(A27&amp;"!M6"))</f>
        <v>0</v>
      </c>
      <c r="G27" s="73" cm="1">
        <f t="array" aca="1" ref="G27" ca="1">IF(L27=0, 0, INDIRECT(A27&amp;"!M7"))</f>
        <v>0</v>
      </c>
      <c r="H27" s="64" cm="1">
        <f t="array" aca="1" ref="H27" ca="1">INDIRECT(A27&amp;"!P3")</f>
        <v>0</v>
      </c>
      <c r="I27" s="41" cm="1">
        <f t="array" aca="1" ref="I27" ca="1">INDIRECT(A27&amp;"!P4")</f>
        <v>0</v>
      </c>
      <c r="J27" s="41" cm="1">
        <f t="array" aca="1" ref="J27" ca="1">INDIRECT(A27&amp;"!P5")</f>
        <v>0</v>
      </c>
      <c r="K27" s="41" cm="1">
        <f t="array" aca="1" ref="K27" ca="1">INDIRECT(A27&amp;"!P6")</f>
        <v>0</v>
      </c>
      <c r="L27" s="73" cm="1">
        <f t="array" aca="1" ref="L27" ca="1">INDIRECT(A27&amp;"!P7")</f>
        <v>0</v>
      </c>
      <c r="M27" s="157" cm="1">
        <f t="array" aca="1" ref="M27" ca="1">J27-INDIRECT(A27&amp;"!n11")</f>
        <v>0</v>
      </c>
      <c r="N27" s="158" cm="1">
        <f t="array" aca="1" ref="N27" ca="1">K27-INDIRECT(A27&amp;"!n12")</f>
        <v>0</v>
      </c>
      <c r="O27" s="153" cm="1">
        <f t="array" aca="1" ref="O27" ca="1">L27-INDIRECT(A27&amp;"!n13")</f>
        <v>0</v>
      </c>
      <c r="P27" s="157">
        <f t="shared" ca="1" si="0"/>
        <v>0</v>
      </c>
      <c r="Q27" s="158">
        <f t="shared" ca="1" si="1"/>
        <v>0</v>
      </c>
      <c r="R27" s="153">
        <f t="shared" ca="1" si="2"/>
        <v>0</v>
      </c>
      <c r="S27" s="64" cm="1">
        <f t="array" aca="1" ref="S27" ca="1">INDIRECT(A27&amp;"!N5")</f>
        <v>0</v>
      </c>
      <c r="T27" s="41" cm="1">
        <f t="array" aca="1" ref="T27" ca="1">INDIRECT(A27&amp;"!N6")</f>
        <v>0</v>
      </c>
      <c r="U27" s="73" cm="1">
        <f t="array" aca="1" ref="U27" ca="1">INDIRECT(A27&amp;"!N7")</f>
        <v>0</v>
      </c>
      <c r="V27" s="72"/>
      <c r="W27" s="64" cm="1">
        <f t="array" aca="1" ref="W27" ca="1">INDIRECT(A27&amp;"!K5")</f>
        <v>0</v>
      </c>
      <c r="X27" s="41" cm="1">
        <f t="array" aca="1" ref="X27" ca="1">INDIRECT(A27&amp;"!K6")</f>
        <v>0</v>
      </c>
      <c r="Y27" s="73" cm="1">
        <f t="array" aca="1" ref="Y27" ca="1">INDIRECT(A27&amp;"!K7")</f>
        <v>0</v>
      </c>
      <c r="Z27" s="64" cm="1">
        <f t="array" aca="1" ref="Z27" ca="1">INDIRECT(A27&amp;"!L5")</f>
        <v>0</v>
      </c>
      <c r="AA27" s="41" cm="1">
        <f t="array" aca="1" ref="AA27" ca="1">INDIRECT(A27&amp;"!L6")</f>
        <v>0</v>
      </c>
      <c r="AB27" s="73" cm="1">
        <f t="array" aca="1" ref="AB27" ca="1">INDIRECT(A27&amp;"!L7")</f>
        <v>0</v>
      </c>
      <c r="AC27" s="131">
        <f t="shared" ca="1" si="3"/>
        <v>0</v>
      </c>
      <c r="AD27" s="41">
        <f t="shared" ca="1" si="4"/>
        <v>0</v>
      </c>
      <c r="AE27" s="73">
        <f t="shared" ca="1" si="5"/>
        <v>0</v>
      </c>
    </row>
    <row r="28" spans="1:31">
      <c r="A28" s="112">
        <v>24</v>
      </c>
      <c r="B28" s="113" t="str" cm="1">
        <f t="array" aca="1" ref="B28" ca="1">""&amp;INDIRECT(A28&amp;"!f1")&amp;"-"&amp;INDIRECT(A28&amp;"!g1")&amp;"-"&amp;INDIRECT(A28&amp;"!h1")</f>
        <v>24-3-2026</v>
      </c>
      <c r="C28" s="64" cm="1">
        <f t="array" aca="1" ref="C28" ca="1">IF(J28=0, 0, INDIRECT(A28&amp;"!M3"))</f>
        <v>0</v>
      </c>
      <c r="D28" s="41" cm="1">
        <f t="array" aca="1" ref="D28" ca="1">IF(J28=0, 0, INDIRECT(A28&amp;"!M4"))</f>
        <v>0</v>
      </c>
      <c r="E28" s="41" cm="1">
        <f t="array" aca="1" ref="E28" ca="1">IF(J28=0, 0, INDIRECT(A28&amp;"!M5"))</f>
        <v>0</v>
      </c>
      <c r="F28" s="41" cm="1">
        <f t="array" aca="1" ref="F28" ca="1">IF(K28=0, 0, INDIRECT(A28&amp;"!M6"))</f>
        <v>0</v>
      </c>
      <c r="G28" s="73" cm="1">
        <f t="array" aca="1" ref="G28" ca="1">IF(L28=0, 0, INDIRECT(A28&amp;"!M7"))</f>
        <v>0</v>
      </c>
      <c r="H28" s="64" cm="1">
        <f t="array" aca="1" ref="H28" ca="1">INDIRECT(A28&amp;"!P3")</f>
        <v>0</v>
      </c>
      <c r="I28" s="41" cm="1">
        <f t="array" aca="1" ref="I28" ca="1">INDIRECT(A28&amp;"!P4")</f>
        <v>0</v>
      </c>
      <c r="J28" s="41" cm="1">
        <f t="array" aca="1" ref="J28" ca="1">INDIRECT(A28&amp;"!P5")</f>
        <v>0</v>
      </c>
      <c r="K28" s="41" cm="1">
        <f t="array" aca="1" ref="K28" ca="1">INDIRECT(A28&amp;"!P6")</f>
        <v>0</v>
      </c>
      <c r="L28" s="73" cm="1">
        <f t="array" aca="1" ref="L28" ca="1">INDIRECT(A28&amp;"!P7")</f>
        <v>0</v>
      </c>
      <c r="M28" s="157" cm="1">
        <f t="array" aca="1" ref="M28" ca="1">J28-INDIRECT(A28&amp;"!n11")</f>
        <v>0</v>
      </c>
      <c r="N28" s="158" cm="1">
        <f t="array" aca="1" ref="N28" ca="1">K28-INDIRECT(A28&amp;"!n12")</f>
        <v>0</v>
      </c>
      <c r="O28" s="153" cm="1">
        <f t="array" aca="1" ref="O28" ca="1">L28-INDIRECT(A28&amp;"!n13")</f>
        <v>0</v>
      </c>
      <c r="P28" s="157">
        <f t="shared" ca="1" si="0"/>
        <v>0</v>
      </c>
      <c r="Q28" s="158">
        <f t="shared" ca="1" si="1"/>
        <v>0</v>
      </c>
      <c r="R28" s="153">
        <f t="shared" ca="1" si="2"/>
        <v>0</v>
      </c>
      <c r="S28" s="64" cm="1">
        <f t="array" aca="1" ref="S28" ca="1">INDIRECT(A28&amp;"!N5")</f>
        <v>0</v>
      </c>
      <c r="T28" s="41" cm="1">
        <f t="array" aca="1" ref="T28" ca="1">INDIRECT(A28&amp;"!N6")</f>
        <v>0</v>
      </c>
      <c r="U28" s="73" cm="1">
        <f t="array" aca="1" ref="U28" ca="1">INDIRECT(A28&amp;"!N7")</f>
        <v>0</v>
      </c>
      <c r="V28" s="72"/>
      <c r="W28" s="64" cm="1">
        <f t="array" aca="1" ref="W28" ca="1">INDIRECT(A28&amp;"!K5")</f>
        <v>0</v>
      </c>
      <c r="X28" s="41" cm="1">
        <f t="array" aca="1" ref="X28" ca="1">INDIRECT(A28&amp;"!K6")</f>
        <v>0</v>
      </c>
      <c r="Y28" s="73" cm="1">
        <f t="array" aca="1" ref="Y28" ca="1">INDIRECT(A28&amp;"!K7")</f>
        <v>0</v>
      </c>
      <c r="Z28" s="64" cm="1">
        <f t="array" aca="1" ref="Z28" ca="1">INDIRECT(A28&amp;"!L5")</f>
        <v>0</v>
      </c>
      <c r="AA28" s="41" cm="1">
        <f t="array" aca="1" ref="AA28" ca="1">INDIRECT(A28&amp;"!L6")</f>
        <v>0</v>
      </c>
      <c r="AB28" s="73" cm="1">
        <f t="array" aca="1" ref="AB28" ca="1">INDIRECT(A28&amp;"!L7")</f>
        <v>0</v>
      </c>
      <c r="AC28" s="131">
        <f t="shared" ca="1" si="3"/>
        <v>0</v>
      </c>
      <c r="AD28" s="41">
        <f t="shared" ca="1" si="4"/>
        <v>0</v>
      </c>
      <c r="AE28" s="73">
        <f t="shared" ca="1" si="5"/>
        <v>0</v>
      </c>
    </row>
    <row r="29" spans="1:31">
      <c r="A29" s="112">
        <v>25</v>
      </c>
      <c r="B29" s="113" t="str" cm="1">
        <f t="array" aca="1" ref="B29" ca="1">""&amp;INDIRECT(A29&amp;"!f1")&amp;"-"&amp;INDIRECT(A29&amp;"!g1")&amp;"-"&amp;INDIRECT(A29&amp;"!h1")</f>
        <v>25-3-2026</v>
      </c>
      <c r="C29" s="64" cm="1">
        <f t="array" aca="1" ref="C29" ca="1">IF(J29=0, 0, INDIRECT(A29&amp;"!M3"))</f>
        <v>0</v>
      </c>
      <c r="D29" s="41" cm="1">
        <f t="array" aca="1" ref="D29" ca="1">IF(J29=0, 0, INDIRECT(A29&amp;"!M4"))</f>
        <v>0</v>
      </c>
      <c r="E29" s="41" cm="1">
        <f t="array" aca="1" ref="E29" ca="1">IF(J29=0, 0, INDIRECT(A29&amp;"!M5"))</f>
        <v>0</v>
      </c>
      <c r="F29" s="41" cm="1">
        <f t="array" aca="1" ref="F29" ca="1">IF(K29=0, 0, INDIRECT(A29&amp;"!M6"))</f>
        <v>0</v>
      </c>
      <c r="G29" s="73" cm="1">
        <f t="array" aca="1" ref="G29" ca="1">IF(L29=0, 0, INDIRECT(A29&amp;"!M7"))</f>
        <v>0</v>
      </c>
      <c r="H29" s="64" cm="1">
        <f t="array" aca="1" ref="H29" ca="1">INDIRECT(A29&amp;"!P3")</f>
        <v>0</v>
      </c>
      <c r="I29" s="41" cm="1">
        <f t="array" aca="1" ref="I29" ca="1">INDIRECT(A29&amp;"!P4")</f>
        <v>0</v>
      </c>
      <c r="J29" s="41" cm="1">
        <f t="array" aca="1" ref="J29" ca="1">INDIRECT(A29&amp;"!P5")</f>
        <v>0</v>
      </c>
      <c r="K29" s="41" cm="1">
        <f t="array" aca="1" ref="K29" ca="1">INDIRECT(A29&amp;"!P6")</f>
        <v>0</v>
      </c>
      <c r="L29" s="73" cm="1">
        <f t="array" aca="1" ref="L29" ca="1">INDIRECT(A29&amp;"!P7")</f>
        <v>0</v>
      </c>
      <c r="M29" s="157" cm="1">
        <f t="array" aca="1" ref="M29" ca="1">J29-INDIRECT(A29&amp;"!n11")</f>
        <v>0</v>
      </c>
      <c r="N29" s="158" cm="1">
        <f t="array" aca="1" ref="N29" ca="1">K29-INDIRECT(A29&amp;"!n12")</f>
        <v>0</v>
      </c>
      <c r="O29" s="153" cm="1">
        <f t="array" aca="1" ref="O29" ca="1">L29-INDIRECT(A29&amp;"!n13")</f>
        <v>0</v>
      </c>
      <c r="P29" s="157">
        <f t="shared" ca="1" si="0"/>
        <v>0</v>
      </c>
      <c r="Q29" s="158">
        <f t="shared" ca="1" si="1"/>
        <v>0</v>
      </c>
      <c r="R29" s="153">
        <f t="shared" ca="1" si="2"/>
        <v>0</v>
      </c>
      <c r="S29" s="64" cm="1">
        <f t="array" aca="1" ref="S29" ca="1">INDIRECT(A29&amp;"!N5")</f>
        <v>0</v>
      </c>
      <c r="T29" s="41" cm="1">
        <f t="array" aca="1" ref="T29" ca="1">INDIRECT(A29&amp;"!N6")</f>
        <v>0</v>
      </c>
      <c r="U29" s="73" cm="1">
        <f t="array" aca="1" ref="U29" ca="1">INDIRECT(A29&amp;"!N7")</f>
        <v>0</v>
      </c>
      <c r="V29" s="72"/>
      <c r="W29" s="64" cm="1">
        <f t="array" aca="1" ref="W29" ca="1">INDIRECT(A29&amp;"!K5")</f>
        <v>0</v>
      </c>
      <c r="X29" s="41" cm="1">
        <f t="array" aca="1" ref="X29" ca="1">INDIRECT(A29&amp;"!K6")</f>
        <v>0</v>
      </c>
      <c r="Y29" s="73" cm="1">
        <f t="array" aca="1" ref="Y29" ca="1">INDIRECT(A29&amp;"!K7")</f>
        <v>0</v>
      </c>
      <c r="Z29" s="64" cm="1">
        <f t="array" aca="1" ref="Z29" ca="1">INDIRECT(A29&amp;"!L5")</f>
        <v>0</v>
      </c>
      <c r="AA29" s="41" cm="1">
        <f t="array" aca="1" ref="AA29" ca="1">INDIRECT(A29&amp;"!L6")</f>
        <v>0</v>
      </c>
      <c r="AB29" s="73" cm="1">
        <f t="array" aca="1" ref="AB29" ca="1">INDIRECT(A29&amp;"!L7")</f>
        <v>0</v>
      </c>
      <c r="AC29" s="131">
        <f t="shared" ca="1" si="3"/>
        <v>0</v>
      </c>
      <c r="AD29" s="41">
        <f t="shared" ca="1" si="4"/>
        <v>0</v>
      </c>
      <c r="AE29" s="73">
        <f t="shared" ca="1" si="5"/>
        <v>0</v>
      </c>
    </row>
    <row r="30" spans="1:31">
      <c r="A30" s="112">
        <v>26</v>
      </c>
      <c r="B30" s="113" t="str" cm="1">
        <f t="array" aca="1" ref="B30" ca="1">""&amp;INDIRECT(A30&amp;"!f1")&amp;"-"&amp;INDIRECT(A30&amp;"!g1")&amp;"-"&amp;INDIRECT(A30&amp;"!h1")</f>
        <v>26-3-2026</v>
      </c>
      <c r="C30" s="64" cm="1">
        <f t="array" aca="1" ref="C30" ca="1">IF(J30=0, 0, INDIRECT(A30&amp;"!M3"))</f>
        <v>0</v>
      </c>
      <c r="D30" s="41" cm="1">
        <f t="array" aca="1" ref="D30" ca="1">IF(J30=0, 0, INDIRECT(A30&amp;"!M4"))</f>
        <v>0</v>
      </c>
      <c r="E30" s="41" cm="1">
        <f t="array" aca="1" ref="E30" ca="1">IF(J30=0, 0, INDIRECT(A30&amp;"!M5"))</f>
        <v>0</v>
      </c>
      <c r="F30" s="41" cm="1">
        <f t="array" aca="1" ref="F30" ca="1">IF(K30=0, 0, INDIRECT(A30&amp;"!M6"))</f>
        <v>0</v>
      </c>
      <c r="G30" s="73" cm="1">
        <f t="array" aca="1" ref="G30" ca="1">IF(L30=0, 0, INDIRECT(A30&amp;"!M7"))</f>
        <v>0</v>
      </c>
      <c r="H30" s="64" cm="1">
        <f t="array" aca="1" ref="H30" ca="1">INDIRECT(A30&amp;"!P3")</f>
        <v>0</v>
      </c>
      <c r="I30" s="41" cm="1">
        <f t="array" aca="1" ref="I30" ca="1">INDIRECT(A30&amp;"!P4")</f>
        <v>0</v>
      </c>
      <c r="J30" s="41" cm="1">
        <f t="array" aca="1" ref="J30" ca="1">INDIRECT(A30&amp;"!P5")</f>
        <v>0</v>
      </c>
      <c r="K30" s="41" cm="1">
        <f t="array" aca="1" ref="K30" ca="1">INDIRECT(A30&amp;"!P6")</f>
        <v>0</v>
      </c>
      <c r="L30" s="73" cm="1">
        <f t="array" aca="1" ref="L30" ca="1">INDIRECT(A30&amp;"!P7")</f>
        <v>0</v>
      </c>
      <c r="M30" s="157" cm="1">
        <f t="array" aca="1" ref="M30" ca="1">J30-INDIRECT(A30&amp;"!n11")</f>
        <v>0</v>
      </c>
      <c r="N30" s="158" cm="1">
        <f t="array" aca="1" ref="N30" ca="1">K30-INDIRECT(A30&amp;"!n12")</f>
        <v>0</v>
      </c>
      <c r="O30" s="153" cm="1">
        <f t="array" aca="1" ref="O30" ca="1">L30-INDIRECT(A30&amp;"!n13")</f>
        <v>0</v>
      </c>
      <c r="P30" s="157">
        <f t="shared" ca="1" si="0"/>
        <v>0</v>
      </c>
      <c r="Q30" s="158">
        <f t="shared" ca="1" si="1"/>
        <v>0</v>
      </c>
      <c r="R30" s="153">
        <f t="shared" ca="1" si="2"/>
        <v>0</v>
      </c>
      <c r="S30" s="64" cm="1">
        <f t="array" aca="1" ref="S30" ca="1">INDIRECT(A30&amp;"!N5")</f>
        <v>0</v>
      </c>
      <c r="T30" s="41" cm="1">
        <f t="array" aca="1" ref="T30" ca="1">INDIRECT(A30&amp;"!N6")</f>
        <v>0</v>
      </c>
      <c r="U30" s="73" cm="1">
        <f t="array" aca="1" ref="U30" ca="1">INDIRECT(A30&amp;"!N7")</f>
        <v>0</v>
      </c>
      <c r="V30" s="72"/>
      <c r="W30" s="64" cm="1">
        <f t="array" aca="1" ref="W30" ca="1">INDIRECT(A30&amp;"!K5")</f>
        <v>0</v>
      </c>
      <c r="X30" s="41" cm="1">
        <f t="array" aca="1" ref="X30" ca="1">INDIRECT(A30&amp;"!K6")</f>
        <v>0</v>
      </c>
      <c r="Y30" s="73" cm="1">
        <f t="array" aca="1" ref="Y30" ca="1">INDIRECT(A30&amp;"!K7")</f>
        <v>0</v>
      </c>
      <c r="Z30" s="64" cm="1">
        <f t="array" aca="1" ref="Z30" ca="1">INDIRECT(A30&amp;"!L5")</f>
        <v>0</v>
      </c>
      <c r="AA30" s="41" cm="1">
        <f t="array" aca="1" ref="AA30" ca="1">INDIRECT(A30&amp;"!L6")</f>
        <v>0</v>
      </c>
      <c r="AB30" s="73" cm="1">
        <f t="array" aca="1" ref="AB30" ca="1">INDIRECT(A30&amp;"!L7")</f>
        <v>0</v>
      </c>
      <c r="AC30" s="131">
        <f t="shared" ca="1" si="3"/>
        <v>0</v>
      </c>
      <c r="AD30" s="41">
        <f t="shared" ca="1" si="4"/>
        <v>0</v>
      </c>
      <c r="AE30" s="73">
        <f t="shared" ca="1" si="5"/>
        <v>0</v>
      </c>
    </row>
    <row r="31" spans="1:31">
      <c r="A31" s="112">
        <v>27</v>
      </c>
      <c r="B31" s="113" t="str" cm="1">
        <f t="array" aca="1" ref="B31" ca="1">""&amp;INDIRECT(A31&amp;"!f1")&amp;"-"&amp;INDIRECT(A31&amp;"!g1")&amp;"-"&amp;INDIRECT(A31&amp;"!h1")</f>
        <v>27-3-2026</v>
      </c>
      <c r="C31" s="64" cm="1">
        <f t="array" aca="1" ref="C31" ca="1">IF(J31=0, 0, INDIRECT(A31&amp;"!M3"))</f>
        <v>0</v>
      </c>
      <c r="D31" s="41" cm="1">
        <f t="array" aca="1" ref="D31" ca="1">IF(J31=0, 0, INDIRECT(A31&amp;"!M4"))</f>
        <v>0</v>
      </c>
      <c r="E31" s="41" cm="1">
        <f t="array" aca="1" ref="E31" ca="1">IF(J31=0, 0, INDIRECT(A31&amp;"!M5"))</f>
        <v>0</v>
      </c>
      <c r="F31" s="41" cm="1">
        <f t="array" aca="1" ref="F31" ca="1">IF(K31=0, 0, INDIRECT(A31&amp;"!M6"))</f>
        <v>0</v>
      </c>
      <c r="G31" s="73" cm="1">
        <f t="array" aca="1" ref="G31" ca="1">IF(L31=0, 0, INDIRECT(A31&amp;"!M7"))</f>
        <v>0</v>
      </c>
      <c r="H31" s="64" cm="1">
        <f t="array" aca="1" ref="H31" ca="1">INDIRECT(A31&amp;"!P3")</f>
        <v>0</v>
      </c>
      <c r="I31" s="41" cm="1">
        <f t="array" aca="1" ref="I31" ca="1">INDIRECT(A31&amp;"!P4")</f>
        <v>0</v>
      </c>
      <c r="J31" s="41" cm="1">
        <f t="array" aca="1" ref="J31" ca="1">INDIRECT(A31&amp;"!P5")</f>
        <v>0</v>
      </c>
      <c r="K31" s="41" cm="1">
        <f t="array" aca="1" ref="K31" ca="1">INDIRECT(A31&amp;"!P6")</f>
        <v>0</v>
      </c>
      <c r="L31" s="73" cm="1">
        <f t="array" aca="1" ref="L31" ca="1">INDIRECT(A31&amp;"!P7")</f>
        <v>0</v>
      </c>
      <c r="M31" s="157" cm="1">
        <f t="array" aca="1" ref="M31" ca="1">J31-INDIRECT(A31&amp;"!n11")</f>
        <v>0</v>
      </c>
      <c r="N31" s="158" cm="1">
        <f t="array" aca="1" ref="N31" ca="1">K31-INDIRECT(A31&amp;"!n12")</f>
        <v>0</v>
      </c>
      <c r="O31" s="153" cm="1">
        <f t="array" aca="1" ref="O31" ca="1">L31-INDIRECT(A31&amp;"!n13")</f>
        <v>0</v>
      </c>
      <c r="P31" s="157">
        <f t="shared" ca="1" si="0"/>
        <v>0</v>
      </c>
      <c r="Q31" s="158">
        <f t="shared" ca="1" si="1"/>
        <v>0</v>
      </c>
      <c r="R31" s="153">
        <f t="shared" ca="1" si="2"/>
        <v>0</v>
      </c>
      <c r="S31" s="64" cm="1">
        <f t="array" aca="1" ref="S31" ca="1">INDIRECT(A31&amp;"!N5")</f>
        <v>0</v>
      </c>
      <c r="T31" s="41" cm="1">
        <f t="array" aca="1" ref="T31" ca="1">INDIRECT(A31&amp;"!N6")</f>
        <v>0</v>
      </c>
      <c r="U31" s="73" cm="1">
        <f t="array" aca="1" ref="U31" ca="1">INDIRECT(A31&amp;"!N7")</f>
        <v>0</v>
      </c>
      <c r="V31" s="72"/>
      <c r="W31" s="64" cm="1">
        <f t="array" aca="1" ref="W31" ca="1">INDIRECT(A31&amp;"!K5")</f>
        <v>0</v>
      </c>
      <c r="X31" s="41" cm="1">
        <f t="array" aca="1" ref="X31" ca="1">INDIRECT(A31&amp;"!K6")</f>
        <v>0</v>
      </c>
      <c r="Y31" s="73" cm="1">
        <f t="array" aca="1" ref="Y31" ca="1">INDIRECT(A31&amp;"!K7")</f>
        <v>0</v>
      </c>
      <c r="Z31" s="64" cm="1">
        <f t="array" aca="1" ref="Z31" ca="1">INDIRECT(A31&amp;"!L5")</f>
        <v>0</v>
      </c>
      <c r="AA31" s="41" cm="1">
        <f t="array" aca="1" ref="AA31" ca="1">INDIRECT(A31&amp;"!L6")</f>
        <v>0</v>
      </c>
      <c r="AB31" s="73" cm="1">
        <f t="array" aca="1" ref="AB31" ca="1">INDIRECT(A31&amp;"!L7")</f>
        <v>0</v>
      </c>
      <c r="AC31" s="131">
        <f t="shared" ca="1" si="3"/>
        <v>0</v>
      </c>
      <c r="AD31" s="41">
        <f t="shared" ca="1" si="4"/>
        <v>0</v>
      </c>
      <c r="AE31" s="73">
        <f t="shared" ca="1" si="5"/>
        <v>0</v>
      </c>
    </row>
    <row r="32" spans="1:31">
      <c r="A32" s="112">
        <v>28</v>
      </c>
      <c r="B32" s="113" t="str" cm="1">
        <f t="array" aca="1" ref="B32" ca="1">""&amp;INDIRECT(A32&amp;"!f1")&amp;"-"&amp;INDIRECT(A32&amp;"!g1")&amp;"-"&amp;INDIRECT(A32&amp;"!h1")</f>
        <v>28-3-2026</v>
      </c>
      <c r="C32" s="64" cm="1">
        <f t="array" aca="1" ref="C32" ca="1">IF(J32=0, 0, INDIRECT(A32&amp;"!M3"))</f>
        <v>0</v>
      </c>
      <c r="D32" s="41" cm="1">
        <f t="array" aca="1" ref="D32" ca="1">IF(J32=0, 0, INDIRECT(A32&amp;"!M4"))</f>
        <v>0</v>
      </c>
      <c r="E32" s="41" cm="1">
        <f t="array" aca="1" ref="E32" ca="1">IF(J32=0, 0, INDIRECT(A32&amp;"!M5"))</f>
        <v>0</v>
      </c>
      <c r="F32" s="41" cm="1">
        <f t="array" aca="1" ref="F32" ca="1">IF(K32=0, 0, INDIRECT(A32&amp;"!M6"))</f>
        <v>0</v>
      </c>
      <c r="G32" s="73" cm="1">
        <f t="array" aca="1" ref="G32" ca="1">IF(L32=0, 0, INDIRECT(A32&amp;"!M7"))</f>
        <v>0</v>
      </c>
      <c r="H32" s="64" cm="1">
        <f t="array" aca="1" ref="H32" ca="1">INDIRECT(A32&amp;"!P3")</f>
        <v>0</v>
      </c>
      <c r="I32" s="41" cm="1">
        <f t="array" aca="1" ref="I32" ca="1">INDIRECT(A32&amp;"!P4")</f>
        <v>0</v>
      </c>
      <c r="J32" s="41" cm="1">
        <f t="array" aca="1" ref="J32" ca="1">INDIRECT(A32&amp;"!P5")</f>
        <v>0</v>
      </c>
      <c r="K32" s="41" cm="1">
        <f t="array" aca="1" ref="K32" ca="1">INDIRECT(A32&amp;"!P6")</f>
        <v>0</v>
      </c>
      <c r="L32" s="73" cm="1">
        <f t="array" aca="1" ref="L32" ca="1">INDIRECT(A32&amp;"!P7")</f>
        <v>0</v>
      </c>
      <c r="M32" s="157" cm="1">
        <f t="array" aca="1" ref="M32" ca="1">J32-INDIRECT(A32&amp;"!n11")</f>
        <v>0</v>
      </c>
      <c r="N32" s="158" cm="1">
        <f t="array" aca="1" ref="N32" ca="1">K32-INDIRECT(A32&amp;"!n12")</f>
        <v>0</v>
      </c>
      <c r="O32" s="153" cm="1">
        <f t="array" aca="1" ref="O32" ca="1">L32-INDIRECT(A32&amp;"!n13")</f>
        <v>0</v>
      </c>
      <c r="P32" s="157">
        <f t="shared" ca="1" si="0"/>
        <v>0</v>
      </c>
      <c r="Q32" s="158">
        <f t="shared" ca="1" si="1"/>
        <v>0</v>
      </c>
      <c r="R32" s="153">
        <f t="shared" ca="1" si="2"/>
        <v>0</v>
      </c>
      <c r="S32" s="64" cm="1">
        <f t="array" aca="1" ref="S32" ca="1">INDIRECT(A32&amp;"!N5")</f>
        <v>0</v>
      </c>
      <c r="T32" s="41" cm="1">
        <f t="array" aca="1" ref="T32" ca="1">INDIRECT(A32&amp;"!N6")</f>
        <v>0</v>
      </c>
      <c r="U32" s="73" cm="1">
        <f t="array" aca="1" ref="U32" ca="1">INDIRECT(A32&amp;"!N7")</f>
        <v>0</v>
      </c>
      <c r="V32" s="72"/>
      <c r="W32" s="64" cm="1">
        <f t="array" aca="1" ref="W32" ca="1">INDIRECT(A32&amp;"!K5")</f>
        <v>0</v>
      </c>
      <c r="X32" s="41" cm="1">
        <f t="array" aca="1" ref="X32" ca="1">INDIRECT(A32&amp;"!K6")</f>
        <v>0</v>
      </c>
      <c r="Y32" s="73" cm="1">
        <f t="array" aca="1" ref="Y32" ca="1">INDIRECT(A32&amp;"!K7")</f>
        <v>0</v>
      </c>
      <c r="Z32" s="64" cm="1">
        <f t="array" aca="1" ref="Z32" ca="1">INDIRECT(A32&amp;"!L5")</f>
        <v>0</v>
      </c>
      <c r="AA32" s="41" cm="1">
        <f t="array" aca="1" ref="AA32" ca="1">INDIRECT(A32&amp;"!L6")</f>
        <v>0</v>
      </c>
      <c r="AB32" s="73" cm="1">
        <f t="array" aca="1" ref="AB32" ca="1">INDIRECT(A32&amp;"!L7")</f>
        <v>0</v>
      </c>
      <c r="AC32" s="131">
        <f t="shared" ca="1" si="3"/>
        <v>0</v>
      </c>
      <c r="AD32" s="41">
        <f t="shared" ca="1" si="4"/>
        <v>0</v>
      </c>
      <c r="AE32" s="73">
        <f t="shared" ca="1" si="5"/>
        <v>0</v>
      </c>
    </row>
    <row r="33" spans="1:31">
      <c r="A33" s="112">
        <v>29</v>
      </c>
      <c r="B33" s="113" t="str" cm="1">
        <f t="array" aca="1" ref="B33" ca="1">""&amp;INDIRECT(A33&amp;"!f1")&amp;"-"&amp;INDIRECT(A33&amp;"!g1")&amp;"-"&amp;INDIRECT(A33&amp;"!h1")</f>
        <v>29-3-2026</v>
      </c>
      <c r="C33" s="64" cm="1">
        <f t="array" aca="1" ref="C33" ca="1">IF(J33=0, 0, INDIRECT(A33&amp;"!M3"))</f>
        <v>0</v>
      </c>
      <c r="D33" s="41" cm="1">
        <f t="array" aca="1" ref="D33" ca="1">IF(J33=0, 0, INDIRECT(A33&amp;"!M4"))</f>
        <v>0</v>
      </c>
      <c r="E33" s="41" cm="1">
        <f t="array" aca="1" ref="E33" ca="1">IF(J33=0, 0, INDIRECT(A33&amp;"!M5"))</f>
        <v>0</v>
      </c>
      <c r="F33" s="41" cm="1">
        <f t="array" aca="1" ref="F33" ca="1">IF(K33=0, 0, INDIRECT(A33&amp;"!M6"))</f>
        <v>0</v>
      </c>
      <c r="G33" s="73" cm="1">
        <f t="array" aca="1" ref="G33" ca="1">IF(L33=0, 0, INDIRECT(A33&amp;"!M7"))</f>
        <v>0</v>
      </c>
      <c r="H33" s="64" cm="1">
        <f t="array" aca="1" ref="H33" ca="1">INDIRECT(A33&amp;"!P3")</f>
        <v>0</v>
      </c>
      <c r="I33" s="41" cm="1">
        <f t="array" aca="1" ref="I33" ca="1">INDIRECT(A33&amp;"!P4")</f>
        <v>0</v>
      </c>
      <c r="J33" s="41" cm="1">
        <f t="array" aca="1" ref="J33" ca="1">INDIRECT(A33&amp;"!P5")</f>
        <v>0</v>
      </c>
      <c r="K33" s="41" cm="1">
        <f t="array" aca="1" ref="K33" ca="1">INDIRECT(A33&amp;"!P6")</f>
        <v>0</v>
      </c>
      <c r="L33" s="73" cm="1">
        <f t="array" aca="1" ref="L33" ca="1">INDIRECT(A33&amp;"!P7")</f>
        <v>0</v>
      </c>
      <c r="M33" s="157" cm="1">
        <f t="array" aca="1" ref="M33" ca="1">J33-INDIRECT(A33&amp;"!n11")</f>
        <v>0</v>
      </c>
      <c r="N33" s="158" cm="1">
        <f t="array" aca="1" ref="N33" ca="1">K33-INDIRECT(A33&amp;"!n12")</f>
        <v>0</v>
      </c>
      <c r="O33" s="153" cm="1">
        <f t="array" aca="1" ref="O33" ca="1">L33-INDIRECT(A33&amp;"!n13")</f>
        <v>0</v>
      </c>
      <c r="P33" s="157">
        <f t="shared" ca="1" si="0"/>
        <v>0</v>
      </c>
      <c r="Q33" s="158">
        <f t="shared" ca="1" si="1"/>
        <v>0</v>
      </c>
      <c r="R33" s="153">
        <f t="shared" ca="1" si="2"/>
        <v>0</v>
      </c>
      <c r="S33" s="64" cm="1">
        <f t="array" aca="1" ref="S33" ca="1">INDIRECT(A33&amp;"!N5")</f>
        <v>0</v>
      </c>
      <c r="T33" s="41" cm="1">
        <f t="array" aca="1" ref="T33" ca="1">INDIRECT(A33&amp;"!N6")</f>
        <v>0</v>
      </c>
      <c r="U33" s="73" cm="1">
        <f t="array" aca="1" ref="U33" ca="1">INDIRECT(A33&amp;"!N7")</f>
        <v>0</v>
      </c>
      <c r="V33" s="72"/>
      <c r="W33" s="64" cm="1">
        <f t="array" aca="1" ref="W33" ca="1">INDIRECT(A33&amp;"!K5")</f>
        <v>0</v>
      </c>
      <c r="X33" s="41" cm="1">
        <f t="array" aca="1" ref="X33" ca="1">INDIRECT(A33&amp;"!K6")</f>
        <v>0</v>
      </c>
      <c r="Y33" s="73" cm="1">
        <f t="array" aca="1" ref="Y33" ca="1">INDIRECT(A33&amp;"!K7")</f>
        <v>0</v>
      </c>
      <c r="Z33" s="64" cm="1">
        <f t="array" aca="1" ref="Z33" ca="1">INDIRECT(A33&amp;"!L5")</f>
        <v>0</v>
      </c>
      <c r="AA33" s="41" cm="1">
        <f t="array" aca="1" ref="AA33" ca="1">INDIRECT(A33&amp;"!L6")</f>
        <v>0</v>
      </c>
      <c r="AB33" s="73" cm="1">
        <f t="array" aca="1" ref="AB33" ca="1">INDIRECT(A33&amp;"!L7")</f>
        <v>0</v>
      </c>
      <c r="AC33" s="131">
        <f t="shared" ca="1" si="3"/>
        <v>0</v>
      </c>
      <c r="AD33" s="41">
        <f t="shared" ca="1" si="4"/>
        <v>0</v>
      </c>
      <c r="AE33" s="73">
        <f t="shared" ca="1" si="5"/>
        <v>0</v>
      </c>
    </row>
    <row r="34" spans="1:31">
      <c r="A34" s="112">
        <v>30</v>
      </c>
      <c r="B34" s="113" t="str" cm="1">
        <f t="array" aca="1" ref="B34" ca="1">""&amp;INDIRECT(A34&amp;"!f1")&amp;"-"&amp;INDIRECT(A34&amp;"!g1")&amp;"-"&amp;INDIRECT(A34&amp;"!h1")</f>
        <v>30-3-2026</v>
      </c>
      <c r="C34" s="64" cm="1">
        <f t="array" aca="1" ref="C34" ca="1">IF(J34=0, 0, INDIRECT(A34&amp;"!M3"))</f>
        <v>0</v>
      </c>
      <c r="D34" s="41" cm="1">
        <f t="array" aca="1" ref="D34" ca="1">IF(J34=0, 0, INDIRECT(A34&amp;"!M4"))</f>
        <v>0</v>
      </c>
      <c r="E34" s="41" cm="1">
        <f t="array" aca="1" ref="E34" ca="1">IF(J34=0, 0, INDIRECT(A34&amp;"!M5"))</f>
        <v>0</v>
      </c>
      <c r="F34" s="41" cm="1">
        <f t="array" aca="1" ref="F34" ca="1">IF(K34=0, 0, INDIRECT(A34&amp;"!M6"))</f>
        <v>0</v>
      </c>
      <c r="G34" s="73" cm="1">
        <f t="array" aca="1" ref="G34" ca="1">IF(L34=0, 0, INDIRECT(A34&amp;"!M7"))</f>
        <v>0</v>
      </c>
      <c r="H34" s="64" cm="1">
        <f t="array" aca="1" ref="H34" ca="1">INDIRECT(A34&amp;"!P3")</f>
        <v>0</v>
      </c>
      <c r="I34" s="41" cm="1">
        <f t="array" aca="1" ref="I34" ca="1">INDIRECT(A34&amp;"!P4")</f>
        <v>0</v>
      </c>
      <c r="J34" s="41" cm="1">
        <f t="array" aca="1" ref="J34" ca="1">INDIRECT(A34&amp;"!P5")</f>
        <v>0</v>
      </c>
      <c r="K34" s="41" cm="1">
        <f t="array" aca="1" ref="K34" ca="1">INDIRECT(A34&amp;"!P6")</f>
        <v>0</v>
      </c>
      <c r="L34" s="73" cm="1">
        <f t="array" aca="1" ref="L34" ca="1">INDIRECT(A34&amp;"!P7")</f>
        <v>0</v>
      </c>
      <c r="M34" s="157" cm="1">
        <f t="array" aca="1" ref="M34" ca="1">J34-INDIRECT(A34&amp;"!n11")</f>
        <v>0</v>
      </c>
      <c r="N34" s="158" cm="1">
        <f t="array" aca="1" ref="N34" ca="1">K34-INDIRECT(A34&amp;"!n12")</f>
        <v>0</v>
      </c>
      <c r="O34" s="153" cm="1">
        <f t="array" aca="1" ref="O34" ca="1">L34-INDIRECT(A34&amp;"!n13")</f>
        <v>0</v>
      </c>
      <c r="P34" s="157">
        <f t="shared" ca="1" si="0"/>
        <v>0</v>
      </c>
      <c r="Q34" s="158">
        <f t="shared" ca="1" si="1"/>
        <v>0</v>
      </c>
      <c r="R34" s="153">
        <f t="shared" ca="1" si="2"/>
        <v>0</v>
      </c>
      <c r="S34" s="64" cm="1">
        <f t="array" aca="1" ref="S34" ca="1">INDIRECT(A34&amp;"!N5")</f>
        <v>0</v>
      </c>
      <c r="T34" s="41" cm="1">
        <f t="array" aca="1" ref="T34" ca="1">INDIRECT(A34&amp;"!N6")</f>
        <v>0</v>
      </c>
      <c r="U34" s="73" cm="1">
        <f t="array" aca="1" ref="U34" ca="1">INDIRECT(A34&amp;"!N7")</f>
        <v>0</v>
      </c>
      <c r="V34" s="72"/>
      <c r="W34" s="64" cm="1">
        <f t="array" aca="1" ref="W34" ca="1">INDIRECT(A34&amp;"!K5")</f>
        <v>0</v>
      </c>
      <c r="X34" s="41" cm="1">
        <f t="array" aca="1" ref="X34" ca="1">INDIRECT(A34&amp;"!K6")</f>
        <v>0</v>
      </c>
      <c r="Y34" s="73" cm="1">
        <f t="array" aca="1" ref="Y34" ca="1">INDIRECT(A34&amp;"!K7")</f>
        <v>0</v>
      </c>
      <c r="Z34" s="64" cm="1">
        <f t="array" aca="1" ref="Z34" ca="1">INDIRECT(A34&amp;"!L5")</f>
        <v>0</v>
      </c>
      <c r="AA34" s="41" cm="1">
        <f t="array" aca="1" ref="AA34" ca="1">INDIRECT(A34&amp;"!L6")</f>
        <v>0</v>
      </c>
      <c r="AB34" s="73" cm="1">
        <f t="array" aca="1" ref="AB34" ca="1">INDIRECT(A34&amp;"!L7")</f>
        <v>0</v>
      </c>
      <c r="AC34" s="131">
        <f t="shared" ca="1" si="3"/>
        <v>0</v>
      </c>
      <c r="AD34" s="41">
        <f t="shared" ca="1" si="4"/>
        <v>0</v>
      </c>
      <c r="AE34" s="73">
        <f t="shared" ca="1" si="5"/>
        <v>0</v>
      </c>
    </row>
    <row r="35" spans="1:31">
      <c r="A35" s="117">
        <v>31</v>
      </c>
      <c r="B35" s="118" t="str" cm="1">
        <f t="array" aca="1" ref="B35" ca="1">""&amp;INDIRECT(A35&amp;"!f1")&amp;"-"&amp;INDIRECT(A35&amp;"!g1")&amp;"-"&amp;INDIRECT(A35&amp;"!h1")</f>
        <v>31-3-2026</v>
      </c>
      <c r="C35" s="119" cm="1">
        <f t="array" aca="1" ref="C35" ca="1">IF(J35=0, 0, INDIRECT(A35&amp;"!M3"))</f>
        <v>0</v>
      </c>
      <c r="D35" s="120" cm="1">
        <f t="array" aca="1" ref="D35" ca="1">IF(J35=0, 0, INDIRECT(A35&amp;"!M4"))</f>
        <v>0</v>
      </c>
      <c r="E35" s="120" cm="1">
        <f t="array" aca="1" ref="E35" ca="1">IF(J35=0, 0, INDIRECT(A35&amp;"!M5"))</f>
        <v>0</v>
      </c>
      <c r="F35" s="120" cm="1">
        <f t="array" aca="1" ref="F35" ca="1">IF(K35=0, 0, INDIRECT(A35&amp;"!M6"))</f>
        <v>0</v>
      </c>
      <c r="G35" s="121" cm="1">
        <f t="array" aca="1" ref="G35" ca="1">IF(L35=0, 0, INDIRECT(A35&amp;"!M7"))</f>
        <v>0</v>
      </c>
      <c r="H35" s="119" cm="1">
        <f t="array" aca="1" ref="H35" ca="1">INDIRECT(A35&amp;"!P3")</f>
        <v>0</v>
      </c>
      <c r="I35" s="120" cm="1">
        <f t="array" aca="1" ref="I35" ca="1">INDIRECT(A35&amp;"!P4")</f>
        <v>0</v>
      </c>
      <c r="J35" s="120" cm="1">
        <f t="array" aca="1" ref="J35" ca="1">INDIRECT(A35&amp;"!P5")</f>
        <v>0</v>
      </c>
      <c r="K35" s="120" cm="1">
        <f t="array" aca="1" ref="K35" ca="1">INDIRECT(A35&amp;"!P6")</f>
        <v>0</v>
      </c>
      <c r="L35" s="121" cm="1">
        <f t="array" aca="1" ref="L35" ca="1">INDIRECT(A35&amp;"!P7")</f>
        <v>0</v>
      </c>
      <c r="M35" s="159" cm="1">
        <f t="array" aca="1" ref="M35" ca="1">J35-INDIRECT(A35&amp;"!n11")</f>
        <v>0</v>
      </c>
      <c r="N35" s="160" cm="1">
        <f t="array" aca="1" ref="N35" ca="1">K35-INDIRECT(A35&amp;"!n12")</f>
        <v>0</v>
      </c>
      <c r="O35" s="161" cm="1">
        <f t="array" aca="1" ref="O35" ca="1">L35-INDIRECT(A35&amp;"!n13")</f>
        <v>0</v>
      </c>
      <c r="P35" s="157">
        <f t="shared" ca="1" si="0"/>
        <v>0</v>
      </c>
      <c r="Q35" s="158">
        <f t="shared" ca="1" si="1"/>
        <v>0</v>
      </c>
      <c r="R35" s="153">
        <f t="shared" ca="1" si="2"/>
        <v>0</v>
      </c>
      <c r="S35" s="119" cm="1">
        <f t="array" aca="1" ref="S35" ca="1">INDIRECT(A35&amp;"!N5")</f>
        <v>0</v>
      </c>
      <c r="T35" s="120" cm="1">
        <f t="array" aca="1" ref="T35" ca="1">INDIRECT(A35&amp;"!N6")</f>
        <v>0</v>
      </c>
      <c r="U35" s="121" cm="1">
        <f t="array" aca="1" ref="U35" ca="1">INDIRECT(A35&amp;"!N7")</f>
        <v>0</v>
      </c>
      <c r="V35" s="132"/>
      <c r="W35" s="119" cm="1">
        <f t="array" aca="1" ref="W35" ca="1">INDIRECT(A35&amp;"!K5")</f>
        <v>0</v>
      </c>
      <c r="X35" s="120" cm="1">
        <f t="array" aca="1" ref="X35" ca="1">INDIRECT(A35&amp;"!K6")</f>
        <v>0</v>
      </c>
      <c r="Y35" s="121" cm="1">
        <f t="array" aca="1" ref="Y35" ca="1">INDIRECT(A35&amp;"!K7")</f>
        <v>0</v>
      </c>
      <c r="Z35" s="119" cm="1">
        <f t="array" aca="1" ref="Z35" ca="1">INDIRECT(A35&amp;"!L5")</f>
        <v>0</v>
      </c>
      <c r="AA35" s="120" cm="1">
        <f t="array" aca="1" ref="AA35" ca="1">INDIRECT(A35&amp;"!L6")</f>
        <v>0</v>
      </c>
      <c r="AB35" s="121" cm="1">
        <f t="array" aca="1" ref="AB35" ca="1">INDIRECT(A35&amp;"!L7")</f>
        <v>0</v>
      </c>
      <c r="AC35" s="133">
        <f t="shared" ca="1" si="3"/>
        <v>0</v>
      </c>
      <c r="AD35" s="120">
        <f t="shared" ca="1" si="4"/>
        <v>0</v>
      </c>
      <c r="AE35" s="121">
        <f t="shared" ca="1" si="5"/>
        <v>0</v>
      </c>
    </row>
    <row r="36" spans="1:31">
      <c r="A36" s="125"/>
      <c r="B36" s="126"/>
      <c r="C36" s="126"/>
      <c r="D36" s="126"/>
      <c r="E36" s="126"/>
      <c r="F36" s="126"/>
      <c r="G36" s="126"/>
      <c r="H36" s="126">
        <f ca="1">SUM(H5:H35)</f>
        <v>751</v>
      </c>
      <c r="I36" s="126">
        <f t="shared" ref="I36:R36" ca="1" si="6">SUM(I5:I35)</f>
        <v>-464</v>
      </c>
      <c r="J36" s="126">
        <f t="shared" ca="1" si="6"/>
        <v>287</v>
      </c>
      <c r="K36" s="126">
        <f t="shared" ca="1" si="6"/>
        <v>-353</v>
      </c>
      <c r="L36" s="126">
        <f t="shared" ca="1" si="6"/>
        <v>0</v>
      </c>
      <c r="M36" s="126">
        <f t="shared" ca="1" si="6"/>
        <v>287</v>
      </c>
      <c r="N36" s="126">
        <f t="shared" ca="1" si="6"/>
        <v>-353</v>
      </c>
      <c r="O36" s="126">
        <f t="shared" ca="1" si="6"/>
        <v>0</v>
      </c>
      <c r="P36" s="126">
        <f t="shared" ca="1" si="6"/>
        <v>-70.5</v>
      </c>
      <c r="Q36" s="126">
        <f t="shared" ca="1" si="6"/>
        <v>258</v>
      </c>
      <c r="R36" s="126">
        <f t="shared" ca="1" si="6"/>
        <v>0</v>
      </c>
      <c r="S36" s="126">
        <f ca="1">SUM(S5:S35)</f>
        <v>84600</v>
      </c>
      <c r="T36" s="126">
        <f ca="1">SUM(T5:T35)</f>
        <v>8400</v>
      </c>
      <c r="U36" s="126">
        <f ca="1">SUM(U5:U35)</f>
        <v>0</v>
      </c>
      <c r="V36" s="126"/>
      <c r="W36" s="126">
        <f t="shared" ref="W36:AE36" ca="1" si="7">SUM(W5:W35)</f>
        <v>85000</v>
      </c>
      <c r="X36" s="126">
        <f t="shared" ca="1" si="7"/>
        <v>30000</v>
      </c>
      <c r="Y36" s="126">
        <f t="shared" ca="1" si="7"/>
        <v>0</v>
      </c>
      <c r="Z36" s="126">
        <f t="shared" ca="1" si="7"/>
        <v>84300</v>
      </c>
      <c r="AA36" s="126">
        <f t="shared" ca="1" si="7"/>
        <v>29800</v>
      </c>
      <c r="AB36" s="126">
        <f t="shared" ca="1" si="7"/>
        <v>0</v>
      </c>
      <c r="AC36" s="126">
        <f t="shared" ca="1" si="7"/>
        <v>700</v>
      </c>
      <c r="AD36" s="126">
        <f t="shared" ca="1" si="7"/>
        <v>200</v>
      </c>
      <c r="AE36" s="126">
        <f t="shared" ca="1" si="7"/>
        <v>0</v>
      </c>
    </row>
  </sheetData>
  <sheetProtection algorithmName="SHA-512" hashValue="xdaqd4QLId/ucy0gjUADs5dDiV/HFP1WpXKTdjno9v3WGk1qcjca0My5INHckVZQAl5WTudtmZpv8GUl4idOog==" saltValue="CGTTnAjeGp4nXbaXNl/6Lg==" spinCount="100000" sheet="1" objects="1" scenarios="1"/>
  <mergeCells count="9">
    <mergeCell ref="A1:AE1"/>
    <mergeCell ref="S2:U2"/>
    <mergeCell ref="AC2:AE2"/>
    <mergeCell ref="C2:G2"/>
    <mergeCell ref="H2:L2"/>
    <mergeCell ref="W2:Y2"/>
    <mergeCell ref="Z2:AB2"/>
    <mergeCell ref="M2:O2"/>
    <mergeCell ref="P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8211-5136-44D1-B536-EFF581326C14}">
  <dimension ref="A1:AF34"/>
  <sheetViews>
    <sheetView topLeftCell="Y10" workbookViewId="0">
      <selection activeCell="Y10" sqref="Y10"/>
    </sheetView>
  </sheetViews>
  <sheetFormatPr defaultRowHeight="15"/>
  <cols>
    <col min="1" max="1" width="6.5703125" bestFit="1" customWidth="1"/>
    <col min="2" max="2" width="11.140625" customWidth="1"/>
    <col min="3" max="3" width="7.42578125" customWidth="1"/>
    <col min="4" max="4" width="9.7109375" customWidth="1"/>
    <col min="5" max="5" width="10" customWidth="1"/>
    <col min="8" max="8" width="11.28515625" customWidth="1"/>
    <col min="10" max="10" width="10.28515625" customWidth="1"/>
    <col min="13" max="13" width="10" customWidth="1"/>
    <col min="14" max="14" width="9.140625" customWidth="1"/>
    <col min="15" max="15" width="2.140625" customWidth="1"/>
    <col min="16" max="16" width="14" customWidth="1"/>
    <col min="17" max="17" width="7.7109375" bestFit="1" customWidth="1"/>
    <col min="18" max="18" width="11.42578125" bestFit="1" customWidth="1"/>
    <col min="19" max="19" width="11.28515625" bestFit="1" customWidth="1"/>
    <col min="20" max="20" width="10.140625" bestFit="1" customWidth="1"/>
    <col min="21" max="21" width="12.42578125" bestFit="1" customWidth="1"/>
    <col min="22" max="22" width="10.7109375" bestFit="1" customWidth="1"/>
    <col min="23" max="23" width="11.5703125" bestFit="1" customWidth="1"/>
    <col min="24" max="24" width="2" customWidth="1"/>
    <col min="25" max="25" width="12.42578125" customWidth="1"/>
    <col min="26" max="26" width="7.42578125" customWidth="1"/>
    <col min="27" max="27" width="11.140625" bestFit="1" customWidth="1"/>
    <col min="28" max="28" width="13.7109375" bestFit="1" customWidth="1"/>
    <col min="29" max="29" width="10.85546875" bestFit="1" customWidth="1"/>
    <col min="30" max="30" width="12.42578125" bestFit="1" customWidth="1"/>
    <col min="31" max="31" width="10.140625" bestFit="1" customWidth="1"/>
  </cols>
  <sheetData>
    <row r="1" spans="1:32" ht="15.75" customHeight="1">
      <c r="A1" s="319" t="s">
        <v>23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298"/>
      <c r="P1" s="304" t="s">
        <v>24</v>
      </c>
      <c r="Q1" s="305"/>
      <c r="R1" s="305"/>
      <c r="S1" s="305"/>
      <c r="T1" s="305"/>
      <c r="U1" s="305"/>
      <c r="V1" s="305"/>
      <c r="W1" s="307"/>
      <c r="X1" s="301"/>
      <c r="Y1" s="317" t="s">
        <v>25</v>
      </c>
      <c r="Z1" s="318"/>
      <c r="AA1" s="318"/>
      <c r="AB1" s="318"/>
      <c r="AC1" s="318"/>
      <c r="AD1" s="318"/>
      <c r="AE1" s="318"/>
      <c r="AF1" s="318"/>
    </row>
    <row r="2" spans="1:32" s="138" customFormat="1" ht="39" customHeight="1">
      <c r="A2" s="134" t="s">
        <v>1</v>
      </c>
      <c r="B2" s="135" t="s">
        <v>2</v>
      </c>
      <c r="C2" s="136" t="s">
        <v>26</v>
      </c>
      <c r="D2" s="136" t="s">
        <v>27</v>
      </c>
      <c r="E2" s="136" t="s">
        <v>28</v>
      </c>
      <c r="F2" s="147" t="s">
        <v>29</v>
      </c>
      <c r="G2" s="147" t="s">
        <v>30</v>
      </c>
      <c r="H2" s="136" t="s">
        <v>31</v>
      </c>
      <c r="I2" s="147" t="s">
        <v>32</v>
      </c>
      <c r="J2" s="147" t="s">
        <v>33</v>
      </c>
      <c r="K2" s="147" t="s">
        <v>34</v>
      </c>
      <c r="L2" s="147" t="s">
        <v>35</v>
      </c>
      <c r="M2" s="136" t="s">
        <v>36</v>
      </c>
      <c r="N2" s="148" t="s">
        <v>34</v>
      </c>
      <c r="O2" s="165"/>
      <c r="P2" s="135" t="s">
        <v>2</v>
      </c>
      <c r="Q2" s="136" t="s">
        <v>26</v>
      </c>
      <c r="R2" s="136" t="s">
        <v>37</v>
      </c>
      <c r="S2" s="136" t="s">
        <v>38</v>
      </c>
      <c r="T2" s="136" t="s">
        <v>39</v>
      </c>
      <c r="U2" s="147" t="s">
        <v>40</v>
      </c>
      <c r="V2" s="147" t="s">
        <v>41</v>
      </c>
      <c r="W2" s="149" t="s">
        <v>42</v>
      </c>
      <c r="X2" s="137"/>
      <c r="Y2" s="135" t="s">
        <v>2</v>
      </c>
      <c r="Z2" s="136" t="s">
        <v>26</v>
      </c>
      <c r="AA2" s="136" t="s">
        <v>43</v>
      </c>
      <c r="AB2" s="147" t="s">
        <v>29</v>
      </c>
      <c r="AC2" s="147" t="s">
        <v>44</v>
      </c>
      <c r="AD2" s="147" t="s">
        <v>40</v>
      </c>
      <c r="AE2" s="147" t="s">
        <v>33</v>
      </c>
      <c r="AF2" s="149" t="s">
        <v>34</v>
      </c>
    </row>
    <row r="3" spans="1:32">
      <c r="A3" s="112">
        <v>1</v>
      </c>
      <c r="B3" s="41" t="str" cm="1">
        <f t="array" aca="1" ref="B3" ca="1">""&amp;INDIRECT(A3&amp;"!f1")&amp;"-"&amp;INDIRECT(A3&amp;"!g1")&amp;"-"&amp;INDIRECT(A3&amp;"!h1")</f>
        <v>1-3-2026</v>
      </c>
      <c r="C3" s="26" cm="1">
        <f t="array" aca="1" ref="C3" ca="1">INDIRECT(A3&amp;"!g11")</f>
        <v>850</v>
      </c>
      <c r="D3" s="67" cm="1">
        <f t="array" aca="1" ref="D3" ca="1">INDIRECT(A3&amp;"!l11")</f>
        <v>50</v>
      </c>
      <c r="E3" s="67" cm="1">
        <f t="array" aca="1" ref="E3" ca="1">INDIRECT(A3&amp;"!l15")</f>
        <v>0</v>
      </c>
      <c r="F3" s="26">
        <v>0</v>
      </c>
      <c r="G3" s="26">
        <v>0</v>
      </c>
      <c r="H3" s="67" cm="1">
        <f t="array" aca="1" ref="H3" ca="1">INDIRECT(A3&amp;"!l14")</f>
        <v>0</v>
      </c>
      <c r="I3" s="26">
        <v>0</v>
      </c>
      <c r="J3" s="26">
        <v>0</v>
      </c>
      <c r="K3" s="26">
        <v>0</v>
      </c>
      <c r="L3" s="26">
        <v>0</v>
      </c>
      <c r="M3" s="26" cm="1">
        <f t="array" aca="1" ref="M3" ca="1">INDIRECT(A3&amp;"!n11")</f>
        <v>0</v>
      </c>
      <c r="N3" s="28" cm="1">
        <f t="array" aca="1" ref="N3" ca="1">INDIRECT(A3&amp;"!l16")</f>
        <v>0</v>
      </c>
      <c r="O3" s="166"/>
      <c r="P3" s="139" t="str" cm="1">
        <f t="array" aca="1" ref="P3" ca="1">""&amp;INDIRECT(A3&amp;"!f1")&amp;"-"&amp;INDIRECT(A3&amp;"!g1")&amp;"-"&amp;INDIRECT(A3&amp;"!h1")</f>
        <v>1-3-2026</v>
      </c>
      <c r="Q3" s="26" cm="1">
        <f t="array" aca="1" ref="Q3" ca="1">INDIRECT(A3&amp;"!g14")</f>
        <v>990</v>
      </c>
      <c r="R3" s="67" cm="1">
        <f t="array" aca="1" ref="R3" ca="1">INDIRECT(A3&amp;"!l12")</f>
        <v>32</v>
      </c>
      <c r="S3" s="26" cm="1">
        <f t="array" aca="1" ref="S3" ca="1">INDIRECT(A3&amp;"!n12")</f>
        <v>0</v>
      </c>
      <c r="T3" s="67" cm="1">
        <f t="array" aca="1" ref="T3" ca="1">INDIRECT(A3&amp;"!l13")</f>
        <v>0</v>
      </c>
      <c r="U3" s="26">
        <v>0</v>
      </c>
      <c r="V3" s="26">
        <v>0</v>
      </c>
      <c r="W3" s="27">
        <v>0</v>
      </c>
      <c r="X3" s="140"/>
      <c r="Y3" s="139" t="str" cm="1">
        <f t="array" aca="1" ref="Y3" ca="1">""&amp;INDIRECT(A3&amp;"!f1")&amp;"-"&amp;INDIRECT(A3&amp;"!g1")&amp;"-"&amp;INDIRECT(A3&amp;"!h1")</f>
        <v>1-3-2026</v>
      </c>
      <c r="Z3" s="26" cm="1">
        <f t="array" aca="1" ref="Z3" ca="1">INDIRECT(A3&amp;"!g17")</f>
        <v>0</v>
      </c>
      <c r="AA3" s="26" cm="1">
        <f t="array" aca="1" ref="AA3" ca="1">INDIRECT(A3&amp;"!n13")</f>
        <v>0</v>
      </c>
      <c r="AB3" s="26">
        <v>0</v>
      </c>
      <c r="AC3" s="26">
        <v>0</v>
      </c>
      <c r="AD3" s="26">
        <v>0</v>
      </c>
      <c r="AE3" s="26">
        <v>0</v>
      </c>
      <c r="AF3" s="27">
        <v>0</v>
      </c>
    </row>
    <row r="4" spans="1:32">
      <c r="A4" s="112">
        <v>2</v>
      </c>
      <c r="B4" s="41" t="str" cm="1">
        <f t="array" aca="1" ref="B4" ca="1">""&amp;INDIRECT(A4&amp;"!f1")&amp;"-"&amp;INDIRECT(A4&amp;"!g1")&amp;"-"&amp;INDIRECT(A4&amp;"!h1")</f>
        <v>2-3-2026</v>
      </c>
      <c r="C4" s="26" cm="1">
        <f t="array" aca="1" ref="C4" ca="1">INDIRECT(A4&amp;"!g11")</f>
        <v>850</v>
      </c>
      <c r="D4" s="67" cm="1">
        <f t="array" aca="1" ref="D4" ca="1">INDIRECT(A4&amp;"!l11")</f>
        <v>0</v>
      </c>
      <c r="E4" s="67" cm="1">
        <f t="array" aca="1" ref="E4" ca="1">INDIRECT(A4&amp;"!l15")</f>
        <v>0</v>
      </c>
      <c r="F4" s="22">
        <v>0</v>
      </c>
      <c r="G4" s="22">
        <v>0</v>
      </c>
      <c r="H4" s="67" cm="1">
        <f t="array" aca="1" ref="H4" ca="1">INDIRECT(A4&amp;"!l14")</f>
        <v>0</v>
      </c>
      <c r="I4" s="22">
        <v>0</v>
      </c>
      <c r="J4" s="22">
        <v>0</v>
      </c>
      <c r="K4" s="22">
        <v>0</v>
      </c>
      <c r="L4" s="22">
        <v>0</v>
      </c>
      <c r="M4" s="26" cm="1">
        <f t="array" aca="1" ref="M4" ca="1">INDIRECT(A4&amp;"!n11")</f>
        <v>0</v>
      </c>
      <c r="N4" s="28" cm="1">
        <f t="array" aca="1" ref="N4" ca="1">INDIRECT(A4&amp;"!l16")</f>
        <v>0</v>
      </c>
      <c r="O4" s="167"/>
      <c r="P4" s="139" t="str" cm="1">
        <f t="array" aca="1" ref="P4" ca="1">""&amp;INDIRECT(A4&amp;"!f1")&amp;"-"&amp;INDIRECT(A4&amp;"!g1")&amp;"-"&amp;INDIRECT(A4&amp;"!h1")</f>
        <v>2-3-2026</v>
      </c>
      <c r="Q4" s="26" cm="1">
        <f t="array" aca="1" ref="Q4" ca="1">INDIRECT(A4&amp;"!g14")</f>
        <v>990</v>
      </c>
      <c r="R4" s="67" cm="1">
        <f t="array" aca="1" ref="R4" ca="1">INDIRECT(A4&amp;"!l12")</f>
        <v>32</v>
      </c>
      <c r="S4" s="26" cm="1">
        <f t="array" aca="1" ref="S4" ca="1">INDIRECT(A4&amp;"!n12")</f>
        <v>0</v>
      </c>
      <c r="T4" s="67" cm="1">
        <f t="array" aca="1" ref="T4" ca="1">INDIRECT(A4&amp;"!l13")</f>
        <v>0</v>
      </c>
      <c r="U4" s="22">
        <v>0</v>
      </c>
      <c r="V4" s="22">
        <v>0</v>
      </c>
      <c r="W4" s="24">
        <v>0</v>
      </c>
      <c r="X4" s="141"/>
      <c r="Y4" s="139" t="str" cm="1">
        <f t="array" aca="1" ref="Y4" ca="1">""&amp;INDIRECT(A4&amp;"!f1")&amp;"-"&amp;INDIRECT(A4&amp;"!g1")&amp;"-"&amp;INDIRECT(A4&amp;"!h1")</f>
        <v>2-3-2026</v>
      </c>
      <c r="Z4" s="26" cm="1">
        <f t="array" aca="1" ref="Z4" ca="1">INDIRECT(A4&amp;"!g17")</f>
        <v>0</v>
      </c>
      <c r="AA4" s="26" cm="1">
        <f t="array" aca="1" ref="AA4" ca="1">INDIRECT(A4&amp;"!n13")</f>
        <v>0</v>
      </c>
      <c r="AB4" s="22">
        <v>0</v>
      </c>
      <c r="AC4" s="22">
        <v>0</v>
      </c>
      <c r="AD4" s="22">
        <v>0</v>
      </c>
      <c r="AE4" s="22">
        <v>0</v>
      </c>
      <c r="AF4" s="24">
        <v>0</v>
      </c>
    </row>
    <row r="5" spans="1:32">
      <c r="A5" s="112">
        <v>3</v>
      </c>
      <c r="B5" s="41" t="str" cm="1">
        <f t="array" aca="1" ref="B5" ca="1">""&amp;INDIRECT(A5&amp;"!f1")&amp;"-"&amp;INDIRECT(A5&amp;"!g1")&amp;"-"&amp;INDIRECT(A5&amp;"!h1")</f>
        <v>3-3-2026</v>
      </c>
      <c r="C5" s="26" cm="1">
        <f t="array" aca="1" ref="C5" ca="1">INDIRECT(A5&amp;"!g11")</f>
        <v>850</v>
      </c>
      <c r="D5" s="67" cm="1">
        <f t="array" aca="1" ref="D5" ca="1">INDIRECT(A5&amp;"!l11")</f>
        <v>0</v>
      </c>
      <c r="E5" s="67" cm="1">
        <f t="array" aca="1" ref="E5" ca="1">INDIRECT(A5&amp;"!l15")</f>
        <v>0</v>
      </c>
      <c r="F5" s="22">
        <v>0</v>
      </c>
      <c r="G5" s="22">
        <v>0</v>
      </c>
      <c r="H5" s="67" cm="1">
        <f t="array" aca="1" ref="H5" ca="1">INDIRECT(A5&amp;"!l14")</f>
        <v>0</v>
      </c>
      <c r="I5" s="22">
        <v>0</v>
      </c>
      <c r="J5" s="22">
        <v>0</v>
      </c>
      <c r="K5" s="22">
        <v>0</v>
      </c>
      <c r="L5" s="22">
        <v>0</v>
      </c>
      <c r="M5" s="26" cm="1">
        <f t="array" aca="1" ref="M5" ca="1">INDIRECT(A5&amp;"!n11")</f>
        <v>0</v>
      </c>
      <c r="N5" s="28" cm="1">
        <f t="array" aca="1" ref="N5" ca="1">INDIRECT(A5&amp;"!l16")</f>
        <v>0</v>
      </c>
      <c r="O5" s="167"/>
      <c r="P5" s="139" t="str" cm="1">
        <f t="array" aca="1" ref="P5" ca="1">""&amp;INDIRECT(A5&amp;"!f1")&amp;"-"&amp;INDIRECT(A5&amp;"!g1")&amp;"-"&amp;INDIRECT(A5&amp;"!h1")</f>
        <v>3-3-2026</v>
      </c>
      <c r="Q5" s="26" cm="1">
        <f t="array" aca="1" ref="Q5" ca="1">INDIRECT(A5&amp;"!g14")</f>
        <v>990</v>
      </c>
      <c r="R5" s="67" cm="1">
        <f t="array" aca="1" ref="R5" ca="1">INDIRECT(A5&amp;"!l12")</f>
        <v>33</v>
      </c>
      <c r="S5" s="26" cm="1">
        <f t="array" aca="1" ref="S5" ca="1">INDIRECT(A5&amp;"!n12")</f>
        <v>0</v>
      </c>
      <c r="T5" s="67" cm="1">
        <f t="array" aca="1" ref="T5" ca="1">INDIRECT(A5&amp;"!l13")</f>
        <v>0</v>
      </c>
      <c r="U5" s="22">
        <v>0</v>
      </c>
      <c r="V5" s="22">
        <v>0</v>
      </c>
      <c r="W5" s="24">
        <v>0</v>
      </c>
      <c r="X5" s="141"/>
      <c r="Y5" s="139" t="str" cm="1">
        <f t="array" aca="1" ref="Y5" ca="1">""&amp;INDIRECT(A5&amp;"!f1")&amp;"-"&amp;INDIRECT(A5&amp;"!g1")&amp;"-"&amp;INDIRECT(A5&amp;"!h1")</f>
        <v>3-3-2026</v>
      </c>
      <c r="Z5" s="26" cm="1">
        <f t="array" aca="1" ref="Z5" ca="1">INDIRECT(A5&amp;"!g17")</f>
        <v>0</v>
      </c>
      <c r="AA5" s="26" cm="1">
        <f t="array" aca="1" ref="AA5" ca="1">INDIRECT(A5&amp;"!n13")</f>
        <v>0</v>
      </c>
      <c r="AB5" s="22">
        <v>0</v>
      </c>
      <c r="AC5" s="22">
        <v>0</v>
      </c>
      <c r="AD5" s="22">
        <v>0</v>
      </c>
      <c r="AE5" s="22">
        <v>0</v>
      </c>
      <c r="AF5" s="24">
        <v>0</v>
      </c>
    </row>
    <row r="6" spans="1:32">
      <c r="A6" s="112">
        <v>4</v>
      </c>
      <c r="B6" s="41" t="str" cm="1">
        <f t="array" aca="1" ref="B6" ca="1">""&amp;INDIRECT(A6&amp;"!f1")&amp;"-"&amp;INDIRECT(A6&amp;"!g1")&amp;"-"&amp;INDIRECT(A6&amp;"!h1")</f>
        <v>4-3-2026</v>
      </c>
      <c r="C6" s="26" cm="1">
        <f t="array" aca="1" ref="C6" ca="1">INDIRECT(A6&amp;"!g11")</f>
        <v>950</v>
      </c>
      <c r="D6" s="67" cm="1">
        <f t="array" aca="1" ref="D6" ca="1">INDIRECT(A6&amp;"!l11")</f>
        <v>0</v>
      </c>
      <c r="E6" s="67" cm="1">
        <f t="array" aca="1" ref="E6" ca="1">INDIRECT(A6&amp;"!l15")</f>
        <v>0</v>
      </c>
      <c r="F6" s="22">
        <v>0</v>
      </c>
      <c r="G6" s="22">
        <v>0</v>
      </c>
      <c r="H6" s="67" cm="1">
        <f t="array" aca="1" ref="H6" ca="1">INDIRECT(A6&amp;"!l14")</f>
        <v>0</v>
      </c>
      <c r="I6" s="22">
        <v>0</v>
      </c>
      <c r="J6" s="22">
        <v>0</v>
      </c>
      <c r="K6" s="22">
        <v>0</v>
      </c>
      <c r="L6" s="22">
        <v>0</v>
      </c>
      <c r="M6" s="26" cm="1">
        <f t="array" aca="1" ref="M6" ca="1">INDIRECT(A6&amp;"!n11")</f>
        <v>0</v>
      </c>
      <c r="N6" s="28" cm="1">
        <f t="array" aca="1" ref="N6" ca="1">INDIRECT(A6&amp;"!l16")</f>
        <v>0</v>
      </c>
      <c r="O6" s="167"/>
      <c r="P6" s="139" t="str" cm="1">
        <f t="array" aca="1" ref="P6" ca="1">""&amp;INDIRECT(A6&amp;"!f1")&amp;"-"&amp;INDIRECT(A6&amp;"!g1")&amp;"-"&amp;INDIRECT(A6&amp;"!h1")</f>
        <v>4-3-2026</v>
      </c>
      <c r="Q6" s="26" cm="1">
        <f t="array" aca="1" ref="Q6" ca="1">INDIRECT(A6&amp;"!g14")</f>
        <v>1050</v>
      </c>
      <c r="R6" s="67" cm="1">
        <f t="array" aca="1" ref="R6" ca="1">INDIRECT(A6&amp;"!l12")</f>
        <v>32</v>
      </c>
      <c r="S6" s="26" cm="1">
        <f t="array" aca="1" ref="S6" ca="1">INDIRECT(A6&amp;"!n12")</f>
        <v>0</v>
      </c>
      <c r="T6" s="67" cm="1">
        <f t="array" aca="1" ref="T6" ca="1">INDIRECT(A6&amp;"!l13")</f>
        <v>0</v>
      </c>
      <c r="U6" s="22">
        <v>0</v>
      </c>
      <c r="V6" s="22">
        <v>0</v>
      </c>
      <c r="W6" s="24">
        <v>0</v>
      </c>
      <c r="X6" s="141"/>
      <c r="Y6" s="139" t="str" cm="1">
        <f t="array" aca="1" ref="Y6" ca="1">""&amp;INDIRECT(A6&amp;"!f1")&amp;"-"&amp;INDIRECT(A6&amp;"!g1")&amp;"-"&amp;INDIRECT(A6&amp;"!h1")</f>
        <v>4-3-2026</v>
      </c>
      <c r="Z6" s="26" cm="1">
        <f t="array" aca="1" ref="Z6" ca="1">INDIRECT(A6&amp;"!g17")</f>
        <v>0</v>
      </c>
      <c r="AA6" s="26" cm="1">
        <f t="array" aca="1" ref="AA6" ca="1">INDIRECT(A6&amp;"!n13")</f>
        <v>0</v>
      </c>
      <c r="AB6" s="22">
        <v>0</v>
      </c>
      <c r="AC6" s="22">
        <v>0</v>
      </c>
      <c r="AD6" s="22">
        <v>0</v>
      </c>
      <c r="AE6" s="22">
        <v>0</v>
      </c>
      <c r="AF6" s="24">
        <v>0</v>
      </c>
    </row>
    <row r="7" spans="1:32">
      <c r="A7" s="112">
        <v>5</v>
      </c>
      <c r="B7" s="41" t="str" cm="1">
        <f t="array" aca="1" ref="B7" ca="1">""&amp;INDIRECT(A7&amp;"!f1")&amp;"-"&amp;INDIRECT(A7&amp;"!g1")&amp;"-"&amp;INDIRECT(A7&amp;"!h1")</f>
        <v>5-3-2026</v>
      </c>
      <c r="C7" s="26" cm="1">
        <f t="array" aca="1" ref="C7" ca="1">INDIRECT(A7&amp;"!g11")</f>
        <v>950</v>
      </c>
      <c r="D7" s="67" cm="1">
        <f t="array" aca="1" ref="D7" ca="1">INDIRECT(A7&amp;"!l11")</f>
        <v>0</v>
      </c>
      <c r="E7" s="67" cm="1">
        <f t="array" aca="1" ref="E7" ca="1">INDIRECT(A7&amp;"!l15")</f>
        <v>0</v>
      </c>
      <c r="F7" s="22">
        <v>0</v>
      </c>
      <c r="G7" s="22">
        <v>0</v>
      </c>
      <c r="H7" s="67" cm="1">
        <f t="array" aca="1" ref="H7" ca="1">INDIRECT(A7&amp;"!l14")</f>
        <v>0</v>
      </c>
      <c r="I7" s="22">
        <v>0</v>
      </c>
      <c r="J7" s="22">
        <v>0</v>
      </c>
      <c r="K7" s="22">
        <v>0</v>
      </c>
      <c r="L7" s="22">
        <v>0</v>
      </c>
      <c r="M7" s="26" cm="1">
        <f t="array" aca="1" ref="M7" ca="1">INDIRECT(A7&amp;"!n11")</f>
        <v>0</v>
      </c>
      <c r="N7" s="28" cm="1">
        <f t="array" aca="1" ref="N7" ca="1">INDIRECT(A7&amp;"!l16")</f>
        <v>0</v>
      </c>
      <c r="O7" s="167"/>
      <c r="P7" s="139" t="str" cm="1">
        <f t="array" aca="1" ref="P7" ca="1">""&amp;INDIRECT(A7&amp;"!f1")&amp;"-"&amp;INDIRECT(A7&amp;"!g1")&amp;"-"&amp;INDIRECT(A7&amp;"!h1")</f>
        <v>5-3-2026</v>
      </c>
      <c r="Q7" s="26" cm="1">
        <f t="array" aca="1" ref="Q7" ca="1">INDIRECT(A7&amp;"!g14")</f>
        <v>1050</v>
      </c>
      <c r="R7" s="67" cm="1">
        <f t="array" aca="1" ref="R7" ca="1">INDIRECT(A7&amp;"!l12")</f>
        <v>32</v>
      </c>
      <c r="S7" s="26" cm="1">
        <f t="array" aca="1" ref="S7" ca="1">INDIRECT(A7&amp;"!n12")</f>
        <v>0</v>
      </c>
      <c r="T7" s="67" cm="1">
        <f t="array" aca="1" ref="T7" ca="1">INDIRECT(A7&amp;"!l13")</f>
        <v>0</v>
      </c>
      <c r="U7" s="22">
        <v>0</v>
      </c>
      <c r="V7" s="22">
        <v>0</v>
      </c>
      <c r="W7" s="24">
        <v>0</v>
      </c>
      <c r="X7" s="141"/>
      <c r="Y7" s="139" t="str" cm="1">
        <f t="array" aca="1" ref="Y7" ca="1">""&amp;INDIRECT(A7&amp;"!f1")&amp;"-"&amp;INDIRECT(A7&amp;"!g1")&amp;"-"&amp;INDIRECT(A7&amp;"!h1")</f>
        <v>5-3-2026</v>
      </c>
      <c r="Z7" s="26" cm="1">
        <f t="array" aca="1" ref="Z7" ca="1">INDIRECT(A7&amp;"!g17")</f>
        <v>0</v>
      </c>
      <c r="AA7" s="26" cm="1">
        <f t="array" aca="1" ref="AA7" ca="1">INDIRECT(A7&amp;"!n13")</f>
        <v>0</v>
      </c>
      <c r="AB7" s="22">
        <v>0</v>
      </c>
      <c r="AC7" s="22">
        <v>0</v>
      </c>
      <c r="AD7" s="22">
        <v>0</v>
      </c>
      <c r="AE7" s="22">
        <v>0</v>
      </c>
      <c r="AF7" s="24">
        <v>0</v>
      </c>
    </row>
    <row r="8" spans="1:32">
      <c r="A8" s="112">
        <v>6</v>
      </c>
      <c r="B8" s="41" t="str" cm="1">
        <f t="array" aca="1" ref="B8" ca="1">""&amp;INDIRECT(A8&amp;"!f1")&amp;"-"&amp;INDIRECT(A8&amp;"!g1")&amp;"-"&amp;INDIRECT(A8&amp;"!h1")</f>
        <v>6-3-2026</v>
      </c>
      <c r="C8" s="26" cm="1">
        <f t="array" aca="1" ref="C8" ca="1">INDIRECT(A8&amp;"!g11")</f>
        <v>950</v>
      </c>
      <c r="D8" s="67" cm="1">
        <f t="array" aca="1" ref="D8" ca="1">INDIRECT(A8&amp;"!l11")</f>
        <v>0</v>
      </c>
      <c r="E8" s="67" cm="1">
        <f t="array" aca="1" ref="E8" ca="1">INDIRECT(A8&amp;"!l15")</f>
        <v>0</v>
      </c>
      <c r="F8" s="22">
        <v>0</v>
      </c>
      <c r="G8" s="22">
        <v>0</v>
      </c>
      <c r="H8" s="67" cm="1">
        <f t="array" aca="1" ref="H8" ca="1">INDIRECT(A8&amp;"!l14")</f>
        <v>0</v>
      </c>
      <c r="I8" s="22">
        <v>0</v>
      </c>
      <c r="J8" s="22">
        <v>0</v>
      </c>
      <c r="K8" s="22">
        <v>0</v>
      </c>
      <c r="L8" s="22">
        <v>0</v>
      </c>
      <c r="M8" s="26" cm="1">
        <f t="array" aca="1" ref="M8" ca="1">INDIRECT(A8&amp;"!n11")</f>
        <v>0</v>
      </c>
      <c r="N8" s="28" cm="1">
        <f t="array" aca="1" ref="N8" ca="1">INDIRECT(A8&amp;"!l16")</f>
        <v>0</v>
      </c>
      <c r="O8" s="167"/>
      <c r="P8" s="139" t="str" cm="1">
        <f t="array" aca="1" ref="P8" ca="1">""&amp;INDIRECT(A8&amp;"!f1")&amp;"-"&amp;INDIRECT(A8&amp;"!g1")&amp;"-"&amp;INDIRECT(A8&amp;"!h1")</f>
        <v>6-3-2026</v>
      </c>
      <c r="Q8" s="26" cm="1">
        <f t="array" aca="1" ref="Q8" ca="1">INDIRECT(A8&amp;"!g14")</f>
        <v>1200</v>
      </c>
      <c r="R8" s="67" cm="1">
        <f t="array" aca="1" ref="R8" ca="1">INDIRECT(A8&amp;"!l12")</f>
        <v>32</v>
      </c>
      <c r="S8" s="26" cm="1">
        <f t="array" aca="1" ref="S8" ca="1">INDIRECT(A8&amp;"!n12")</f>
        <v>0</v>
      </c>
      <c r="T8" s="67" cm="1">
        <f t="array" aca="1" ref="T8" ca="1">INDIRECT(A8&amp;"!l13")</f>
        <v>0</v>
      </c>
      <c r="U8" s="22">
        <v>0</v>
      </c>
      <c r="V8" s="22">
        <v>0</v>
      </c>
      <c r="W8" s="24">
        <v>0</v>
      </c>
      <c r="X8" s="141"/>
      <c r="Y8" s="139" t="str" cm="1">
        <f t="array" aca="1" ref="Y8" ca="1">""&amp;INDIRECT(A8&amp;"!f1")&amp;"-"&amp;INDIRECT(A8&amp;"!g1")&amp;"-"&amp;INDIRECT(A8&amp;"!h1")</f>
        <v>6-3-2026</v>
      </c>
      <c r="Z8" s="26" cm="1">
        <f t="array" aca="1" ref="Z8" ca="1">INDIRECT(A8&amp;"!g17")</f>
        <v>0</v>
      </c>
      <c r="AA8" s="26" cm="1">
        <f t="array" aca="1" ref="AA8" ca="1">INDIRECT(A8&amp;"!n13")</f>
        <v>0</v>
      </c>
      <c r="AB8" s="22">
        <v>0</v>
      </c>
      <c r="AC8" s="22">
        <v>0</v>
      </c>
      <c r="AD8" s="22">
        <v>0</v>
      </c>
      <c r="AE8" s="22">
        <v>0</v>
      </c>
      <c r="AF8" s="24">
        <v>0</v>
      </c>
    </row>
    <row r="9" spans="1:32">
      <c r="A9" s="112">
        <v>7</v>
      </c>
      <c r="B9" s="41" t="str" cm="1">
        <f t="array" aca="1" ref="B9" ca="1">""&amp;INDIRECT(A9&amp;"!f1")&amp;"-"&amp;INDIRECT(A9&amp;"!g1")&amp;"-"&amp;INDIRECT(A9&amp;"!h1")</f>
        <v>7-3-2026</v>
      </c>
      <c r="C9" s="26" cm="1">
        <f t="array" aca="1" ref="C9" ca="1">INDIRECT(A9&amp;"!g11")</f>
        <v>1050</v>
      </c>
      <c r="D9" s="67" cm="1">
        <f t="array" aca="1" ref="D9" ca="1">INDIRECT(A9&amp;"!l11")</f>
        <v>0</v>
      </c>
      <c r="E9" s="67" cm="1">
        <f t="array" aca="1" ref="E9" ca="1">INDIRECT(A9&amp;"!l15")</f>
        <v>0</v>
      </c>
      <c r="F9" s="22">
        <v>0</v>
      </c>
      <c r="G9" s="22">
        <v>0</v>
      </c>
      <c r="H9" s="67" cm="1">
        <f t="array" aca="1" ref="H9" ca="1">INDIRECT(A9&amp;"!l14")</f>
        <v>0</v>
      </c>
      <c r="I9" s="22">
        <v>0</v>
      </c>
      <c r="J9" s="22">
        <v>0</v>
      </c>
      <c r="K9" s="22">
        <v>0</v>
      </c>
      <c r="L9" s="22">
        <v>0</v>
      </c>
      <c r="M9" s="26" cm="1">
        <f t="array" aca="1" ref="M9" ca="1">INDIRECT(A9&amp;"!n11")</f>
        <v>0</v>
      </c>
      <c r="N9" s="28" cm="1">
        <f t="array" aca="1" ref="N9" ca="1">INDIRECT(A9&amp;"!l16")</f>
        <v>0</v>
      </c>
      <c r="O9" s="167"/>
      <c r="P9" s="139" t="str" cm="1">
        <f t="array" aca="1" ref="P9" ca="1">""&amp;INDIRECT(A9&amp;"!f1")&amp;"-"&amp;INDIRECT(A9&amp;"!g1")&amp;"-"&amp;INDIRECT(A9&amp;"!h1")</f>
        <v>7-3-2026</v>
      </c>
      <c r="Q9" s="26" cm="1">
        <f t="array" aca="1" ref="Q9" ca="1">INDIRECT(A9&amp;"!g14")</f>
        <v>1450</v>
      </c>
      <c r="R9" s="67" cm="1">
        <f t="array" aca="1" ref="R9" ca="1">INDIRECT(A9&amp;"!l12")</f>
        <v>40</v>
      </c>
      <c r="S9" s="26" cm="1">
        <f t="array" aca="1" ref="S9" ca="1">INDIRECT(A9&amp;"!n12")</f>
        <v>0</v>
      </c>
      <c r="T9" s="67" cm="1">
        <f t="array" aca="1" ref="T9" ca="1">INDIRECT(A9&amp;"!l13")</f>
        <v>0</v>
      </c>
      <c r="U9" s="22">
        <v>0</v>
      </c>
      <c r="V9" s="22">
        <v>0</v>
      </c>
      <c r="W9" s="24">
        <v>0</v>
      </c>
      <c r="X9" s="141"/>
      <c r="Y9" s="139" t="str" cm="1">
        <f t="array" aca="1" ref="Y9" ca="1">""&amp;INDIRECT(A9&amp;"!f1")&amp;"-"&amp;INDIRECT(A9&amp;"!g1")&amp;"-"&amp;INDIRECT(A9&amp;"!h1")</f>
        <v>7-3-2026</v>
      </c>
      <c r="Z9" s="26" cm="1">
        <f t="array" aca="1" ref="Z9" ca="1">INDIRECT(A9&amp;"!g17")</f>
        <v>0</v>
      </c>
      <c r="AA9" s="26" cm="1">
        <f t="array" aca="1" ref="AA9" ca="1">INDIRECT(A9&amp;"!n13")</f>
        <v>0</v>
      </c>
      <c r="AB9" s="22">
        <v>0</v>
      </c>
      <c r="AC9" s="22">
        <v>0</v>
      </c>
      <c r="AD9" s="22">
        <v>0</v>
      </c>
      <c r="AE9" s="22">
        <v>0</v>
      </c>
      <c r="AF9" s="24">
        <v>0</v>
      </c>
    </row>
    <row r="10" spans="1:32">
      <c r="A10" s="112">
        <v>8</v>
      </c>
      <c r="B10" s="41" t="str" cm="1">
        <f t="array" aca="1" ref="B10" ca="1">""&amp;INDIRECT(A10&amp;"!f1")&amp;"-"&amp;INDIRECT(A10&amp;"!g1")&amp;"-"&amp;INDIRECT(A10&amp;"!h1")</f>
        <v>8-3-2026</v>
      </c>
      <c r="C10" s="26" cm="1">
        <f t="array" aca="1" ref="C10" ca="1">INDIRECT(A10&amp;"!g11")</f>
        <v>1082</v>
      </c>
      <c r="D10" s="67" cm="1">
        <f t="array" aca="1" ref="D10" ca="1">INDIRECT(A10&amp;"!l11")</f>
        <v>0</v>
      </c>
      <c r="E10" s="67" cm="1">
        <f t="array" aca="1" ref="E10" ca="1">INDIRECT(A10&amp;"!l15")</f>
        <v>0</v>
      </c>
      <c r="F10" s="22">
        <v>0</v>
      </c>
      <c r="G10" s="22">
        <v>0</v>
      </c>
      <c r="H10" s="67" cm="1">
        <f t="array" aca="1" ref="H10" ca="1">INDIRECT(A10&amp;"!l14")</f>
        <v>0</v>
      </c>
      <c r="I10" s="22">
        <v>0</v>
      </c>
      <c r="J10" s="22">
        <v>0</v>
      </c>
      <c r="K10" s="22">
        <v>0</v>
      </c>
      <c r="L10" s="22">
        <v>0</v>
      </c>
      <c r="M10" s="26" cm="1">
        <f t="array" aca="1" ref="M10" ca="1">INDIRECT(A10&amp;"!n11")</f>
        <v>0</v>
      </c>
      <c r="N10" s="28" cm="1">
        <f t="array" aca="1" ref="N10" ca="1">INDIRECT(A10&amp;"!l16")</f>
        <v>0</v>
      </c>
      <c r="O10" s="167"/>
      <c r="P10" s="139" t="str" cm="1">
        <f t="array" aca="1" ref="P10" ca="1">""&amp;INDIRECT(A10&amp;"!f1")&amp;"-"&amp;INDIRECT(A10&amp;"!g1")&amp;"-"&amp;INDIRECT(A10&amp;"!h1")</f>
        <v>8-3-2026</v>
      </c>
      <c r="Q10" s="26" cm="1">
        <f t="array" aca="1" ref="Q10" ca="1">INDIRECT(A10&amp;"!g14")</f>
        <v>1450</v>
      </c>
      <c r="R10" s="67" cm="1">
        <f t="array" aca="1" ref="R10" ca="1">INDIRECT(A10&amp;"!l12")</f>
        <v>32</v>
      </c>
      <c r="S10" s="26" cm="1">
        <f t="array" aca="1" ref="S10" ca="1">INDIRECT(A10&amp;"!n12")</f>
        <v>0</v>
      </c>
      <c r="T10" s="67" cm="1">
        <f t="array" aca="1" ref="T10" ca="1">INDIRECT(A10&amp;"!l13")</f>
        <v>0</v>
      </c>
      <c r="U10" s="22">
        <v>0</v>
      </c>
      <c r="V10" s="22">
        <v>0</v>
      </c>
      <c r="W10" s="24">
        <v>0</v>
      </c>
      <c r="X10" s="141"/>
      <c r="Y10" s="139" t="str" cm="1">
        <f t="array" aca="1" ref="Y10" ca="1">""&amp;INDIRECT(A10&amp;"!f1")&amp;"-"&amp;INDIRECT(A10&amp;"!g1")&amp;"-"&amp;INDIRECT(A10&amp;"!h1")</f>
        <v>8-3-2026</v>
      </c>
      <c r="Z10" s="26" cm="1">
        <f t="array" aca="1" ref="Z10" ca="1">INDIRECT(A10&amp;"!g17")</f>
        <v>0</v>
      </c>
      <c r="AA10" s="26" cm="1">
        <f t="array" aca="1" ref="AA10" ca="1">INDIRECT(A10&amp;"!n13")</f>
        <v>0</v>
      </c>
      <c r="AB10" s="22">
        <v>0</v>
      </c>
      <c r="AC10" s="22">
        <v>0</v>
      </c>
      <c r="AD10" s="22">
        <v>0</v>
      </c>
      <c r="AE10" s="22">
        <v>0</v>
      </c>
      <c r="AF10" s="24">
        <v>0</v>
      </c>
    </row>
    <row r="11" spans="1:32">
      <c r="A11" s="112">
        <v>9</v>
      </c>
      <c r="B11" s="41" t="str" cm="1">
        <f t="array" aca="1" ref="B11" ca="1">""&amp;INDIRECT(A11&amp;"!f1")&amp;"-"&amp;INDIRECT(A11&amp;"!g1")&amp;"-"&amp;INDIRECT(A11&amp;"!h1")</f>
        <v>9-3-2026</v>
      </c>
      <c r="C11" s="26" cm="1">
        <f t="array" aca="1" ref="C11" ca="1">INDIRECT(A11&amp;"!g11")</f>
        <v>1082</v>
      </c>
      <c r="D11" s="67" cm="1">
        <f t="array" aca="1" ref="D11" ca="1">INDIRECT(A11&amp;"!l11")</f>
        <v>0</v>
      </c>
      <c r="E11" s="67" cm="1">
        <f t="array" aca="1" ref="E11" ca="1">INDIRECT(A11&amp;"!l15")</f>
        <v>0</v>
      </c>
      <c r="F11" s="22">
        <v>0</v>
      </c>
      <c r="G11" s="22">
        <v>0</v>
      </c>
      <c r="H11" s="67" cm="1">
        <f t="array" aca="1" ref="H11" ca="1">INDIRECT(A11&amp;"!l14")</f>
        <v>0</v>
      </c>
      <c r="I11" s="22">
        <v>0</v>
      </c>
      <c r="J11" s="22">
        <v>0</v>
      </c>
      <c r="K11" s="22">
        <v>0</v>
      </c>
      <c r="L11" s="22">
        <v>0</v>
      </c>
      <c r="M11" s="26" cm="1">
        <f t="array" aca="1" ref="M11" ca="1">INDIRECT(A11&amp;"!n11")</f>
        <v>0</v>
      </c>
      <c r="N11" s="28" cm="1">
        <f t="array" aca="1" ref="N11" ca="1">INDIRECT(A11&amp;"!l16")</f>
        <v>0</v>
      </c>
      <c r="O11" s="167"/>
      <c r="P11" s="139" t="str" cm="1">
        <f t="array" aca="1" ref="P11" ca="1">""&amp;INDIRECT(A11&amp;"!f1")&amp;"-"&amp;INDIRECT(A11&amp;"!g1")&amp;"-"&amp;INDIRECT(A11&amp;"!h1")</f>
        <v>9-3-2026</v>
      </c>
      <c r="Q11" s="26" cm="1">
        <f t="array" aca="1" ref="Q11" ca="1">INDIRECT(A11&amp;"!g14")</f>
        <v>1465</v>
      </c>
      <c r="R11" s="67" cm="1">
        <f t="array" aca="1" ref="R11" ca="1">INDIRECT(A11&amp;"!l12")</f>
        <v>32</v>
      </c>
      <c r="S11" s="26" cm="1">
        <f t="array" aca="1" ref="S11" ca="1">INDIRECT(A11&amp;"!n12")</f>
        <v>0</v>
      </c>
      <c r="T11" s="67" cm="1">
        <f t="array" aca="1" ref="T11" ca="1">INDIRECT(A11&amp;"!l13")</f>
        <v>0</v>
      </c>
      <c r="U11" s="22">
        <v>0</v>
      </c>
      <c r="V11" s="22">
        <v>0</v>
      </c>
      <c r="W11" s="24">
        <v>0</v>
      </c>
      <c r="X11" s="141"/>
      <c r="Y11" s="139" t="str" cm="1">
        <f t="array" aca="1" ref="Y11" ca="1">""&amp;INDIRECT(A11&amp;"!f1")&amp;"-"&amp;INDIRECT(A11&amp;"!g1")&amp;"-"&amp;INDIRECT(A11&amp;"!h1")</f>
        <v>9-3-2026</v>
      </c>
      <c r="Z11" s="26" cm="1">
        <f t="array" aca="1" ref="Z11" ca="1">INDIRECT(A11&amp;"!g17")</f>
        <v>1450</v>
      </c>
      <c r="AA11" s="26" cm="1">
        <f t="array" aca="1" ref="AA11" ca="1">INDIRECT(A11&amp;"!n13")</f>
        <v>0</v>
      </c>
      <c r="AB11" s="22">
        <v>0</v>
      </c>
      <c r="AC11" s="22">
        <v>0</v>
      </c>
      <c r="AD11" s="22">
        <v>0</v>
      </c>
      <c r="AE11" s="22">
        <v>0</v>
      </c>
      <c r="AF11" s="24">
        <v>0</v>
      </c>
    </row>
    <row r="12" spans="1:32">
      <c r="A12" s="112">
        <v>10</v>
      </c>
      <c r="B12" s="41" t="str" cm="1">
        <f t="array" aca="1" ref="B12" ca="1">""&amp;INDIRECT(A12&amp;"!f1")&amp;"-"&amp;INDIRECT(A12&amp;"!g1")&amp;"-"&amp;INDIRECT(A12&amp;"!h1")</f>
        <v>10-3-2026</v>
      </c>
      <c r="C12" s="26" cm="1">
        <f t="array" aca="1" ref="C12" ca="1">INDIRECT(A12&amp;"!g11")</f>
        <v>1240</v>
      </c>
      <c r="D12" s="67" cm="1">
        <f t="array" aca="1" ref="D12" ca="1">INDIRECT(A12&amp;"!l11")</f>
        <v>50</v>
      </c>
      <c r="E12" s="67" cm="1">
        <f t="array" aca="1" ref="E12" ca="1">INDIRECT(A12&amp;"!l15")</f>
        <v>0</v>
      </c>
      <c r="F12" s="22">
        <v>0</v>
      </c>
      <c r="G12" s="22">
        <v>0</v>
      </c>
      <c r="H12" s="67" cm="1">
        <f t="array" aca="1" ref="H12" ca="1">INDIRECT(A12&amp;"!l14")</f>
        <v>0</v>
      </c>
      <c r="I12" s="22">
        <v>0</v>
      </c>
      <c r="J12" s="22">
        <v>0</v>
      </c>
      <c r="K12" s="22">
        <v>0</v>
      </c>
      <c r="L12" s="22">
        <v>0</v>
      </c>
      <c r="M12" s="26" cm="1">
        <f t="array" aca="1" ref="M12" ca="1">INDIRECT(A12&amp;"!n11")</f>
        <v>0</v>
      </c>
      <c r="N12" s="28" cm="1">
        <f t="array" aca="1" ref="N12" ca="1">INDIRECT(A12&amp;"!l16")</f>
        <v>0</v>
      </c>
      <c r="O12" s="167"/>
      <c r="P12" s="139" t="str" cm="1">
        <f t="array" aca="1" ref="P12" ca="1">""&amp;INDIRECT(A12&amp;"!f1")&amp;"-"&amp;INDIRECT(A12&amp;"!g1")&amp;"-"&amp;INDIRECT(A12&amp;"!h1")</f>
        <v>10-3-2026</v>
      </c>
      <c r="Q12" s="26" cm="1">
        <f t="array" aca="1" ref="Q12" ca="1">INDIRECT(A12&amp;"!g14")</f>
        <v>1770</v>
      </c>
      <c r="R12" s="67" cm="1">
        <f t="array" aca="1" ref="R12" ca="1">INDIRECT(A12&amp;"!l12")</f>
        <v>42</v>
      </c>
      <c r="S12" s="26" cm="1">
        <f t="array" aca="1" ref="S12" ca="1">INDIRECT(A12&amp;"!n12")</f>
        <v>0</v>
      </c>
      <c r="T12" s="67" cm="1">
        <f t="array" aca="1" ref="T12" ca="1">INDIRECT(A12&amp;"!l13")</f>
        <v>0</v>
      </c>
      <c r="U12" s="22">
        <v>0</v>
      </c>
      <c r="V12" s="22">
        <v>0</v>
      </c>
      <c r="W12" s="24">
        <v>0</v>
      </c>
      <c r="X12" s="141"/>
      <c r="Y12" s="139" t="str" cm="1">
        <f t="array" aca="1" ref="Y12" ca="1">""&amp;INDIRECT(A12&amp;"!f1")&amp;"-"&amp;INDIRECT(A12&amp;"!g1")&amp;"-"&amp;INDIRECT(A12&amp;"!h1")</f>
        <v>10-3-2026</v>
      </c>
      <c r="Z12" s="26" cm="1">
        <f t="array" aca="1" ref="Z12" ca="1">INDIRECT(A12&amp;"!g17")</f>
        <v>0</v>
      </c>
      <c r="AA12" s="26" cm="1">
        <f t="array" aca="1" ref="AA12" ca="1">INDIRECT(A12&amp;"!n13")</f>
        <v>0</v>
      </c>
      <c r="AB12" s="22">
        <v>0</v>
      </c>
      <c r="AC12" s="22">
        <v>0</v>
      </c>
      <c r="AD12" s="22">
        <v>0</v>
      </c>
      <c r="AE12" s="22">
        <v>0</v>
      </c>
      <c r="AF12" s="24">
        <v>0</v>
      </c>
    </row>
    <row r="13" spans="1:32">
      <c r="A13" s="112">
        <v>11</v>
      </c>
      <c r="B13" s="41" t="str" cm="1">
        <f t="array" aca="1" ref="B13" ca="1">""&amp;INDIRECT(A13&amp;"!f1")&amp;"-"&amp;INDIRECT(A13&amp;"!g1")&amp;"-"&amp;INDIRECT(A13&amp;"!h1")</f>
        <v>11-3-2026</v>
      </c>
      <c r="C13" s="26" cm="1">
        <f t="array" aca="1" ref="C13" ca="1">INDIRECT(A13&amp;"!g11")</f>
        <v>1300</v>
      </c>
      <c r="D13" s="67" cm="1">
        <f t="array" aca="1" ref="D13" ca="1">INDIRECT(A13&amp;"!l11")</f>
        <v>0</v>
      </c>
      <c r="E13" s="67" cm="1">
        <f t="array" aca="1" ref="E13" ca="1">INDIRECT(A13&amp;"!l15")</f>
        <v>0</v>
      </c>
      <c r="F13" s="22">
        <v>0</v>
      </c>
      <c r="G13" s="22">
        <v>0</v>
      </c>
      <c r="H13" s="67" cm="1">
        <f t="array" aca="1" ref="H13" ca="1">INDIRECT(A13&amp;"!l14")</f>
        <v>0</v>
      </c>
      <c r="I13" s="22">
        <v>0</v>
      </c>
      <c r="J13" s="22">
        <v>0</v>
      </c>
      <c r="K13" s="22">
        <v>0</v>
      </c>
      <c r="L13" s="22">
        <v>0</v>
      </c>
      <c r="M13" s="26" cm="1">
        <f t="array" aca="1" ref="M13" ca="1">INDIRECT(A13&amp;"!n11")</f>
        <v>0</v>
      </c>
      <c r="N13" s="28" cm="1">
        <f t="array" aca="1" ref="N13" ca="1">INDIRECT(A13&amp;"!l16")</f>
        <v>0</v>
      </c>
      <c r="O13" s="167"/>
      <c r="P13" s="139" t="str" cm="1">
        <f t="array" aca="1" ref="P13" ca="1">""&amp;INDIRECT(A13&amp;"!f1")&amp;"-"&amp;INDIRECT(A13&amp;"!g1")&amp;"-"&amp;INDIRECT(A13&amp;"!h1")</f>
        <v>11-3-2026</v>
      </c>
      <c r="Q13" s="26" cm="1">
        <f t="array" aca="1" ref="Q13" ca="1">INDIRECT(A13&amp;"!g14")</f>
        <v>1770</v>
      </c>
      <c r="R13" s="67" cm="1">
        <f t="array" aca="1" ref="R13" ca="1">INDIRECT(A13&amp;"!l12")</f>
        <v>32</v>
      </c>
      <c r="S13" s="26" cm="1">
        <f t="array" aca="1" ref="S13" ca="1">INDIRECT(A13&amp;"!n12")</f>
        <v>0</v>
      </c>
      <c r="T13" s="67" cm="1">
        <f t="array" aca="1" ref="T13" ca="1">INDIRECT(A13&amp;"!l13")</f>
        <v>0</v>
      </c>
      <c r="U13" s="22">
        <v>0</v>
      </c>
      <c r="V13" s="22">
        <v>0</v>
      </c>
      <c r="W13" s="24">
        <v>0</v>
      </c>
      <c r="X13" s="141"/>
      <c r="Y13" s="139" t="str" cm="1">
        <f t="array" aca="1" ref="Y13" ca="1">""&amp;INDIRECT(A13&amp;"!f1")&amp;"-"&amp;INDIRECT(A13&amp;"!g1")&amp;"-"&amp;INDIRECT(A13&amp;"!h1")</f>
        <v>11-3-2026</v>
      </c>
      <c r="Z13" s="26" cm="1">
        <f t="array" aca="1" ref="Z13" ca="1">INDIRECT(A13&amp;"!g17")</f>
        <v>0</v>
      </c>
      <c r="AA13" s="26" cm="1">
        <f t="array" aca="1" ref="AA13" ca="1">INDIRECT(A13&amp;"!n13")</f>
        <v>0</v>
      </c>
      <c r="AB13" s="22">
        <v>0</v>
      </c>
      <c r="AC13" s="22">
        <v>0</v>
      </c>
      <c r="AD13" s="22">
        <v>0</v>
      </c>
      <c r="AE13" s="22">
        <v>0</v>
      </c>
      <c r="AF13" s="24">
        <v>0</v>
      </c>
    </row>
    <row r="14" spans="1:32">
      <c r="A14" s="112">
        <v>12</v>
      </c>
      <c r="B14" s="41" t="str" cm="1">
        <f t="array" aca="1" ref="B14" ca="1">""&amp;INDIRECT(A14&amp;"!f1")&amp;"-"&amp;INDIRECT(A14&amp;"!g1")&amp;"-"&amp;INDIRECT(A14&amp;"!h1")</f>
        <v>12-3-2026</v>
      </c>
      <c r="C14" s="26" cm="1">
        <f t="array" aca="1" ref="C14" ca="1">INDIRECT(A14&amp;"!g11")</f>
        <v>1200</v>
      </c>
      <c r="D14" s="67" cm="1">
        <f t="array" aca="1" ref="D14" ca="1">INDIRECT(A14&amp;"!l11")</f>
        <v>0</v>
      </c>
      <c r="E14" s="67" cm="1">
        <f t="array" aca="1" ref="E14" ca="1">INDIRECT(A14&amp;"!l15")</f>
        <v>0</v>
      </c>
      <c r="F14" s="22">
        <v>0</v>
      </c>
      <c r="G14" s="22">
        <v>0</v>
      </c>
      <c r="H14" s="67" cm="1">
        <f t="array" aca="1" ref="H14" ca="1">INDIRECT(A14&amp;"!l14")</f>
        <v>0</v>
      </c>
      <c r="I14" s="22">
        <v>0</v>
      </c>
      <c r="J14" s="22">
        <v>0</v>
      </c>
      <c r="K14" s="22">
        <v>0</v>
      </c>
      <c r="L14" s="22">
        <v>0</v>
      </c>
      <c r="M14" s="26" cm="1">
        <f t="array" aca="1" ref="M14" ca="1">INDIRECT(A14&amp;"!n11")</f>
        <v>0</v>
      </c>
      <c r="N14" s="28" cm="1">
        <f t="array" aca="1" ref="N14" ca="1">INDIRECT(A14&amp;"!l16")</f>
        <v>0</v>
      </c>
      <c r="O14" s="167"/>
      <c r="P14" s="139" t="str" cm="1">
        <f t="array" aca="1" ref="P14" ca="1">""&amp;INDIRECT(A14&amp;"!f1")&amp;"-"&amp;INDIRECT(A14&amp;"!g1")&amp;"-"&amp;INDIRECT(A14&amp;"!h1")</f>
        <v>12-3-2026</v>
      </c>
      <c r="Q14" s="26" cm="1">
        <f t="array" aca="1" ref="Q14" ca="1">INDIRECT(A14&amp;"!g14")</f>
        <v>1770</v>
      </c>
      <c r="R14" s="67" cm="1">
        <f t="array" aca="1" ref="R14" ca="1">INDIRECT(A14&amp;"!l12")</f>
        <v>32</v>
      </c>
      <c r="S14" s="26" cm="1">
        <f t="array" aca="1" ref="S14" ca="1">INDIRECT(A14&amp;"!n12")</f>
        <v>0</v>
      </c>
      <c r="T14" s="67" cm="1">
        <f t="array" aca="1" ref="T14" ca="1">INDIRECT(A14&amp;"!l13")</f>
        <v>0</v>
      </c>
      <c r="U14" s="22">
        <v>0</v>
      </c>
      <c r="V14" s="22">
        <v>0</v>
      </c>
      <c r="W14" s="24">
        <v>0</v>
      </c>
      <c r="X14" s="141"/>
      <c r="Y14" s="139" t="str" cm="1">
        <f t="array" aca="1" ref="Y14" ca="1">""&amp;INDIRECT(A14&amp;"!f1")&amp;"-"&amp;INDIRECT(A14&amp;"!g1")&amp;"-"&amp;INDIRECT(A14&amp;"!h1")</f>
        <v>12-3-2026</v>
      </c>
      <c r="Z14" s="26" cm="1">
        <f t="array" aca="1" ref="Z14" ca="1">INDIRECT(A14&amp;"!g17")</f>
        <v>0</v>
      </c>
      <c r="AA14" s="26" cm="1">
        <f t="array" aca="1" ref="AA14" ca="1">INDIRECT(A14&amp;"!n13")</f>
        <v>0</v>
      </c>
      <c r="AB14" s="22">
        <v>0</v>
      </c>
      <c r="AC14" s="22">
        <v>0</v>
      </c>
      <c r="AD14" s="22">
        <v>0</v>
      </c>
      <c r="AE14" s="22">
        <v>0</v>
      </c>
      <c r="AF14" s="24">
        <v>0</v>
      </c>
    </row>
    <row r="15" spans="1:32">
      <c r="A15" s="112">
        <v>13</v>
      </c>
      <c r="B15" s="41" t="str" cm="1">
        <f t="array" aca="1" ref="B15" ca="1">""&amp;INDIRECT(A15&amp;"!f1")&amp;"-"&amp;INDIRECT(A15&amp;"!g1")&amp;"-"&amp;INDIRECT(A15&amp;"!h1")</f>
        <v>13-3-2026</v>
      </c>
      <c r="C15" s="26" cm="1">
        <f t="array" aca="1" ref="C15" ca="1">INDIRECT(A15&amp;"!g11")</f>
        <v>1200</v>
      </c>
      <c r="D15" s="67" cm="1">
        <f t="array" aca="1" ref="D15" ca="1">INDIRECT(A15&amp;"!l11")</f>
        <v>0</v>
      </c>
      <c r="E15" s="67" cm="1">
        <f t="array" aca="1" ref="E15" ca="1">INDIRECT(A15&amp;"!l15")</f>
        <v>0</v>
      </c>
      <c r="F15" s="22">
        <v>0</v>
      </c>
      <c r="G15" s="22">
        <v>0</v>
      </c>
      <c r="H15" s="67" cm="1">
        <f t="array" aca="1" ref="H15" ca="1">INDIRECT(A15&amp;"!l14")</f>
        <v>0</v>
      </c>
      <c r="I15" s="22">
        <v>0</v>
      </c>
      <c r="J15" s="22">
        <v>0</v>
      </c>
      <c r="K15" s="22">
        <v>0</v>
      </c>
      <c r="L15" s="22">
        <v>0</v>
      </c>
      <c r="M15" s="26" cm="1">
        <f t="array" aca="1" ref="M15" ca="1">INDIRECT(A15&amp;"!n11")</f>
        <v>0</v>
      </c>
      <c r="N15" s="28" cm="1">
        <f t="array" aca="1" ref="N15" ca="1">INDIRECT(A15&amp;"!l16")</f>
        <v>0</v>
      </c>
      <c r="O15" s="167"/>
      <c r="P15" s="139" t="str" cm="1">
        <f t="array" aca="1" ref="P15" ca="1">""&amp;INDIRECT(A15&amp;"!f1")&amp;"-"&amp;INDIRECT(A15&amp;"!g1")&amp;"-"&amp;INDIRECT(A15&amp;"!h1")</f>
        <v>13-3-2026</v>
      </c>
      <c r="Q15" s="26" cm="1">
        <f t="array" aca="1" ref="Q15" ca="1">INDIRECT(A15&amp;"!g14")</f>
        <v>1700</v>
      </c>
      <c r="R15" s="67" cm="1">
        <f t="array" aca="1" ref="R15" ca="1">INDIRECT(A15&amp;"!l12")</f>
        <v>32</v>
      </c>
      <c r="S15" s="26" cm="1">
        <f t="array" aca="1" ref="S15" ca="1">INDIRECT(A15&amp;"!n12")</f>
        <v>0</v>
      </c>
      <c r="T15" s="67" cm="1">
        <f t="array" aca="1" ref="T15" ca="1">INDIRECT(A15&amp;"!l13")</f>
        <v>0</v>
      </c>
      <c r="U15" s="22">
        <v>0</v>
      </c>
      <c r="V15" s="22">
        <v>0</v>
      </c>
      <c r="W15" s="24">
        <v>0</v>
      </c>
      <c r="X15" s="141"/>
      <c r="Y15" s="139" t="str" cm="1">
        <f t="array" aca="1" ref="Y15" ca="1">""&amp;INDIRECT(A15&amp;"!f1")&amp;"-"&amp;INDIRECT(A15&amp;"!g1")&amp;"-"&amp;INDIRECT(A15&amp;"!h1")</f>
        <v>13-3-2026</v>
      </c>
      <c r="Z15" s="26" cm="1">
        <f t="array" aca="1" ref="Z15" ca="1">INDIRECT(A15&amp;"!g17")</f>
        <v>0</v>
      </c>
      <c r="AA15" s="26" cm="1">
        <f t="array" aca="1" ref="AA15" ca="1">INDIRECT(A15&amp;"!n13")</f>
        <v>0</v>
      </c>
      <c r="AB15" s="22">
        <v>0</v>
      </c>
      <c r="AC15" s="22">
        <v>0</v>
      </c>
      <c r="AD15" s="22">
        <v>0</v>
      </c>
      <c r="AE15" s="22">
        <v>0</v>
      </c>
      <c r="AF15" s="24">
        <v>0</v>
      </c>
    </row>
    <row r="16" spans="1:32">
      <c r="A16" s="112">
        <v>14</v>
      </c>
      <c r="B16" s="41" t="str" cm="1">
        <f t="array" aca="1" ref="B16" ca="1">""&amp;INDIRECT(A16&amp;"!f1")&amp;"-"&amp;INDIRECT(A16&amp;"!g1")&amp;"-"&amp;INDIRECT(A16&amp;"!h1")</f>
        <v>14-3-2026</v>
      </c>
      <c r="C16" s="26" cm="1">
        <f t="array" aca="1" ref="C16" ca="1">INDIRECT(A16&amp;"!g11")</f>
        <v>1200</v>
      </c>
      <c r="D16" s="67" cm="1">
        <f t="array" aca="1" ref="D16" ca="1">INDIRECT(A16&amp;"!l11")</f>
        <v>0</v>
      </c>
      <c r="E16" s="67" cm="1">
        <f t="array" aca="1" ref="E16" ca="1">INDIRECT(A16&amp;"!l15")</f>
        <v>0</v>
      </c>
      <c r="F16" s="22">
        <v>0</v>
      </c>
      <c r="G16" s="22">
        <v>0</v>
      </c>
      <c r="H16" s="67" cm="1">
        <f t="array" aca="1" ref="H16" ca="1">INDIRECT(A16&amp;"!l14")</f>
        <v>0</v>
      </c>
      <c r="I16" s="22">
        <v>0</v>
      </c>
      <c r="J16" s="22">
        <v>0</v>
      </c>
      <c r="K16" s="22">
        <v>0</v>
      </c>
      <c r="L16" s="22">
        <v>0</v>
      </c>
      <c r="M16" s="26" cm="1">
        <f t="array" aca="1" ref="M16" ca="1">INDIRECT(A16&amp;"!n11")</f>
        <v>0</v>
      </c>
      <c r="N16" s="28" cm="1">
        <f t="array" aca="1" ref="N16" ca="1">INDIRECT(A16&amp;"!l16")</f>
        <v>0</v>
      </c>
      <c r="O16" s="167"/>
      <c r="P16" s="139" t="str" cm="1">
        <f t="array" aca="1" ref="P16" ca="1">""&amp;INDIRECT(A16&amp;"!f1")&amp;"-"&amp;INDIRECT(A16&amp;"!g1")&amp;"-"&amp;INDIRECT(A16&amp;"!h1")</f>
        <v>14-3-2026</v>
      </c>
      <c r="Q16" s="26" cm="1">
        <f t="array" aca="1" ref="Q16" ca="1">INDIRECT(A16&amp;"!g14")</f>
        <v>1700</v>
      </c>
      <c r="R16" s="67" cm="1">
        <f t="array" aca="1" ref="R16" ca="1">INDIRECT(A16&amp;"!l12")</f>
        <v>32</v>
      </c>
      <c r="S16" s="26" cm="1">
        <f t="array" aca="1" ref="S16" ca="1">INDIRECT(A16&amp;"!n12")</f>
        <v>0</v>
      </c>
      <c r="T16" s="67" cm="1">
        <f t="array" aca="1" ref="T16" ca="1">INDIRECT(A16&amp;"!l13")</f>
        <v>0</v>
      </c>
      <c r="U16" s="22">
        <v>0</v>
      </c>
      <c r="V16" s="22">
        <v>0</v>
      </c>
      <c r="W16" s="24">
        <v>0</v>
      </c>
      <c r="X16" s="141"/>
      <c r="Y16" s="139" t="str" cm="1">
        <f t="array" aca="1" ref="Y16" ca="1">""&amp;INDIRECT(A16&amp;"!f1")&amp;"-"&amp;INDIRECT(A16&amp;"!g1")&amp;"-"&amp;INDIRECT(A16&amp;"!h1")</f>
        <v>14-3-2026</v>
      </c>
      <c r="Z16" s="26" cm="1">
        <f t="array" aca="1" ref="Z16" ca="1">INDIRECT(A16&amp;"!g17")</f>
        <v>0</v>
      </c>
      <c r="AA16" s="26" cm="1">
        <f t="array" aca="1" ref="AA16" ca="1">INDIRECT(A16&amp;"!n13")</f>
        <v>0</v>
      </c>
      <c r="AB16" s="22">
        <v>0</v>
      </c>
      <c r="AC16" s="22">
        <v>0</v>
      </c>
      <c r="AD16" s="22">
        <v>0</v>
      </c>
      <c r="AE16" s="22">
        <v>0</v>
      </c>
      <c r="AF16" s="24">
        <v>0</v>
      </c>
    </row>
    <row r="17" spans="1:32">
      <c r="A17" s="112">
        <v>15</v>
      </c>
      <c r="B17" s="41" t="str" cm="1">
        <f t="array" aca="1" ref="B17" ca="1">""&amp;INDIRECT(A17&amp;"!f1")&amp;"-"&amp;INDIRECT(A17&amp;"!g1")&amp;"-"&amp;INDIRECT(A17&amp;"!h1")</f>
        <v>15-3-2026</v>
      </c>
      <c r="C17" s="26" cm="1">
        <f t="array" aca="1" ref="C17" ca="1">INDIRECT(A17&amp;"!g11")</f>
        <v>1300</v>
      </c>
      <c r="D17" s="67" cm="1">
        <f t="array" aca="1" ref="D17" ca="1">INDIRECT(A17&amp;"!l11")</f>
        <v>0</v>
      </c>
      <c r="E17" s="67" cm="1">
        <f t="array" aca="1" ref="E17" ca="1">INDIRECT(A17&amp;"!l15")</f>
        <v>0</v>
      </c>
      <c r="F17" s="22">
        <v>0</v>
      </c>
      <c r="G17" s="22">
        <v>0</v>
      </c>
      <c r="H17" s="67" cm="1">
        <f t="array" aca="1" ref="H17" ca="1">INDIRECT(A17&amp;"!l14")</f>
        <v>0</v>
      </c>
      <c r="I17" s="22">
        <v>0</v>
      </c>
      <c r="J17" s="22">
        <v>0</v>
      </c>
      <c r="K17" s="22">
        <v>0</v>
      </c>
      <c r="L17" s="22">
        <v>0</v>
      </c>
      <c r="M17" s="26" cm="1">
        <f t="array" aca="1" ref="M17" ca="1">INDIRECT(A17&amp;"!n11")</f>
        <v>0</v>
      </c>
      <c r="N17" s="28" cm="1">
        <f t="array" aca="1" ref="N17" ca="1">INDIRECT(A17&amp;"!l16")</f>
        <v>0</v>
      </c>
      <c r="O17" s="167"/>
      <c r="P17" s="139" t="str" cm="1">
        <f t="array" aca="1" ref="P17" ca="1">""&amp;INDIRECT(A17&amp;"!f1")&amp;"-"&amp;INDIRECT(A17&amp;"!g1")&amp;"-"&amp;INDIRECT(A17&amp;"!h1")</f>
        <v>15-3-2026</v>
      </c>
      <c r="Q17" s="26" cm="1">
        <f t="array" aca="1" ref="Q17" ca="1">INDIRECT(A17&amp;"!g14")</f>
        <v>1700</v>
      </c>
      <c r="R17" s="67" cm="1">
        <f t="array" aca="1" ref="R17" ca="1">INDIRECT(A17&amp;"!l12")</f>
        <v>32</v>
      </c>
      <c r="S17" s="26" cm="1">
        <f t="array" aca="1" ref="S17" ca="1">INDIRECT(A17&amp;"!n12")</f>
        <v>0</v>
      </c>
      <c r="T17" s="67" cm="1">
        <f t="array" aca="1" ref="T17" ca="1">INDIRECT(A17&amp;"!l13")</f>
        <v>0</v>
      </c>
      <c r="U17" s="22">
        <v>0</v>
      </c>
      <c r="V17" s="22">
        <v>0</v>
      </c>
      <c r="W17" s="24">
        <v>0</v>
      </c>
      <c r="X17" s="141"/>
      <c r="Y17" s="139" t="str" cm="1">
        <f t="array" aca="1" ref="Y17" ca="1">""&amp;INDIRECT(A17&amp;"!f1")&amp;"-"&amp;INDIRECT(A17&amp;"!g1")&amp;"-"&amp;INDIRECT(A17&amp;"!h1")</f>
        <v>15-3-2026</v>
      </c>
      <c r="Z17" s="26" cm="1">
        <f t="array" aca="1" ref="Z17" ca="1">INDIRECT(A17&amp;"!g17")</f>
        <v>0</v>
      </c>
      <c r="AA17" s="26" cm="1">
        <f t="array" aca="1" ref="AA17" ca="1">INDIRECT(A17&amp;"!n13")</f>
        <v>0</v>
      </c>
      <c r="AB17" s="22">
        <v>0</v>
      </c>
      <c r="AC17" s="22">
        <v>0</v>
      </c>
      <c r="AD17" s="22">
        <v>0</v>
      </c>
      <c r="AE17" s="22">
        <v>0</v>
      </c>
      <c r="AF17" s="24">
        <v>0</v>
      </c>
    </row>
    <row r="18" spans="1:32">
      <c r="A18" s="112">
        <v>16</v>
      </c>
      <c r="B18" s="41" t="str" cm="1">
        <f t="array" aca="1" ref="B18" ca="1">""&amp;INDIRECT(A18&amp;"!f1")&amp;"-"&amp;INDIRECT(A18&amp;"!g1")&amp;"-"&amp;INDIRECT(A18&amp;"!h1")</f>
        <v>16-3-2026</v>
      </c>
      <c r="C18" s="26" cm="1">
        <f t="array" aca="1" ref="C18" ca="1">INDIRECT(A18&amp;"!g11")</f>
        <v>1300</v>
      </c>
      <c r="D18" s="67" cm="1">
        <f t="array" aca="1" ref="D18" ca="1">INDIRECT(A18&amp;"!l11")</f>
        <v>0</v>
      </c>
      <c r="E18" s="67" cm="1">
        <f t="array" aca="1" ref="E18" ca="1">INDIRECT(A18&amp;"!l15")</f>
        <v>0</v>
      </c>
      <c r="F18" s="22">
        <v>0</v>
      </c>
      <c r="G18" s="22">
        <v>0</v>
      </c>
      <c r="H18" s="67" cm="1">
        <f t="array" aca="1" ref="H18" ca="1">INDIRECT(A18&amp;"!l14")</f>
        <v>50</v>
      </c>
      <c r="I18" s="22">
        <v>0</v>
      </c>
      <c r="J18" s="22">
        <v>0</v>
      </c>
      <c r="K18" s="22">
        <v>0</v>
      </c>
      <c r="L18" s="22">
        <v>0</v>
      </c>
      <c r="M18" s="26" cm="1">
        <f t="array" aca="1" ref="M18" ca="1">INDIRECT(A18&amp;"!n11")</f>
        <v>0</v>
      </c>
      <c r="N18" s="28" cm="1">
        <f t="array" aca="1" ref="N18" ca="1">INDIRECT(A18&amp;"!l16")</f>
        <v>0</v>
      </c>
      <c r="O18" s="167"/>
      <c r="P18" s="139" t="str" cm="1">
        <f t="array" aca="1" ref="P18" ca="1">""&amp;INDIRECT(A18&amp;"!f1")&amp;"-"&amp;INDIRECT(A18&amp;"!g1")&amp;"-"&amp;INDIRECT(A18&amp;"!h1")</f>
        <v>16-3-2026</v>
      </c>
      <c r="Q18" s="26" cm="1">
        <f t="array" aca="1" ref="Q18" ca="1">INDIRECT(A18&amp;"!g14")</f>
        <v>1670</v>
      </c>
      <c r="R18" s="67" cm="1">
        <f t="array" aca="1" ref="R18" ca="1">INDIRECT(A18&amp;"!l12")</f>
        <v>32</v>
      </c>
      <c r="S18" s="26" cm="1">
        <f t="array" aca="1" ref="S18" ca="1">INDIRECT(A18&amp;"!n12")</f>
        <v>0</v>
      </c>
      <c r="T18" s="67" cm="1">
        <f t="array" aca="1" ref="T18" ca="1">INDIRECT(A18&amp;"!l13")</f>
        <v>0</v>
      </c>
      <c r="U18" s="22">
        <v>0</v>
      </c>
      <c r="V18" s="22">
        <v>0</v>
      </c>
      <c r="W18" s="24">
        <v>0</v>
      </c>
      <c r="X18" s="141"/>
      <c r="Y18" s="139" t="str" cm="1">
        <f t="array" aca="1" ref="Y18" ca="1">""&amp;INDIRECT(A18&amp;"!f1")&amp;"-"&amp;INDIRECT(A18&amp;"!g1")&amp;"-"&amp;INDIRECT(A18&amp;"!h1")</f>
        <v>16-3-2026</v>
      </c>
      <c r="Z18" s="26" cm="1">
        <f t="array" aca="1" ref="Z18" ca="1">INDIRECT(A18&amp;"!g17")</f>
        <v>0</v>
      </c>
      <c r="AA18" s="26" cm="1">
        <f t="array" aca="1" ref="AA18" ca="1">INDIRECT(A18&amp;"!n13")</f>
        <v>0</v>
      </c>
      <c r="AB18" s="22">
        <v>0</v>
      </c>
      <c r="AC18" s="22">
        <v>0</v>
      </c>
      <c r="AD18" s="22">
        <v>0</v>
      </c>
      <c r="AE18" s="22">
        <v>0</v>
      </c>
      <c r="AF18" s="24">
        <v>0</v>
      </c>
    </row>
    <row r="19" spans="1:32">
      <c r="A19" s="112">
        <v>17</v>
      </c>
      <c r="B19" s="41" t="str" cm="1">
        <f t="array" aca="1" ref="B19" ca="1">""&amp;INDIRECT(A19&amp;"!f1")&amp;"-"&amp;INDIRECT(A19&amp;"!g1")&amp;"-"&amp;INDIRECT(A19&amp;"!h1")</f>
        <v>17-3-2026</v>
      </c>
      <c r="C19" s="26" cm="1">
        <f t="array" aca="1" ref="C19" ca="1">INDIRECT(A19&amp;"!g11")</f>
        <v>1300</v>
      </c>
      <c r="D19" s="67" cm="1">
        <f t="array" aca="1" ref="D19" ca="1">INDIRECT(A19&amp;"!l11")</f>
        <v>50</v>
      </c>
      <c r="E19" s="67" cm="1">
        <f t="array" aca="1" ref="E19" ca="1">INDIRECT(A19&amp;"!l15")</f>
        <v>0</v>
      </c>
      <c r="F19" s="22">
        <v>0</v>
      </c>
      <c r="G19" s="22">
        <v>0</v>
      </c>
      <c r="H19" s="67" cm="1">
        <f t="array" aca="1" ref="H19" ca="1">INDIRECT(A19&amp;"!l14")</f>
        <v>0</v>
      </c>
      <c r="I19" s="22">
        <v>0</v>
      </c>
      <c r="J19" s="22">
        <v>0</v>
      </c>
      <c r="K19" s="22">
        <v>0</v>
      </c>
      <c r="L19" s="22">
        <v>0</v>
      </c>
      <c r="M19" s="26" cm="1">
        <f t="array" aca="1" ref="M19" ca="1">INDIRECT(A19&amp;"!n11")</f>
        <v>0</v>
      </c>
      <c r="N19" s="28" cm="1">
        <f t="array" aca="1" ref="N19" ca="1">INDIRECT(A19&amp;"!l16")</f>
        <v>0</v>
      </c>
      <c r="O19" s="167"/>
      <c r="P19" s="139" t="str" cm="1">
        <f t="array" aca="1" ref="P19" ca="1">""&amp;INDIRECT(A19&amp;"!f1")&amp;"-"&amp;INDIRECT(A19&amp;"!g1")&amp;"-"&amp;INDIRECT(A19&amp;"!h1")</f>
        <v>17-3-2026</v>
      </c>
      <c r="Q19" s="26" cm="1">
        <f t="array" aca="1" ref="Q19" ca="1">INDIRECT(A19&amp;"!g14")</f>
        <v>1670</v>
      </c>
      <c r="R19" s="67" cm="1">
        <f t="array" aca="1" ref="R19" ca="1">INDIRECT(A19&amp;"!l12")</f>
        <v>32</v>
      </c>
      <c r="S19" s="26" cm="1">
        <f t="array" aca="1" ref="S19" ca="1">INDIRECT(A19&amp;"!n12")</f>
        <v>0</v>
      </c>
      <c r="T19" s="67" cm="1">
        <f t="array" aca="1" ref="T19" ca="1">INDIRECT(A19&amp;"!l13")</f>
        <v>0</v>
      </c>
      <c r="U19" s="22">
        <v>0</v>
      </c>
      <c r="V19" s="22">
        <v>0</v>
      </c>
      <c r="W19" s="24">
        <v>0</v>
      </c>
      <c r="X19" s="141"/>
      <c r="Y19" s="139" t="str" cm="1">
        <f t="array" aca="1" ref="Y19" ca="1">""&amp;INDIRECT(A19&amp;"!f1")&amp;"-"&amp;INDIRECT(A19&amp;"!g1")&amp;"-"&amp;INDIRECT(A19&amp;"!h1")</f>
        <v>17-3-2026</v>
      </c>
      <c r="Z19" s="26" cm="1">
        <f t="array" aca="1" ref="Z19" ca="1">INDIRECT(A19&amp;"!g17")</f>
        <v>1450</v>
      </c>
      <c r="AA19" s="26" cm="1">
        <f t="array" aca="1" ref="AA19" ca="1">INDIRECT(A19&amp;"!n13")</f>
        <v>0</v>
      </c>
      <c r="AB19" s="22">
        <v>0</v>
      </c>
      <c r="AC19" s="22">
        <v>0</v>
      </c>
      <c r="AD19" s="22">
        <v>0</v>
      </c>
      <c r="AE19" s="22">
        <v>0</v>
      </c>
      <c r="AF19" s="24">
        <v>0</v>
      </c>
    </row>
    <row r="20" spans="1:32">
      <c r="A20" s="112">
        <v>18</v>
      </c>
      <c r="B20" s="41" t="str" cm="1">
        <f t="array" aca="1" ref="B20" ca="1">""&amp;INDIRECT(A20&amp;"!f1")&amp;"-"&amp;INDIRECT(A20&amp;"!g1")&amp;"-"&amp;INDIRECT(A20&amp;"!h1")</f>
        <v>18-3-2026</v>
      </c>
      <c r="C20" s="26" cm="1">
        <f t="array" aca="1" ref="C20" ca="1">INDIRECT(A20&amp;"!g11")</f>
        <v>1250</v>
      </c>
      <c r="D20" s="67" cm="1">
        <f t="array" aca="1" ref="D20" ca="1">INDIRECT(A20&amp;"!l11")</f>
        <v>0</v>
      </c>
      <c r="E20" s="67" cm="1">
        <f t="array" aca="1" ref="E20" ca="1">INDIRECT(A20&amp;"!l15")</f>
        <v>0</v>
      </c>
      <c r="F20" s="22">
        <v>0</v>
      </c>
      <c r="G20" s="22">
        <v>0</v>
      </c>
      <c r="H20" s="67" cm="1">
        <f t="array" aca="1" ref="H20" ca="1">INDIRECT(A20&amp;"!l14")</f>
        <v>0</v>
      </c>
      <c r="I20" s="22">
        <v>0</v>
      </c>
      <c r="J20" s="22">
        <v>0</v>
      </c>
      <c r="K20" s="22">
        <v>0</v>
      </c>
      <c r="L20" s="22">
        <v>0</v>
      </c>
      <c r="M20" s="26" cm="1">
        <f t="array" aca="1" ref="M20" ca="1">INDIRECT(A20&amp;"!n11")</f>
        <v>0</v>
      </c>
      <c r="N20" s="28" cm="1">
        <f t="array" aca="1" ref="N20" ca="1">INDIRECT(A20&amp;"!l16")</f>
        <v>0</v>
      </c>
      <c r="O20" s="167"/>
      <c r="P20" s="139" t="str" cm="1">
        <f t="array" aca="1" ref="P20" ca="1">""&amp;INDIRECT(A20&amp;"!f1")&amp;"-"&amp;INDIRECT(A20&amp;"!g1")&amp;"-"&amp;INDIRECT(A20&amp;"!h1")</f>
        <v>18-3-2026</v>
      </c>
      <c r="Q20" s="26" cm="1">
        <f t="array" aca="1" ref="Q20" ca="1">INDIRECT(A20&amp;"!g14")</f>
        <v>1670</v>
      </c>
      <c r="R20" s="67" cm="1">
        <f t="array" aca="1" ref="R20" ca="1">INDIRECT(A20&amp;"!l12")</f>
        <v>35</v>
      </c>
      <c r="S20" s="26" cm="1">
        <f t="array" aca="1" ref="S20" ca="1">INDIRECT(A20&amp;"!n12")</f>
        <v>0</v>
      </c>
      <c r="T20" s="67" cm="1">
        <f t="array" aca="1" ref="T20" ca="1">INDIRECT(A20&amp;"!l13")</f>
        <v>0</v>
      </c>
      <c r="U20" s="22">
        <v>0</v>
      </c>
      <c r="V20" s="22">
        <v>0</v>
      </c>
      <c r="W20" s="24">
        <v>0</v>
      </c>
      <c r="X20" s="141"/>
      <c r="Y20" s="139" t="str" cm="1">
        <f t="array" aca="1" ref="Y20" ca="1">""&amp;INDIRECT(A20&amp;"!f1")&amp;"-"&amp;INDIRECT(A20&amp;"!g1")&amp;"-"&amp;INDIRECT(A20&amp;"!h1")</f>
        <v>18-3-2026</v>
      </c>
      <c r="Z20" s="26" cm="1">
        <f t="array" aca="1" ref="Z20" ca="1">INDIRECT(A20&amp;"!g17")</f>
        <v>0</v>
      </c>
      <c r="AA20" s="26" cm="1">
        <f t="array" aca="1" ref="AA20" ca="1">INDIRECT(A20&amp;"!n13")</f>
        <v>0</v>
      </c>
      <c r="AB20" s="22">
        <v>0</v>
      </c>
      <c r="AC20" s="22">
        <v>0</v>
      </c>
      <c r="AD20" s="22">
        <v>0</v>
      </c>
      <c r="AE20" s="22">
        <v>0</v>
      </c>
      <c r="AF20" s="24">
        <v>0</v>
      </c>
    </row>
    <row r="21" spans="1:32">
      <c r="A21" s="112">
        <v>19</v>
      </c>
      <c r="B21" s="41" t="str" cm="1">
        <f t="array" aca="1" ref="B21" ca="1">""&amp;INDIRECT(A21&amp;"!f1")&amp;"-"&amp;INDIRECT(A21&amp;"!g1")&amp;"-"&amp;INDIRECT(A21&amp;"!h1")</f>
        <v>19-3-2026</v>
      </c>
      <c r="C21" s="26" cm="1">
        <f t="array" aca="1" ref="C21" ca="1">INDIRECT(A21&amp;"!g11")</f>
        <v>1250</v>
      </c>
      <c r="D21" s="67" cm="1">
        <f t="array" aca="1" ref="D21" ca="1">INDIRECT(A21&amp;"!l11")</f>
        <v>0</v>
      </c>
      <c r="E21" s="67" cm="1">
        <f t="array" aca="1" ref="E21" ca="1">INDIRECT(A21&amp;"!l15")</f>
        <v>0</v>
      </c>
      <c r="F21" s="22">
        <v>0</v>
      </c>
      <c r="G21" s="22">
        <v>0</v>
      </c>
      <c r="H21" s="67" cm="1">
        <f t="array" aca="1" ref="H21" ca="1">INDIRECT(A21&amp;"!l14")</f>
        <v>0</v>
      </c>
      <c r="I21" s="22">
        <v>0</v>
      </c>
      <c r="J21" s="22">
        <v>0</v>
      </c>
      <c r="K21" s="22">
        <v>0</v>
      </c>
      <c r="L21" s="22">
        <v>0</v>
      </c>
      <c r="M21" s="26" cm="1">
        <f t="array" aca="1" ref="M21" ca="1">INDIRECT(A21&amp;"!n11")</f>
        <v>0</v>
      </c>
      <c r="N21" s="28" cm="1">
        <f t="array" aca="1" ref="N21" ca="1">INDIRECT(A21&amp;"!l16")</f>
        <v>0</v>
      </c>
      <c r="O21" s="167"/>
      <c r="P21" s="139" t="str" cm="1">
        <f t="array" aca="1" ref="P21" ca="1">""&amp;INDIRECT(A21&amp;"!f1")&amp;"-"&amp;INDIRECT(A21&amp;"!g1")&amp;"-"&amp;INDIRECT(A21&amp;"!h1")</f>
        <v>19-3-2026</v>
      </c>
      <c r="Q21" s="26" cm="1">
        <f t="array" aca="1" ref="Q21" ca="1">INDIRECT(A21&amp;"!g14")</f>
        <v>1670</v>
      </c>
      <c r="R21" s="67" cm="1">
        <f t="array" aca="1" ref="R21" ca="1">INDIRECT(A21&amp;"!l12")</f>
        <v>32</v>
      </c>
      <c r="S21" s="26" cm="1">
        <f t="array" aca="1" ref="S21" ca="1">INDIRECT(A21&amp;"!n12")</f>
        <v>0</v>
      </c>
      <c r="T21" s="67" cm="1">
        <f t="array" aca="1" ref="T21" ca="1">INDIRECT(A21&amp;"!l13")</f>
        <v>0</v>
      </c>
      <c r="U21" s="22">
        <v>0</v>
      </c>
      <c r="V21" s="22">
        <v>0</v>
      </c>
      <c r="W21" s="24">
        <v>0</v>
      </c>
      <c r="X21" s="141"/>
      <c r="Y21" s="139" t="str" cm="1">
        <f t="array" aca="1" ref="Y21" ca="1">""&amp;INDIRECT(A21&amp;"!f1")&amp;"-"&amp;INDIRECT(A21&amp;"!g1")&amp;"-"&amp;INDIRECT(A21&amp;"!h1")</f>
        <v>19-3-2026</v>
      </c>
      <c r="Z21" s="26" cm="1">
        <f t="array" aca="1" ref="Z21" ca="1">INDIRECT(A21&amp;"!g17")</f>
        <v>0</v>
      </c>
      <c r="AA21" s="26" cm="1">
        <f t="array" aca="1" ref="AA21" ca="1">INDIRECT(A21&amp;"!n13")</f>
        <v>0</v>
      </c>
      <c r="AB21" s="22">
        <v>0</v>
      </c>
      <c r="AC21" s="22">
        <v>0</v>
      </c>
      <c r="AD21" s="22">
        <v>0</v>
      </c>
      <c r="AE21" s="22">
        <v>0</v>
      </c>
      <c r="AF21" s="24">
        <v>0</v>
      </c>
    </row>
    <row r="22" spans="1:32">
      <c r="A22" s="112">
        <v>20</v>
      </c>
      <c r="B22" s="41" t="str" cm="1">
        <f t="array" aca="1" ref="B22" ca="1">""&amp;INDIRECT(A22&amp;"!f1")&amp;"-"&amp;INDIRECT(A22&amp;"!g1")&amp;"-"&amp;INDIRECT(A22&amp;"!h1")</f>
        <v>20-3-2026</v>
      </c>
      <c r="C22" s="26" cm="1">
        <f t="array" aca="1" ref="C22" ca="1">INDIRECT(A22&amp;"!g11")</f>
        <v>1250</v>
      </c>
      <c r="D22" s="67" cm="1">
        <f t="array" aca="1" ref="D22" ca="1">INDIRECT(A22&amp;"!l11")</f>
        <v>0</v>
      </c>
      <c r="E22" s="67" cm="1">
        <f t="array" aca="1" ref="E22" ca="1">INDIRECT(A22&amp;"!l15")</f>
        <v>0</v>
      </c>
      <c r="F22" s="22">
        <v>0</v>
      </c>
      <c r="G22" s="22">
        <v>0</v>
      </c>
      <c r="H22" s="67" cm="1">
        <f t="array" aca="1" ref="H22" ca="1">INDIRECT(A22&amp;"!l14")</f>
        <v>0</v>
      </c>
      <c r="I22" s="22">
        <v>0</v>
      </c>
      <c r="J22" s="22">
        <v>0</v>
      </c>
      <c r="K22" s="22">
        <v>0</v>
      </c>
      <c r="L22" s="22">
        <v>0</v>
      </c>
      <c r="M22" s="26" cm="1">
        <f t="array" aca="1" ref="M22" ca="1">INDIRECT(A22&amp;"!n11")</f>
        <v>0</v>
      </c>
      <c r="N22" s="28" cm="1">
        <f t="array" aca="1" ref="N22" ca="1">INDIRECT(A22&amp;"!l16")</f>
        <v>0</v>
      </c>
      <c r="O22" s="167"/>
      <c r="P22" s="139" t="str" cm="1">
        <f t="array" aca="1" ref="P22" ca="1">""&amp;INDIRECT(A22&amp;"!f1")&amp;"-"&amp;INDIRECT(A22&amp;"!g1")&amp;"-"&amp;INDIRECT(A22&amp;"!h1")</f>
        <v>20-3-2026</v>
      </c>
      <c r="Q22" s="26" cm="1">
        <f t="array" aca="1" ref="Q22" ca="1">INDIRECT(A22&amp;"!g14")</f>
        <v>1670</v>
      </c>
      <c r="R22" s="67" cm="1">
        <f t="array" aca="1" ref="R22" ca="1">INDIRECT(A22&amp;"!l12")</f>
        <v>29</v>
      </c>
      <c r="S22" s="26" cm="1">
        <f t="array" aca="1" ref="S22" ca="1">INDIRECT(A22&amp;"!n12")</f>
        <v>0</v>
      </c>
      <c r="T22" s="67" cm="1">
        <f t="array" aca="1" ref="T22" ca="1">INDIRECT(A22&amp;"!l13")</f>
        <v>0</v>
      </c>
      <c r="U22" s="22">
        <v>0</v>
      </c>
      <c r="V22" s="22">
        <v>0</v>
      </c>
      <c r="W22" s="24">
        <v>0</v>
      </c>
      <c r="X22" s="141"/>
      <c r="Y22" s="139" t="str" cm="1">
        <f t="array" aca="1" ref="Y22" ca="1">""&amp;INDIRECT(A22&amp;"!f1")&amp;"-"&amp;INDIRECT(A22&amp;"!g1")&amp;"-"&amp;INDIRECT(A22&amp;"!h1")</f>
        <v>20-3-2026</v>
      </c>
      <c r="Z22" s="26" cm="1">
        <f t="array" aca="1" ref="Z22" ca="1">INDIRECT(A22&amp;"!g17")</f>
        <v>1450</v>
      </c>
      <c r="AA22" s="26" cm="1">
        <f t="array" aca="1" ref="AA22" ca="1">INDIRECT(A22&amp;"!n13")</f>
        <v>0</v>
      </c>
      <c r="AB22" s="22">
        <v>0</v>
      </c>
      <c r="AC22" s="22">
        <v>0</v>
      </c>
      <c r="AD22" s="22">
        <v>0</v>
      </c>
      <c r="AE22" s="22">
        <v>0</v>
      </c>
      <c r="AF22" s="24">
        <v>0</v>
      </c>
    </row>
    <row r="23" spans="1:32">
      <c r="A23" s="112">
        <v>21</v>
      </c>
      <c r="B23" s="41" t="str" cm="1">
        <f t="array" aca="1" ref="B23" ca="1">""&amp;INDIRECT(A23&amp;"!f1")&amp;"-"&amp;INDIRECT(A23&amp;"!g1")&amp;"-"&amp;INDIRECT(A23&amp;"!h1")</f>
        <v>21-3-2026</v>
      </c>
      <c r="C23" s="26" cm="1">
        <f t="array" aca="1" ref="C23" ca="1">INDIRECT(A23&amp;"!g11")</f>
        <v>0</v>
      </c>
      <c r="D23" s="67" cm="1">
        <f t="array" aca="1" ref="D23" ca="1">INDIRECT(A23&amp;"!l11")</f>
        <v>0</v>
      </c>
      <c r="E23" s="67" cm="1">
        <f t="array" aca="1" ref="E23" ca="1">INDIRECT(A23&amp;"!l15")</f>
        <v>0</v>
      </c>
      <c r="F23" s="22">
        <v>0</v>
      </c>
      <c r="G23" s="22">
        <v>0</v>
      </c>
      <c r="H23" s="67" cm="1">
        <f t="array" aca="1" ref="H23" ca="1">INDIRECT(A23&amp;"!l14")</f>
        <v>0</v>
      </c>
      <c r="I23" s="22">
        <v>0</v>
      </c>
      <c r="J23" s="22">
        <v>0</v>
      </c>
      <c r="K23" s="22">
        <v>0</v>
      </c>
      <c r="L23" s="22">
        <v>0</v>
      </c>
      <c r="M23" s="26" cm="1">
        <f t="array" aca="1" ref="M23" ca="1">INDIRECT(A23&amp;"!n11")</f>
        <v>0</v>
      </c>
      <c r="N23" s="28" cm="1">
        <f t="array" aca="1" ref="N23" ca="1">INDIRECT(A23&amp;"!l16")</f>
        <v>0</v>
      </c>
      <c r="O23" s="167"/>
      <c r="P23" s="139" t="str" cm="1">
        <f t="array" aca="1" ref="P23" ca="1">""&amp;INDIRECT(A23&amp;"!f1")&amp;"-"&amp;INDIRECT(A23&amp;"!g1")&amp;"-"&amp;INDIRECT(A23&amp;"!h1")</f>
        <v>21-3-2026</v>
      </c>
      <c r="Q23" s="26" cm="1">
        <f t="array" aca="1" ref="Q23" ca="1">INDIRECT(A23&amp;"!g14")</f>
        <v>0</v>
      </c>
      <c r="R23" s="67" cm="1">
        <f t="array" aca="1" ref="R23" ca="1">INDIRECT(A23&amp;"!l12")</f>
        <v>0</v>
      </c>
      <c r="S23" s="26" cm="1">
        <f t="array" aca="1" ref="S23" ca="1">INDIRECT(A23&amp;"!n12")</f>
        <v>0</v>
      </c>
      <c r="T23" s="67" cm="1">
        <f t="array" aca="1" ref="T23" ca="1">INDIRECT(A23&amp;"!l13")</f>
        <v>0</v>
      </c>
      <c r="U23" s="22">
        <v>0</v>
      </c>
      <c r="V23" s="22">
        <v>0</v>
      </c>
      <c r="W23" s="24">
        <v>0</v>
      </c>
      <c r="X23" s="141"/>
      <c r="Y23" s="139" t="str" cm="1">
        <f t="array" aca="1" ref="Y23" ca="1">""&amp;INDIRECT(A23&amp;"!f1")&amp;"-"&amp;INDIRECT(A23&amp;"!g1")&amp;"-"&amp;INDIRECT(A23&amp;"!h1")</f>
        <v>21-3-2026</v>
      </c>
      <c r="Z23" s="26" cm="1">
        <f t="array" aca="1" ref="Z23" ca="1">INDIRECT(A23&amp;"!g17")</f>
        <v>0</v>
      </c>
      <c r="AA23" s="26" cm="1">
        <f t="array" aca="1" ref="AA23" ca="1">INDIRECT(A23&amp;"!n13")</f>
        <v>0</v>
      </c>
      <c r="AB23" s="22">
        <v>0</v>
      </c>
      <c r="AC23" s="22">
        <v>0</v>
      </c>
      <c r="AD23" s="22">
        <v>0</v>
      </c>
      <c r="AE23" s="22">
        <v>0</v>
      </c>
      <c r="AF23" s="24">
        <v>0</v>
      </c>
    </row>
    <row r="24" spans="1:32">
      <c r="A24" s="112">
        <v>22</v>
      </c>
      <c r="B24" s="41" t="str" cm="1">
        <f t="array" aca="1" ref="B24" ca="1">""&amp;INDIRECT(A24&amp;"!f1")&amp;"-"&amp;INDIRECT(A24&amp;"!g1")&amp;"-"&amp;INDIRECT(A24&amp;"!h1")</f>
        <v>22-3-2026</v>
      </c>
      <c r="C24" s="26" cm="1">
        <f t="array" aca="1" ref="C24" ca="1">INDIRECT(A24&amp;"!g11")</f>
        <v>0</v>
      </c>
      <c r="D24" s="67" cm="1">
        <f t="array" aca="1" ref="D24" ca="1">INDIRECT(A24&amp;"!l11")</f>
        <v>0</v>
      </c>
      <c r="E24" s="67" cm="1">
        <f t="array" aca="1" ref="E24" ca="1">INDIRECT(A24&amp;"!l15")</f>
        <v>0</v>
      </c>
      <c r="F24" s="22">
        <v>0</v>
      </c>
      <c r="G24" s="22">
        <v>0</v>
      </c>
      <c r="H24" s="67" cm="1">
        <f t="array" aca="1" ref="H24" ca="1">INDIRECT(A24&amp;"!l14")</f>
        <v>0</v>
      </c>
      <c r="I24" s="22">
        <v>0</v>
      </c>
      <c r="J24" s="22">
        <v>0</v>
      </c>
      <c r="K24" s="22">
        <v>0</v>
      </c>
      <c r="L24" s="22">
        <v>0</v>
      </c>
      <c r="M24" s="26" cm="1">
        <f t="array" aca="1" ref="M24" ca="1">INDIRECT(A24&amp;"!n11")</f>
        <v>0</v>
      </c>
      <c r="N24" s="28" cm="1">
        <f t="array" aca="1" ref="N24" ca="1">INDIRECT(A24&amp;"!l16")</f>
        <v>0</v>
      </c>
      <c r="O24" s="167"/>
      <c r="P24" s="139" t="str" cm="1">
        <f t="array" aca="1" ref="P24" ca="1">""&amp;INDIRECT(A24&amp;"!f1")&amp;"-"&amp;INDIRECT(A24&amp;"!g1")&amp;"-"&amp;INDIRECT(A24&amp;"!h1")</f>
        <v>22-3-2026</v>
      </c>
      <c r="Q24" s="26" cm="1">
        <f t="array" aca="1" ref="Q24" ca="1">INDIRECT(A24&amp;"!g14")</f>
        <v>0</v>
      </c>
      <c r="R24" s="67" cm="1">
        <f t="array" aca="1" ref="R24" ca="1">INDIRECT(A24&amp;"!l12")</f>
        <v>0</v>
      </c>
      <c r="S24" s="26" cm="1">
        <f t="array" aca="1" ref="S24" ca="1">INDIRECT(A24&amp;"!n12")</f>
        <v>0</v>
      </c>
      <c r="T24" s="67" cm="1">
        <f t="array" aca="1" ref="T24" ca="1">INDIRECT(A24&amp;"!l13")</f>
        <v>0</v>
      </c>
      <c r="U24" s="22">
        <v>0</v>
      </c>
      <c r="V24" s="22">
        <v>0</v>
      </c>
      <c r="W24" s="24">
        <v>0</v>
      </c>
      <c r="X24" s="141"/>
      <c r="Y24" s="139" t="str" cm="1">
        <f t="array" aca="1" ref="Y24" ca="1">""&amp;INDIRECT(A24&amp;"!f1")&amp;"-"&amp;INDIRECT(A24&amp;"!g1")&amp;"-"&amp;INDIRECT(A24&amp;"!h1")</f>
        <v>22-3-2026</v>
      </c>
      <c r="Z24" s="26" cm="1">
        <f t="array" aca="1" ref="Z24" ca="1">INDIRECT(A24&amp;"!g17")</f>
        <v>0</v>
      </c>
      <c r="AA24" s="26" cm="1">
        <f t="array" aca="1" ref="AA24" ca="1">INDIRECT(A24&amp;"!n13")</f>
        <v>0</v>
      </c>
      <c r="AB24" s="22">
        <v>0</v>
      </c>
      <c r="AC24" s="22">
        <v>0</v>
      </c>
      <c r="AD24" s="22">
        <v>0</v>
      </c>
      <c r="AE24" s="22">
        <v>0</v>
      </c>
      <c r="AF24" s="24">
        <v>0</v>
      </c>
    </row>
    <row r="25" spans="1:32">
      <c r="A25" s="112">
        <v>23</v>
      </c>
      <c r="B25" s="41" t="str" cm="1">
        <f t="array" aca="1" ref="B25" ca="1">""&amp;INDIRECT(A25&amp;"!f1")&amp;"-"&amp;INDIRECT(A25&amp;"!g1")&amp;"-"&amp;INDIRECT(A25&amp;"!h1")</f>
        <v>23-3-2026</v>
      </c>
      <c r="C25" s="26" cm="1">
        <f t="array" aca="1" ref="C25" ca="1">INDIRECT(A25&amp;"!g11")</f>
        <v>0</v>
      </c>
      <c r="D25" s="67" cm="1">
        <f t="array" aca="1" ref="D25" ca="1">INDIRECT(A25&amp;"!l11")</f>
        <v>0</v>
      </c>
      <c r="E25" s="67" cm="1">
        <f t="array" aca="1" ref="E25" ca="1">INDIRECT(A25&amp;"!l15")</f>
        <v>0</v>
      </c>
      <c r="F25" s="22">
        <v>0</v>
      </c>
      <c r="G25" s="22">
        <v>0</v>
      </c>
      <c r="H25" s="67" cm="1">
        <f t="array" aca="1" ref="H25" ca="1">INDIRECT(A25&amp;"!l14")</f>
        <v>0</v>
      </c>
      <c r="I25" s="22">
        <v>0</v>
      </c>
      <c r="J25" s="22">
        <v>0</v>
      </c>
      <c r="K25" s="22">
        <v>0</v>
      </c>
      <c r="L25" s="22">
        <v>0</v>
      </c>
      <c r="M25" s="26" cm="1">
        <f t="array" aca="1" ref="M25" ca="1">INDIRECT(A25&amp;"!n11")</f>
        <v>0</v>
      </c>
      <c r="N25" s="28" cm="1">
        <f t="array" aca="1" ref="N25" ca="1">INDIRECT(A25&amp;"!l16")</f>
        <v>0</v>
      </c>
      <c r="O25" s="167"/>
      <c r="P25" s="139" t="str" cm="1">
        <f t="array" aca="1" ref="P25" ca="1">""&amp;INDIRECT(A25&amp;"!f1")&amp;"-"&amp;INDIRECT(A25&amp;"!g1")&amp;"-"&amp;INDIRECT(A25&amp;"!h1")</f>
        <v>23-3-2026</v>
      </c>
      <c r="Q25" s="26" cm="1">
        <f t="array" aca="1" ref="Q25" ca="1">INDIRECT(A25&amp;"!g14")</f>
        <v>0</v>
      </c>
      <c r="R25" s="67" cm="1">
        <f t="array" aca="1" ref="R25" ca="1">INDIRECT(A25&amp;"!l12")</f>
        <v>0</v>
      </c>
      <c r="S25" s="26" cm="1">
        <f t="array" aca="1" ref="S25" ca="1">INDIRECT(A25&amp;"!n12")</f>
        <v>0</v>
      </c>
      <c r="T25" s="67" cm="1">
        <f t="array" aca="1" ref="T25" ca="1">INDIRECT(A25&amp;"!l13")</f>
        <v>0</v>
      </c>
      <c r="U25" s="22">
        <v>0</v>
      </c>
      <c r="V25" s="22">
        <v>0</v>
      </c>
      <c r="W25" s="24">
        <v>0</v>
      </c>
      <c r="X25" s="141"/>
      <c r="Y25" s="139" t="str" cm="1">
        <f t="array" aca="1" ref="Y25" ca="1">""&amp;INDIRECT(A25&amp;"!f1")&amp;"-"&amp;INDIRECT(A25&amp;"!g1")&amp;"-"&amp;INDIRECT(A25&amp;"!h1")</f>
        <v>23-3-2026</v>
      </c>
      <c r="Z25" s="26" cm="1">
        <f t="array" aca="1" ref="Z25" ca="1">INDIRECT(A25&amp;"!g17")</f>
        <v>0</v>
      </c>
      <c r="AA25" s="26" cm="1">
        <f t="array" aca="1" ref="AA25" ca="1">INDIRECT(A25&amp;"!n13")</f>
        <v>0</v>
      </c>
      <c r="AB25" s="22">
        <v>0</v>
      </c>
      <c r="AC25" s="22">
        <v>0</v>
      </c>
      <c r="AD25" s="22">
        <v>0</v>
      </c>
      <c r="AE25" s="22">
        <v>0</v>
      </c>
      <c r="AF25" s="24">
        <v>0</v>
      </c>
    </row>
    <row r="26" spans="1:32">
      <c r="A26" s="112">
        <v>24</v>
      </c>
      <c r="B26" s="41" t="str" cm="1">
        <f t="array" aca="1" ref="B26" ca="1">""&amp;INDIRECT(A26&amp;"!f1")&amp;"-"&amp;INDIRECT(A26&amp;"!g1")&amp;"-"&amp;INDIRECT(A26&amp;"!h1")</f>
        <v>24-3-2026</v>
      </c>
      <c r="C26" s="26" cm="1">
        <f t="array" aca="1" ref="C26" ca="1">INDIRECT(A26&amp;"!g11")</f>
        <v>0</v>
      </c>
      <c r="D26" s="67" cm="1">
        <f t="array" aca="1" ref="D26" ca="1">INDIRECT(A26&amp;"!l11")</f>
        <v>0</v>
      </c>
      <c r="E26" s="67" cm="1">
        <f t="array" aca="1" ref="E26" ca="1">INDIRECT(A26&amp;"!l15")</f>
        <v>0</v>
      </c>
      <c r="F26" s="22">
        <v>0</v>
      </c>
      <c r="G26" s="22">
        <v>0</v>
      </c>
      <c r="H26" s="67" cm="1">
        <f t="array" aca="1" ref="H26" ca="1">INDIRECT(A26&amp;"!l14")</f>
        <v>0</v>
      </c>
      <c r="I26" s="22">
        <v>0</v>
      </c>
      <c r="J26" s="22">
        <v>0</v>
      </c>
      <c r="K26" s="22">
        <v>0</v>
      </c>
      <c r="L26" s="22">
        <v>0</v>
      </c>
      <c r="M26" s="26" cm="1">
        <f t="array" aca="1" ref="M26" ca="1">INDIRECT(A26&amp;"!n11")</f>
        <v>0</v>
      </c>
      <c r="N26" s="28" cm="1">
        <f t="array" aca="1" ref="N26" ca="1">INDIRECT(A26&amp;"!l16")</f>
        <v>0</v>
      </c>
      <c r="O26" s="167"/>
      <c r="P26" s="139" t="str" cm="1">
        <f t="array" aca="1" ref="P26" ca="1">""&amp;INDIRECT(A26&amp;"!f1")&amp;"-"&amp;INDIRECT(A26&amp;"!g1")&amp;"-"&amp;INDIRECT(A26&amp;"!h1")</f>
        <v>24-3-2026</v>
      </c>
      <c r="Q26" s="26" cm="1">
        <f t="array" aca="1" ref="Q26" ca="1">INDIRECT(A26&amp;"!g14")</f>
        <v>0</v>
      </c>
      <c r="R26" s="67" cm="1">
        <f t="array" aca="1" ref="R26" ca="1">INDIRECT(A26&amp;"!l12")</f>
        <v>0</v>
      </c>
      <c r="S26" s="26" cm="1">
        <f t="array" aca="1" ref="S26" ca="1">INDIRECT(A26&amp;"!n12")</f>
        <v>0</v>
      </c>
      <c r="T26" s="67" cm="1">
        <f t="array" aca="1" ref="T26" ca="1">INDIRECT(A26&amp;"!l13")</f>
        <v>0</v>
      </c>
      <c r="U26" s="22">
        <v>0</v>
      </c>
      <c r="V26" s="22">
        <v>0</v>
      </c>
      <c r="W26" s="24">
        <v>0</v>
      </c>
      <c r="X26" s="141"/>
      <c r="Y26" s="139" t="str" cm="1">
        <f t="array" aca="1" ref="Y26" ca="1">""&amp;INDIRECT(A26&amp;"!f1")&amp;"-"&amp;INDIRECT(A26&amp;"!g1")&amp;"-"&amp;INDIRECT(A26&amp;"!h1")</f>
        <v>24-3-2026</v>
      </c>
      <c r="Z26" s="26" cm="1">
        <f t="array" aca="1" ref="Z26" ca="1">INDIRECT(A26&amp;"!g17")</f>
        <v>0</v>
      </c>
      <c r="AA26" s="26" cm="1">
        <f t="array" aca="1" ref="AA26" ca="1">INDIRECT(A26&amp;"!n13")</f>
        <v>0</v>
      </c>
      <c r="AB26" s="22">
        <v>0</v>
      </c>
      <c r="AC26" s="22">
        <v>0</v>
      </c>
      <c r="AD26" s="22">
        <v>0</v>
      </c>
      <c r="AE26" s="22">
        <v>0</v>
      </c>
      <c r="AF26" s="24">
        <v>0</v>
      </c>
    </row>
    <row r="27" spans="1:32">
      <c r="A27" s="112">
        <v>25</v>
      </c>
      <c r="B27" s="41" t="str" cm="1">
        <f t="array" aca="1" ref="B27" ca="1">""&amp;INDIRECT(A27&amp;"!f1")&amp;"-"&amp;INDIRECT(A27&amp;"!g1")&amp;"-"&amp;INDIRECT(A27&amp;"!h1")</f>
        <v>25-3-2026</v>
      </c>
      <c r="C27" s="26" cm="1">
        <f t="array" aca="1" ref="C27" ca="1">INDIRECT(A27&amp;"!g11")</f>
        <v>0</v>
      </c>
      <c r="D27" s="67" cm="1">
        <f t="array" aca="1" ref="D27" ca="1">INDIRECT(A27&amp;"!l11")</f>
        <v>0</v>
      </c>
      <c r="E27" s="67" cm="1">
        <f t="array" aca="1" ref="E27" ca="1">INDIRECT(A27&amp;"!l15")</f>
        <v>0</v>
      </c>
      <c r="F27" s="22">
        <v>0</v>
      </c>
      <c r="G27" s="22">
        <v>0</v>
      </c>
      <c r="H27" s="67" cm="1">
        <f t="array" aca="1" ref="H27" ca="1">INDIRECT(A27&amp;"!l14")</f>
        <v>0</v>
      </c>
      <c r="I27" s="22">
        <v>0</v>
      </c>
      <c r="J27" s="22">
        <v>0</v>
      </c>
      <c r="K27" s="22">
        <v>0</v>
      </c>
      <c r="L27" s="22">
        <v>0</v>
      </c>
      <c r="M27" s="26" cm="1">
        <f t="array" aca="1" ref="M27" ca="1">INDIRECT(A27&amp;"!n11")</f>
        <v>0</v>
      </c>
      <c r="N27" s="28" cm="1">
        <f t="array" aca="1" ref="N27" ca="1">INDIRECT(A27&amp;"!l16")</f>
        <v>0</v>
      </c>
      <c r="O27" s="167"/>
      <c r="P27" s="139" t="str" cm="1">
        <f t="array" aca="1" ref="P27" ca="1">""&amp;INDIRECT(A27&amp;"!f1")&amp;"-"&amp;INDIRECT(A27&amp;"!g1")&amp;"-"&amp;INDIRECT(A27&amp;"!h1")</f>
        <v>25-3-2026</v>
      </c>
      <c r="Q27" s="26" cm="1">
        <f t="array" aca="1" ref="Q27" ca="1">INDIRECT(A27&amp;"!g14")</f>
        <v>0</v>
      </c>
      <c r="R27" s="67" cm="1">
        <f t="array" aca="1" ref="R27" ca="1">INDIRECT(A27&amp;"!l12")</f>
        <v>0</v>
      </c>
      <c r="S27" s="26" cm="1">
        <f t="array" aca="1" ref="S27" ca="1">INDIRECT(A27&amp;"!n12")</f>
        <v>0</v>
      </c>
      <c r="T27" s="67" cm="1">
        <f t="array" aca="1" ref="T27" ca="1">INDIRECT(A27&amp;"!l13")</f>
        <v>0</v>
      </c>
      <c r="U27" s="22">
        <v>0</v>
      </c>
      <c r="V27" s="22">
        <v>0</v>
      </c>
      <c r="W27" s="24">
        <v>0</v>
      </c>
      <c r="X27" s="141"/>
      <c r="Y27" s="139" t="str" cm="1">
        <f t="array" aca="1" ref="Y27" ca="1">""&amp;INDIRECT(A27&amp;"!f1")&amp;"-"&amp;INDIRECT(A27&amp;"!g1")&amp;"-"&amp;INDIRECT(A27&amp;"!h1")</f>
        <v>25-3-2026</v>
      </c>
      <c r="Z27" s="26" cm="1">
        <f t="array" aca="1" ref="Z27" ca="1">INDIRECT(A27&amp;"!g17")</f>
        <v>0</v>
      </c>
      <c r="AA27" s="26" cm="1">
        <f t="array" aca="1" ref="AA27" ca="1">INDIRECT(A27&amp;"!n13")</f>
        <v>0</v>
      </c>
      <c r="AB27" s="22">
        <v>0</v>
      </c>
      <c r="AC27" s="22">
        <v>0</v>
      </c>
      <c r="AD27" s="22">
        <v>0</v>
      </c>
      <c r="AE27" s="22">
        <v>0</v>
      </c>
      <c r="AF27" s="24">
        <v>0</v>
      </c>
    </row>
    <row r="28" spans="1:32">
      <c r="A28" s="112">
        <v>26</v>
      </c>
      <c r="B28" s="41" t="str" cm="1">
        <f t="array" aca="1" ref="B28" ca="1">""&amp;INDIRECT(A28&amp;"!f1")&amp;"-"&amp;INDIRECT(A28&amp;"!g1")&amp;"-"&amp;INDIRECT(A28&amp;"!h1")</f>
        <v>26-3-2026</v>
      </c>
      <c r="C28" s="26" cm="1">
        <f t="array" aca="1" ref="C28" ca="1">INDIRECT(A28&amp;"!g11")</f>
        <v>0</v>
      </c>
      <c r="D28" s="67" cm="1">
        <f t="array" aca="1" ref="D28" ca="1">INDIRECT(A28&amp;"!l11")</f>
        <v>0</v>
      </c>
      <c r="E28" s="67" cm="1">
        <f t="array" aca="1" ref="E28" ca="1">INDIRECT(A28&amp;"!l15")</f>
        <v>0</v>
      </c>
      <c r="F28" s="22">
        <v>0</v>
      </c>
      <c r="G28" s="22">
        <v>0</v>
      </c>
      <c r="H28" s="67" cm="1">
        <f t="array" aca="1" ref="H28" ca="1">INDIRECT(A28&amp;"!l14")</f>
        <v>0</v>
      </c>
      <c r="I28" s="22">
        <v>0</v>
      </c>
      <c r="J28" s="22">
        <v>0</v>
      </c>
      <c r="K28" s="22">
        <v>0</v>
      </c>
      <c r="L28" s="22">
        <v>0</v>
      </c>
      <c r="M28" s="26" cm="1">
        <f t="array" aca="1" ref="M28" ca="1">INDIRECT(A28&amp;"!n11")</f>
        <v>0</v>
      </c>
      <c r="N28" s="28" cm="1">
        <f t="array" aca="1" ref="N28" ca="1">INDIRECT(A28&amp;"!l16")</f>
        <v>0</v>
      </c>
      <c r="O28" s="167"/>
      <c r="P28" s="139" t="str" cm="1">
        <f t="array" aca="1" ref="P28" ca="1">""&amp;INDIRECT(A28&amp;"!f1")&amp;"-"&amp;INDIRECT(A28&amp;"!g1")&amp;"-"&amp;INDIRECT(A28&amp;"!h1")</f>
        <v>26-3-2026</v>
      </c>
      <c r="Q28" s="26" cm="1">
        <f t="array" aca="1" ref="Q28" ca="1">INDIRECT(A28&amp;"!g14")</f>
        <v>0</v>
      </c>
      <c r="R28" s="67" cm="1">
        <f t="array" aca="1" ref="R28" ca="1">INDIRECT(A28&amp;"!l12")</f>
        <v>0</v>
      </c>
      <c r="S28" s="26" cm="1">
        <f t="array" aca="1" ref="S28" ca="1">INDIRECT(A28&amp;"!n12")</f>
        <v>0</v>
      </c>
      <c r="T28" s="67" cm="1">
        <f t="array" aca="1" ref="T28" ca="1">INDIRECT(A28&amp;"!l13")</f>
        <v>0</v>
      </c>
      <c r="U28" s="22">
        <v>0</v>
      </c>
      <c r="V28" s="22">
        <v>0</v>
      </c>
      <c r="W28" s="24">
        <v>0</v>
      </c>
      <c r="X28" s="141"/>
      <c r="Y28" s="139" t="str" cm="1">
        <f t="array" aca="1" ref="Y28" ca="1">""&amp;INDIRECT(A28&amp;"!f1")&amp;"-"&amp;INDIRECT(A28&amp;"!g1")&amp;"-"&amp;INDIRECT(A28&amp;"!h1")</f>
        <v>26-3-2026</v>
      </c>
      <c r="Z28" s="26" cm="1">
        <f t="array" aca="1" ref="Z28" ca="1">INDIRECT(A28&amp;"!g17")</f>
        <v>0</v>
      </c>
      <c r="AA28" s="26" cm="1">
        <f t="array" aca="1" ref="AA28" ca="1">INDIRECT(A28&amp;"!n13")</f>
        <v>0</v>
      </c>
      <c r="AB28" s="22">
        <v>0</v>
      </c>
      <c r="AC28" s="22">
        <v>0</v>
      </c>
      <c r="AD28" s="22">
        <v>0</v>
      </c>
      <c r="AE28" s="22">
        <v>0</v>
      </c>
      <c r="AF28" s="24">
        <v>0</v>
      </c>
    </row>
    <row r="29" spans="1:32">
      <c r="A29" s="112">
        <v>27</v>
      </c>
      <c r="B29" s="41" t="str" cm="1">
        <f t="array" aca="1" ref="B29" ca="1">""&amp;INDIRECT(A29&amp;"!f1")&amp;"-"&amp;INDIRECT(A29&amp;"!g1")&amp;"-"&amp;INDIRECT(A29&amp;"!h1")</f>
        <v>27-3-2026</v>
      </c>
      <c r="C29" s="26" cm="1">
        <f t="array" aca="1" ref="C29" ca="1">INDIRECT(A29&amp;"!g11")</f>
        <v>0</v>
      </c>
      <c r="D29" s="67" cm="1">
        <f t="array" aca="1" ref="D29" ca="1">INDIRECT(A29&amp;"!l11")</f>
        <v>0</v>
      </c>
      <c r="E29" s="67" cm="1">
        <f t="array" aca="1" ref="E29" ca="1">INDIRECT(A29&amp;"!l15")</f>
        <v>0</v>
      </c>
      <c r="F29" s="22">
        <v>0</v>
      </c>
      <c r="G29" s="22">
        <v>0</v>
      </c>
      <c r="H29" s="67" cm="1">
        <f t="array" aca="1" ref="H29" ca="1">INDIRECT(A29&amp;"!l14")</f>
        <v>0</v>
      </c>
      <c r="I29" s="22">
        <v>0</v>
      </c>
      <c r="J29" s="22">
        <v>0</v>
      </c>
      <c r="K29" s="22">
        <v>0</v>
      </c>
      <c r="L29" s="22">
        <v>0</v>
      </c>
      <c r="M29" s="26" cm="1">
        <f t="array" aca="1" ref="M29" ca="1">INDIRECT(A29&amp;"!n11")</f>
        <v>0</v>
      </c>
      <c r="N29" s="28" cm="1">
        <f t="array" aca="1" ref="N29" ca="1">INDIRECT(A29&amp;"!l16")</f>
        <v>0</v>
      </c>
      <c r="O29" s="167"/>
      <c r="P29" s="139" t="str" cm="1">
        <f t="array" aca="1" ref="P29" ca="1">""&amp;INDIRECT(A29&amp;"!f1")&amp;"-"&amp;INDIRECT(A29&amp;"!g1")&amp;"-"&amp;INDIRECT(A29&amp;"!h1")</f>
        <v>27-3-2026</v>
      </c>
      <c r="Q29" s="26" cm="1">
        <f t="array" aca="1" ref="Q29" ca="1">INDIRECT(A29&amp;"!g14")</f>
        <v>0</v>
      </c>
      <c r="R29" s="67" cm="1">
        <f t="array" aca="1" ref="R29" ca="1">INDIRECT(A29&amp;"!l12")</f>
        <v>0</v>
      </c>
      <c r="S29" s="26" cm="1">
        <f t="array" aca="1" ref="S29" ca="1">INDIRECT(A29&amp;"!n12")</f>
        <v>0</v>
      </c>
      <c r="T29" s="67" cm="1">
        <f t="array" aca="1" ref="T29" ca="1">INDIRECT(A29&amp;"!l13")</f>
        <v>0</v>
      </c>
      <c r="U29" s="22">
        <v>0</v>
      </c>
      <c r="V29" s="22">
        <v>0</v>
      </c>
      <c r="W29" s="24">
        <v>0</v>
      </c>
      <c r="X29" s="141"/>
      <c r="Y29" s="139" t="str" cm="1">
        <f t="array" aca="1" ref="Y29" ca="1">""&amp;INDIRECT(A29&amp;"!f1")&amp;"-"&amp;INDIRECT(A29&amp;"!g1")&amp;"-"&amp;INDIRECT(A29&amp;"!h1")</f>
        <v>27-3-2026</v>
      </c>
      <c r="Z29" s="26" cm="1">
        <f t="array" aca="1" ref="Z29" ca="1">INDIRECT(A29&amp;"!g17")</f>
        <v>0</v>
      </c>
      <c r="AA29" s="26" cm="1">
        <f t="array" aca="1" ref="AA29" ca="1">INDIRECT(A29&amp;"!n13")</f>
        <v>0</v>
      </c>
      <c r="AB29" s="22">
        <v>0</v>
      </c>
      <c r="AC29" s="22">
        <v>0</v>
      </c>
      <c r="AD29" s="22">
        <v>0</v>
      </c>
      <c r="AE29" s="22">
        <v>0</v>
      </c>
      <c r="AF29" s="24">
        <v>0</v>
      </c>
    </row>
    <row r="30" spans="1:32">
      <c r="A30" s="112">
        <v>28</v>
      </c>
      <c r="B30" s="41" t="str" cm="1">
        <f t="array" aca="1" ref="B30" ca="1">""&amp;INDIRECT(A30&amp;"!f1")&amp;"-"&amp;INDIRECT(A30&amp;"!g1")&amp;"-"&amp;INDIRECT(A30&amp;"!h1")</f>
        <v>28-3-2026</v>
      </c>
      <c r="C30" s="26" cm="1">
        <f t="array" aca="1" ref="C30" ca="1">INDIRECT(A30&amp;"!g11")</f>
        <v>0</v>
      </c>
      <c r="D30" s="67" cm="1">
        <f t="array" aca="1" ref="D30" ca="1">INDIRECT(A30&amp;"!l11")</f>
        <v>0</v>
      </c>
      <c r="E30" s="67" cm="1">
        <f t="array" aca="1" ref="E30" ca="1">INDIRECT(A30&amp;"!l15")</f>
        <v>0</v>
      </c>
      <c r="F30" s="22">
        <v>0</v>
      </c>
      <c r="G30" s="22">
        <v>0</v>
      </c>
      <c r="H30" s="67" cm="1">
        <f t="array" aca="1" ref="H30" ca="1">INDIRECT(A30&amp;"!l14")</f>
        <v>0</v>
      </c>
      <c r="I30" s="22">
        <v>0</v>
      </c>
      <c r="J30" s="22">
        <v>0</v>
      </c>
      <c r="K30" s="22">
        <v>0</v>
      </c>
      <c r="L30" s="22">
        <v>0</v>
      </c>
      <c r="M30" s="26" cm="1">
        <f t="array" aca="1" ref="M30" ca="1">INDIRECT(A30&amp;"!n11")</f>
        <v>0</v>
      </c>
      <c r="N30" s="28" cm="1">
        <f t="array" aca="1" ref="N30" ca="1">INDIRECT(A30&amp;"!l16")</f>
        <v>0</v>
      </c>
      <c r="O30" s="167"/>
      <c r="P30" s="139" t="str" cm="1">
        <f t="array" aca="1" ref="P30" ca="1">""&amp;INDIRECT(A30&amp;"!f1")&amp;"-"&amp;INDIRECT(A30&amp;"!g1")&amp;"-"&amp;INDIRECT(A30&amp;"!h1")</f>
        <v>28-3-2026</v>
      </c>
      <c r="Q30" s="26" cm="1">
        <f t="array" aca="1" ref="Q30" ca="1">INDIRECT(A30&amp;"!g14")</f>
        <v>0</v>
      </c>
      <c r="R30" s="67" cm="1">
        <f t="array" aca="1" ref="R30" ca="1">INDIRECT(A30&amp;"!l12")</f>
        <v>0</v>
      </c>
      <c r="S30" s="26" cm="1">
        <f t="array" aca="1" ref="S30" ca="1">INDIRECT(A30&amp;"!n12")</f>
        <v>0</v>
      </c>
      <c r="T30" s="67" cm="1">
        <f t="array" aca="1" ref="T30" ca="1">INDIRECT(A30&amp;"!l13")</f>
        <v>0</v>
      </c>
      <c r="U30" s="22">
        <v>0</v>
      </c>
      <c r="V30" s="22">
        <v>0</v>
      </c>
      <c r="W30" s="24">
        <v>0</v>
      </c>
      <c r="X30" s="141"/>
      <c r="Y30" s="139" t="str" cm="1">
        <f t="array" aca="1" ref="Y30" ca="1">""&amp;INDIRECT(A30&amp;"!f1")&amp;"-"&amp;INDIRECT(A30&amp;"!g1")&amp;"-"&amp;INDIRECT(A30&amp;"!h1")</f>
        <v>28-3-2026</v>
      </c>
      <c r="Z30" s="26" cm="1">
        <f t="array" aca="1" ref="Z30" ca="1">INDIRECT(A30&amp;"!g17")</f>
        <v>0</v>
      </c>
      <c r="AA30" s="26" cm="1">
        <f t="array" aca="1" ref="AA30" ca="1">INDIRECT(A30&amp;"!n13")</f>
        <v>0</v>
      </c>
      <c r="AB30" s="22">
        <v>0</v>
      </c>
      <c r="AC30" s="22">
        <v>0</v>
      </c>
      <c r="AD30" s="22">
        <v>0</v>
      </c>
      <c r="AE30" s="22">
        <v>0</v>
      </c>
      <c r="AF30" s="24">
        <v>0</v>
      </c>
    </row>
    <row r="31" spans="1:32">
      <c r="A31" s="112">
        <v>29</v>
      </c>
      <c r="B31" s="41" t="str" cm="1">
        <f t="array" aca="1" ref="B31" ca="1">""&amp;INDIRECT(A31&amp;"!f1")&amp;"-"&amp;INDIRECT(A31&amp;"!g1")&amp;"-"&amp;INDIRECT(A31&amp;"!h1")</f>
        <v>29-3-2026</v>
      </c>
      <c r="C31" s="26" cm="1">
        <f t="array" aca="1" ref="C31" ca="1">INDIRECT(A31&amp;"!g11")</f>
        <v>0</v>
      </c>
      <c r="D31" s="67" cm="1">
        <f t="array" aca="1" ref="D31" ca="1">INDIRECT(A31&amp;"!l11")</f>
        <v>0</v>
      </c>
      <c r="E31" s="67" cm="1">
        <f t="array" aca="1" ref="E31" ca="1">INDIRECT(A31&amp;"!l15")</f>
        <v>0</v>
      </c>
      <c r="F31" s="22">
        <v>0</v>
      </c>
      <c r="G31" s="22">
        <v>0</v>
      </c>
      <c r="H31" s="67" cm="1">
        <f t="array" aca="1" ref="H31" ca="1">INDIRECT(A31&amp;"!l14")</f>
        <v>0</v>
      </c>
      <c r="I31" s="22">
        <v>0</v>
      </c>
      <c r="J31" s="22">
        <v>0</v>
      </c>
      <c r="K31" s="22">
        <v>0</v>
      </c>
      <c r="L31" s="22">
        <v>0</v>
      </c>
      <c r="M31" s="26" cm="1">
        <f t="array" aca="1" ref="M31" ca="1">INDIRECT(A31&amp;"!n11")</f>
        <v>0</v>
      </c>
      <c r="N31" s="28" cm="1">
        <f t="array" aca="1" ref="N31" ca="1">INDIRECT(A31&amp;"!l16")</f>
        <v>0</v>
      </c>
      <c r="O31" s="167"/>
      <c r="P31" s="139" t="str" cm="1">
        <f t="array" aca="1" ref="P31" ca="1">""&amp;INDIRECT(A31&amp;"!f1")&amp;"-"&amp;INDIRECT(A31&amp;"!g1")&amp;"-"&amp;INDIRECT(A31&amp;"!h1")</f>
        <v>29-3-2026</v>
      </c>
      <c r="Q31" s="26" cm="1">
        <f t="array" aca="1" ref="Q31" ca="1">INDIRECT(A31&amp;"!g14")</f>
        <v>0</v>
      </c>
      <c r="R31" s="67" cm="1">
        <f t="array" aca="1" ref="R31" ca="1">INDIRECT(A31&amp;"!l12")</f>
        <v>0</v>
      </c>
      <c r="S31" s="26" cm="1">
        <f t="array" aca="1" ref="S31" ca="1">INDIRECT(A31&amp;"!n12")</f>
        <v>0</v>
      </c>
      <c r="T31" s="67" cm="1">
        <f t="array" aca="1" ref="T31" ca="1">INDIRECT(A31&amp;"!l13")</f>
        <v>0</v>
      </c>
      <c r="U31" s="22">
        <v>0</v>
      </c>
      <c r="V31" s="22">
        <v>0</v>
      </c>
      <c r="W31" s="24">
        <v>0</v>
      </c>
      <c r="X31" s="141"/>
      <c r="Y31" s="139" t="str" cm="1">
        <f t="array" aca="1" ref="Y31" ca="1">""&amp;INDIRECT(A31&amp;"!f1")&amp;"-"&amp;INDIRECT(A31&amp;"!g1")&amp;"-"&amp;INDIRECT(A31&amp;"!h1")</f>
        <v>29-3-2026</v>
      </c>
      <c r="Z31" s="26" cm="1">
        <f t="array" aca="1" ref="Z31" ca="1">INDIRECT(A31&amp;"!g17")</f>
        <v>0</v>
      </c>
      <c r="AA31" s="26" cm="1">
        <f t="array" aca="1" ref="AA31" ca="1">INDIRECT(A31&amp;"!n13")</f>
        <v>0</v>
      </c>
      <c r="AB31" s="22">
        <v>0</v>
      </c>
      <c r="AC31" s="22">
        <v>0</v>
      </c>
      <c r="AD31" s="22">
        <v>0</v>
      </c>
      <c r="AE31" s="22">
        <v>0</v>
      </c>
      <c r="AF31" s="24">
        <v>0</v>
      </c>
    </row>
    <row r="32" spans="1:32">
      <c r="A32" s="112">
        <v>30</v>
      </c>
      <c r="B32" s="41" t="str" cm="1">
        <f t="array" aca="1" ref="B32" ca="1">""&amp;INDIRECT(A32&amp;"!f1")&amp;"-"&amp;INDIRECT(A32&amp;"!g1")&amp;"-"&amp;INDIRECT(A32&amp;"!h1")</f>
        <v>30-3-2026</v>
      </c>
      <c r="C32" s="26" cm="1">
        <f t="array" aca="1" ref="C32" ca="1">INDIRECT(A32&amp;"!g11")</f>
        <v>0</v>
      </c>
      <c r="D32" s="67" cm="1">
        <f t="array" aca="1" ref="D32" ca="1">INDIRECT(A32&amp;"!l11")</f>
        <v>0</v>
      </c>
      <c r="E32" s="67" cm="1">
        <f t="array" aca="1" ref="E32" ca="1">INDIRECT(A32&amp;"!l15")</f>
        <v>0</v>
      </c>
      <c r="F32" s="22">
        <v>0</v>
      </c>
      <c r="G32" s="22">
        <v>0</v>
      </c>
      <c r="H32" s="67" cm="1">
        <f t="array" aca="1" ref="H32" ca="1">INDIRECT(A32&amp;"!l14")</f>
        <v>0</v>
      </c>
      <c r="I32" s="22">
        <v>0</v>
      </c>
      <c r="J32" s="22">
        <v>0</v>
      </c>
      <c r="K32" s="22">
        <v>0</v>
      </c>
      <c r="L32" s="22">
        <v>0</v>
      </c>
      <c r="M32" s="26" cm="1">
        <f t="array" aca="1" ref="M32" ca="1">INDIRECT(A32&amp;"!n11")</f>
        <v>0</v>
      </c>
      <c r="N32" s="28" cm="1">
        <f t="array" aca="1" ref="N32" ca="1">INDIRECT(A32&amp;"!l16")</f>
        <v>0</v>
      </c>
      <c r="O32" s="167"/>
      <c r="P32" s="139" t="str" cm="1">
        <f t="array" aca="1" ref="P32" ca="1">""&amp;INDIRECT(A32&amp;"!f1")&amp;"-"&amp;INDIRECT(A32&amp;"!g1")&amp;"-"&amp;INDIRECT(A32&amp;"!h1")</f>
        <v>30-3-2026</v>
      </c>
      <c r="Q32" s="26" cm="1">
        <f t="array" aca="1" ref="Q32" ca="1">INDIRECT(A32&amp;"!g14")</f>
        <v>0</v>
      </c>
      <c r="R32" s="67" cm="1">
        <f t="array" aca="1" ref="R32" ca="1">INDIRECT(A32&amp;"!l12")</f>
        <v>0</v>
      </c>
      <c r="S32" s="26" cm="1">
        <f t="array" aca="1" ref="S32" ca="1">INDIRECT(A32&amp;"!n12")</f>
        <v>0</v>
      </c>
      <c r="T32" s="67" cm="1">
        <f t="array" aca="1" ref="T32" ca="1">INDIRECT(A32&amp;"!l13")</f>
        <v>0</v>
      </c>
      <c r="U32" s="22">
        <v>0</v>
      </c>
      <c r="V32" s="22">
        <v>0</v>
      </c>
      <c r="W32" s="24">
        <v>0</v>
      </c>
      <c r="X32" s="141"/>
      <c r="Y32" s="139" t="str" cm="1">
        <f t="array" aca="1" ref="Y32" ca="1">""&amp;INDIRECT(A32&amp;"!f1")&amp;"-"&amp;INDIRECT(A32&amp;"!g1")&amp;"-"&amp;INDIRECT(A32&amp;"!h1")</f>
        <v>30-3-2026</v>
      </c>
      <c r="Z32" s="26" cm="1">
        <f t="array" aca="1" ref="Z32" ca="1">INDIRECT(A32&amp;"!g17")</f>
        <v>0</v>
      </c>
      <c r="AA32" s="26" cm="1">
        <f t="array" aca="1" ref="AA32" ca="1">INDIRECT(A32&amp;"!n13")</f>
        <v>0</v>
      </c>
      <c r="AB32" s="22">
        <v>0</v>
      </c>
      <c r="AC32" s="22">
        <v>0</v>
      </c>
      <c r="AD32" s="22">
        <v>0</v>
      </c>
      <c r="AE32" s="22">
        <v>0</v>
      </c>
      <c r="AF32" s="24">
        <v>0</v>
      </c>
    </row>
    <row r="33" spans="1:32" ht="15.75" thickBot="1">
      <c r="A33" s="117">
        <v>31</v>
      </c>
      <c r="B33" s="41" t="str" cm="1">
        <f t="array" aca="1" ref="B33" ca="1">""&amp;INDIRECT(A33&amp;"!f1")&amp;"-"&amp;INDIRECT(A33&amp;"!g1")&amp;"-"&amp;INDIRECT(A33&amp;"!h1")</f>
        <v>31-3-2026</v>
      </c>
      <c r="C33" s="29" cm="1">
        <f t="array" aca="1" ref="C33" ca="1">INDIRECT(A33&amp;"!g11")</f>
        <v>0</v>
      </c>
      <c r="D33" s="67" cm="1">
        <f t="array" aca="1" ref="D33" ca="1">INDIRECT(A33&amp;"!l11")</f>
        <v>0</v>
      </c>
      <c r="E33" s="67" cm="1">
        <f t="array" aca="1" ref="E33" ca="1">INDIRECT(A33&amp;"!l15")</f>
        <v>0</v>
      </c>
      <c r="F33" s="23">
        <v>0</v>
      </c>
      <c r="G33" s="23">
        <v>0</v>
      </c>
      <c r="H33" s="67" cm="1">
        <f t="array" aca="1" ref="H33" ca="1">INDIRECT(A33&amp;"!l14")</f>
        <v>0</v>
      </c>
      <c r="I33" s="23">
        <v>0</v>
      </c>
      <c r="J33" s="23">
        <v>0</v>
      </c>
      <c r="K33" s="23">
        <v>0</v>
      </c>
      <c r="L33" s="23">
        <v>0</v>
      </c>
      <c r="M33" s="26" cm="1">
        <f t="array" aca="1" ref="M33" ca="1">INDIRECT(A33&amp;"!n11")</f>
        <v>0</v>
      </c>
      <c r="N33" s="28" cm="1">
        <f t="array" aca="1" ref="N33" ca="1">INDIRECT(A33&amp;"!l16")</f>
        <v>0</v>
      </c>
      <c r="O33" s="168"/>
      <c r="P33" s="139" t="str" cm="1">
        <f t="array" aca="1" ref="P33" ca="1">""&amp;INDIRECT(A33&amp;"!f1")&amp;"-"&amp;INDIRECT(A33&amp;"!g1")&amp;"-"&amp;INDIRECT(A33&amp;"!h1")</f>
        <v>31-3-2026</v>
      </c>
      <c r="Q33" s="26" cm="1">
        <f t="array" aca="1" ref="Q33" ca="1">INDIRECT(A33&amp;"!g14")</f>
        <v>0</v>
      </c>
      <c r="R33" s="67" cm="1">
        <f t="array" aca="1" ref="R33" ca="1">INDIRECT(A33&amp;"!l12")</f>
        <v>0</v>
      </c>
      <c r="S33" s="26" cm="1">
        <f t="array" aca="1" ref="S33" ca="1">INDIRECT(A33&amp;"!n12")</f>
        <v>0</v>
      </c>
      <c r="T33" s="67" cm="1">
        <f t="array" aca="1" ref="T33" ca="1">INDIRECT(A33&amp;"!l13")</f>
        <v>0</v>
      </c>
      <c r="U33" s="23">
        <v>0</v>
      </c>
      <c r="V33" s="23">
        <v>0</v>
      </c>
      <c r="W33" s="25">
        <v>0</v>
      </c>
      <c r="X33" s="142"/>
      <c r="Y33" s="139" t="str" cm="1">
        <f t="array" aca="1" ref="Y33" ca="1">""&amp;INDIRECT(A33&amp;"!f1")&amp;"-"&amp;INDIRECT(A33&amp;"!g1")&amp;"-"&amp;INDIRECT(A33&amp;"!h1")</f>
        <v>31-3-2026</v>
      </c>
      <c r="Z33" s="26" cm="1">
        <f t="array" aca="1" ref="Z33" ca="1">INDIRECT(A33&amp;"!g17")</f>
        <v>0</v>
      </c>
      <c r="AA33" s="26" cm="1">
        <f t="array" aca="1" ref="AA33" ca="1">INDIRECT(A33&amp;"!n13")</f>
        <v>0</v>
      </c>
      <c r="AB33" s="23"/>
      <c r="AC33" s="23"/>
      <c r="AD33" s="23"/>
      <c r="AE33" s="23"/>
      <c r="AF33" s="25"/>
    </row>
    <row r="34" spans="1:32" ht="15.75" thickBot="1">
      <c r="A34" s="143"/>
      <c r="B34" s="171">
        <f ca="1">SUM(D34:N34)</f>
        <v>200</v>
      </c>
      <c r="C34" s="144"/>
      <c r="D34" s="144">
        <f ca="1">SUM(D3:D33)</f>
        <v>150</v>
      </c>
      <c r="E34" s="144">
        <f t="shared" ref="E34:AF34" ca="1" si="0">SUM(E3:E33)</f>
        <v>0</v>
      </c>
      <c r="F34" s="144">
        <f t="shared" si="0"/>
        <v>0</v>
      </c>
      <c r="G34" s="144">
        <f t="shared" si="0"/>
        <v>0</v>
      </c>
      <c r="H34" s="144">
        <f t="shared" ca="1" si="0"/>
        <v>50</v>
      </c>
      <c r="I34" s="144">
        <f t="shared" si="0"/>
        <v>0</v>
      </c>
      <c r="J34" s="144">
        <f t="shared" si="0"/>
        <v>0</v>
      </c>
      <c r="K34" s="144">
        <f t="shared" si="0"/>
        <v>0</v>
      </c>
      <c r="L34" s="144">
        <f t="shared" si="0"/>
        <v>0</v>
      </c>
      <c r="M34" s="144">
        <f t="shared" ca="1" si="0"/>
        <v>0</v>
      </c>
      <c r="N34" s="164">
        <f t="shared" ca="1" si="0"/>
        <v>0</v>
      </c>
      <c r="O34" s="169"/>
      <c r="P34" s="171">
        <f ca="1">SUM(Q34:W34)</f>
        <v>659</v>
      </c>
      <c r="Q34" s="144"/>
      <c r="R34" s="144">
        <f t="shared" ca="1" si="0"/>
        <v>659</v>
      </c>
      <c r="S34" s="144">
        <f t="shared" ca="1" si="0"/>
        <v>0</v>
      </c>
      <c r="T34" s="144">
        <f t="shared" ca="1" si="0"/>
        <v>0</v>
      </c>
      <c r="U34" s="144">
        <f t="shared" si="0"/>
        <v>0</v>
      </c>
      <c r="V34" s="144">
        <f t="shared" si="0"/>
        <v>0</v>
      </c>
      <c r="W34" s="144">
        <f t="shared" si="0"/>
        <v>0</v>
      </c>
      <c r="X34" s="145">
        <f t="shared" si="0"/>
        <v>0</v>
      </c>
      <c r="Y34" s="171">
        <f ca="1">SUM(Z34:AF34)</f>
        <v>0</v>
      </c>
      <c r="Z34" s="144"/>
      <c r="AA34" s="144">
        <f t="shared" ca="1" si="0"/>
        <v>0</v>
      </c>
      <c r="AB34" s="144">
        <f t="shared" si="0"/>
        <v>0</v>
      </c>
      <c r="AC34" s="144">
        <f t="shared" si="0"/>
        <v>0</v>
      </c>
      <c r="AD34" s="144">
        <f t="shared" si="0"/>
        <v>0</v>
      </c>
      <c r="AE34" s="144">
        <f t="shared" si="0"/>
        <v>0</v>
      </c>
      <c r="AF34" s="146">
        <f t="shared" si="0"/>
        <v>0</v>
      </c>
    </row>
  </sheetData>
  <sheetProtection algorithmName="SHA-512" hashValue="HpuhkPg4k4NfEIcSYJd49pwOwCahb71nUq6uPGiojSrrE17fqssapn+C+N5iMaMZghoHeMX7nwbvnTPHoyrJaA==" saltValue="ld+J9NVmGLCtY8LZ8AxyKQ==" spinCount="100000" sheet="1" objects="1" scenarios="1"/>
  <mergeCells count="3">
    <mergeCell ref="P1:W1"/>
    <mergeCell ref="Y1:AF1"/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F966-F975-4673-AA08-14C37ACD40E9}">
  <dimension ref="A1:N98"/>
  <sheetViews>
    <sheetView tabSelected="1" workbookViewId="0">
      <pane xSplit="1" topLeftCell="B54" activePane="topRight" state="frozen"/>
      <selection pane="topRight" activeCell="M62" sqref="M62"/>
    </sheetView>
  </sheetViews>
  <sheetFormatPr defaultRowHeight="15"/>
  <cols>
    <col min="1" max="1" width="6.5703125" bestFit="1" customWidth="1"/>
    <col min="2" max="2" width="13.140625" customWidth="1"/>
    <col min="3" max="3" width="12.5703125" customWidth="1"/>
    <col min="4" max="4" width="12.28515625" bestFit="1" customWidth="1"/>
    <col min="5" max="5" width="3" customWidth="1"/>
    <col min="6" max="6" width="17.7109375" customWidth="1"/>
    <col min="7" max="7" width="11.85546875" bestFit="1" customWidth="1"/>
    <col min="8" max="8" width="11.5703125" bestFit="1" customWidth="1"/>
    <col min="9" max="9" width="12.140625" customWidth="1"/>
    <col min="10" max="10" width="10.85546875" customWidth="1"/>
    <col min="11" max="11" width="11.28515625" customWidth="1"/>
    <col min="12" max="12" width="14.5703125" customWidth="1"/>
    <col min="13" max="13" width="14.42578125" customWidth="1"/>
    <col min="14" max="14" width="15.28515625" customWidth="1"/>
  </cols>
  <sheetData>
    <row r="1" spans="1:14" ht="24" customHeight="1">
      <c r="A1" s="304" t="s">
        <v>45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7"/>
    </row>
    <row r="2" spans="1:14">
      <c r="A2" s="297" t="s">
        <v>1</v>
      </c>
      <c r="B2" s="297" t="s">
        <v>2</v>
      </c>
      <c r="C2" s="297" t="s">
        <v>46</v>
      </c>
      <c r="D2" s="297" t="s">
        <v>47</v>
      </c>
      <c r="E2" s="297"/>
      <c r="F2" s="306" t="s">
        <v>48</v>
      </c>
      <c r="G2" s="306"/>
      <c r="H2" s="306"/>
      <c r="I2" s="306"/>
      <c r="J2" s="306"/>
      <c r="K2" s="306"/>
      <c r="L2" s="297" t="s">
        <v>49</v>
      </c>
      <c r="M2" s="297" t="s">
        <v>50</v>
      </c>
      <c r="N2" s="21">
        <v>0</v>
      </c>
    </row>
    <row r="3" spans="1:14">
      <c r="A3" s="297"/>
      <c r="B3" s="297"/>
      <c r="C3" s="297"/>
      <c r="D3" s="297"/>
      <c r="E3" s="297"/>
      <c r="F3" s="21" t="s">
        <v>51</v>
      </c>
      <c r="G3" s="21" t="s">
        <v>52</v>
      </c>
      <c r="H3" s="21" t="s">
        <v>53</v>
      </c>
      <c r="I3" s="21" t="s">
        <v>54</v>
      </c>
      <c r="J3" s="21" t="s">
        <v>55</v>
      </c>
      <c r="K3" s="21" t="s">
        <v>56</v>
      </c>
      <c r="L3" s="297"/>
      <c r="M3" s="297"/>
      <c r="N3" s="297"/>
    </row>
    <row r="4" spans="1:14">
      <c r="A4" s="109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1"/>
    </row>
    <row r="5" spans="1:14">
      <c r="A5" s="64">
        <v>1</v>
      </c>
      <c r="B5" s="150" t="str" cm="1">
        <f t="array" aca="1" ref="B5" ca="1">""&amp;INDIRECT(A5&amp;"!f1")&amp;"-"&amp;INDIRECT(A5&amp;"!g1")&amp;"-"&amp;INDIRECT(A5&amp;"!h1")</f>
        <v>1-3-2026</v>
      </c>
      <c r="C5" s="41" cm="1">
        <f t="array" aca="1" ref="C5" ca="1">INDIRECT(A5&amp;"!o14")</f>
        <v>4134620</v>
      </c>
      <c r="D5" s="41">
        <f ca="1">C5-L5</f>
        <v>588104</v>
      </c>
      <c r="E5" s="151"/>
      <c r="F5" s="152" cm="1">
        <f t="array" aca="1" ref="F5" ca="1">INDIRECT(A5&amp;"!j11")</f>
        <v>1091855</v>
      </c>
      <c r="G5" s="152" cm="1">
        <f t="array" aca="1" ref="G5" ca="1">INDIRECT(A5&amp;"!j12")</f>
        <v>1545361</v>
      </c>
      <c r="H5" s="152" cm="1">
        <f t="array" aca="1" ref="H5" ca="1">INDIRECT(A5&amp;"!j13")</f>
        <v>909300</v>
      </c>
      <c r="I5" s="152" cm="1">
        <f t="array" aca="1" ref="I5" ca="1">INDIRECT(A5&amp;"!j14")</f>
        <v>0</v>
      </c>
      <c r="J5" s="152" cm="1">
        <f t="array" aca="1" ref="J5" ca="1">INDIRECT(A5&amp;"!j15")</f>
        <v>0</v>
      </c>
      <c r="K5" s="152" cm="1">
        <f t="array" aca="1" ref="K5" ca="1">INDIRECT(A5&amp;"!j16")</f>
        <v>0</v>
      </c>
      <c r="L5" s="41">
        <f ca="1">SUM(F5:K5)</f>
        <v>3546516</v>
      </c>
      <c r="M5" s="1">
        <v>588105</v>
      </c>
      <c r="N5" s="153">
        <f ca="1">N2+D5-M5</f>
        <v>-1</v>
      </c>
    </row>
    <row r="6" spans="1:14">
      <c r="A6" s="64"/>
      <c r="B6" s="41"/>
      <c r="C6" s="41"/>
      <c r="D6" s="41"/>
      <c r="E6" s="151"/>
      <c r="F6" s="154"/>
      <c r="G6" s="154"/>
      <c r="H6" s="154"/>
      <c r="I6" s="154"/>
      <c r="J6" s="154"/>
      <c r="K6" s="154"/>
      <c r="L6" s="41"/>
      <c r="M6" s="2"/>
      <c r="N6" s="153"/>
    </row>
    <row r="7" spans="1:14">
      <c r="A7" s="64"/>
      <c r="B7" s="41"/>
      <c r="C7" s="41"/>
      <c r="D7" s="41"/>
      <c r="E7" s="151"/>
      <c r="F7" s="154"/>
      <c r="G7" s="154"/>
      <c r="H7" s="154"/>
      <c r="I7" s="154"/>
      <c r="J7" s="154"/>
      <c r="K7" s="154"/>
      <c r="L7" s="41"/>
      <c r="M7" s="2"/>
      <c r="N7" s="153"/>
    </row>
    <row r="8" spans="1:14">
      <c r="A8" s="64">
        <v>2</v>
      </c>
      <c r="B8" s="150" t="str" cm="1">
        <f t="array" aca="1" ref="B8" ca="1">""&amp;INDIRECT(A8&amp;"!f1")&amp;"-"&amp;INDIRECT(A8&amp;"!g1")&amp;"-"&amp;INDIRECT(A8&amp;"!h1")</f>
        <v>2-3-2026</v>
      </c>
      <c r="C8" s="41" cm="1">
        <f t="array" aca="1" ref="C8" ca="1">INDIRECT(A8&amp;"!o14")</f>
        <v>4443440</v>
      </c>
      <c r="D8" s="41">
        <f t="shared" ref="D8" ca="1" si="0">C8-L8</f>
        <v>152735</v>
      </c>
      <c r="E8" s="151"/>
      <c r="F8" s="152" cm="1">
        <f t="array" aca="1" ref="F8" ca="1">INDIRECT(A8&amp;"!j11")</f>
        <v>1344855</v>
      </c>
      <c r="G8" s="152" cm="1">
        <f t="array" aca="1" ref="G8" ca="1">INDIRECT(A8&amp;"!j12")</f>
        <v>1529910</v>
      </c>
      <c r="H8" s="152" cm="1">
        <f t="array" aca="1" ref="H8" ca="1">INDIRECT(A8&amp;"!j13")</f>
        <v>1415940</v>
      </c>
      <c r="I8" s="152" cm="1">
        <f t="array" aca="1" ref="I8" ca="1">INDIRECT(A8&amp;"!j14")</f>
        <v>0</v>
      </c>
      <c r="J8" s="152" cm="1">
        <f t="array" aca="1" ref="J8" ca="1">INDIRECT(A8&amp;"!j15")</f>
        <v>0</v>
      </c>
      <c r="K8" s="152" cm="1">
        <f t="array" aca="1" ref="K8" ca="1">INDIRECT(A8&amp;"!j16")</f>
        <v>0</v>
      </c>
      <c r="L8" s="41">
        <f t="shared" ref="L8" ca="1" si="1">SUM(F8:K8)</f>
        <v>4290705</v>
      </c>
      <c r="M8" s="1">
        <v>152800</v>
      </c>
      <c r="N8" s="153">
        <f t="shared" ref="N8" ca="1" si="2">N5+D8-M8</f>
        <v>-66</v>
      </c>
    </row>
    <row r="9" spans="1:14">
      <c r="A9" s="64"/>
      <c r="B9" s="41"/>
      <c r="C9" s="41"/>
      <c r="D9" s="41"/>
      <c r="E9" s="151"/>
      <c r="F9" s="154"/>
      <c r="G9" s="154"/>
      <c r="H9" s="154"/>
      <c r="I9" s="154"/>
      <c r="J9" s="154"/>
      <c r="K9" s="154"/>
      <c r="L9" s="41"/>
      <c r="M9" s="2"/>
      <c r="N9" s="153"/>
    </row>
    <row r="10" spans="1:14">
      <c r="A10" s="64"/>
      <c r="B10" s="41"/>
      <c r="C10" s="41"/>
      <c r="D10" s="41"/>
      <c r="E10" s="151"/>
      <c r="F10" s="154"/>
      <c r="G10" s="154"/>
      <c r="H10" s="154"/>
      <c r="I10" s="154"/>
      <c r="J10" s="154"/>
      <c r="K10" s="154"/>
      <c r="L10" s="41"/>
      <c r="M10" s="2"/>
      <c r="N10" s="153"/>
    </row>
    <row r="11" spans="1:14">
      <c r="A11" s="64">
        <v>3</v>
      </c>
      <c r="B11" s="150" t="str" cm="1">
        <f t="array" aca="1" ref="B11" ca="1">""&amp;INDIRECT(A11&amp;"!f1")&amp;"-"&amp;INDIRECT(A11&amp;"!g1")&amp;"-"&amp;INDIRECT(A11&amp;"!h1")</f>
        <v>3-3-2026</v>
      </c>
      <c r="C11" s="41" cm="1">
        <f t="array" aca="1" ref="C11" ca="1">INDIRECT(A11&amp;"!o14")</f>
        <v>4212500</v>
      </c>
      <c r="D11" s="41">
        <f t="shared" ref="D11" ca="1" si="3">C11-L11</f>
        <v>188601</v>
      </c>
      <c r="E11" s="151"/>
      <c r="F11" s="152" cm="1">
        <f t="array" aca="1" ref="F11" ca="1">INDIRECT(A11&amp;"!j11")</f>
        <v>1182858</v>
      </c>
      <c r="G11" s="152" cm="1">
        <f t="array" aca="1" ref="G11" ca="1">INDIRECT(A11&amp;"!j12")</f>
        <v>1626441</v>
      </c>
      <c r="H11" s="152" cm="1">
        <f t="array" aca="1" ref="H11" ca="1">INDIRECT(A11&amp;"!j13")</f>
        <v>1214600</v>
      </c>
      <c r="I11" s="152" cm="1">
        <f t="array" aca="1" ref="I11" ca="1">INDIRECT(A11&amp;"!j14")</f>
        <v>0</v>
      </c>
      <c r="J11" s="152" cm="1">
        <f t="array" aca="1" ref="J11" ca="1">INDIRECT(A11&amp;"!j15")</f>
        <v>0</v>
      </c>
      <c r="K11" s="152" cm="1">
        <f t="array" aca="1" ref="K11" ca="1">INDIRECT(A11&amp;"!j16")</f>
        <v>0</v>
      </c>
      <c r="L11" s="41">
        <f t="shared" ref="L11" ca="1" si="4">SUM(F11:K11)</f>
        <v>4023899</v>
      </c>
      <c r="M11" s="1">
        <v>188600</v>
      </c>
      <c r="N11" s="153">
        <f t="shared" ref="N11" ca="1" si="5">N8+D11-M11</f>
        <v>-65</v>
      </c>
    </row>
    <row r="12" spans="1:14">
      <c r="A12" s="64"/>
      <c r="B12" s="41"/>
      <c r="C12" s="41"/>
      <c r="D12" s="41"/>
      <c r="E12" s="151"/>
      <c r="F12" s="154"/>
      <c r="G12" s="154"/>
      <c r="H12" s="154"/>
      <c r="I12" s="154"/>
      <c r="J12" s="154"/>
      <c r="K12" s="154"/>
      <c r="L12" s="41"/>
      <c r="M12" s="2"/>
      <c r="N12" s="153"/>
    </row>
    <row r="13" spans="1:14">
      <c r="A13" s="64"/>
      <c r="B13" s="41"/>
      <c r="C13" s="41"/>
      <c r="D13" s="41"/>
      <c r="E13" s="151"/>
      <c r="F13" s="154"/>
      <c r="G13" s="154"/>
      <c r="H13" s="154"/>
      <c r="I13" s="154"/>
      <c r="J13" s="154"/>
      <c r="K13" s="154"/>
      <c r="L13" s="41"/>
      <c r="M13" s="2"/>
      <c r="N13" s="153"/>
    </row>
    <row r="14" spans="1:14">
      <c r="A14" s="64">
        <v>4</v>
      </c>
      <c r="B14" s="150" t="str" cm="1">
        <f t="array" aca="1" ref="B14" ca="1">""&amp;INDIRECT(A14&amp;"!f1")&amp;"-"&amp;INDIRECT(A14&amp;"!g1")&amp;"-"&amp;INDIRECT(A14&amp;"!h1")</f>
        <v>4-3-2026</v>
      </c>
      <c r="C14" s="41" cm="1">
        <f t="array" aca="1" ref="C14" ca="1">INDIRECT(A14&amp;"!o14")</f>
        <v>4878900</v>
      </c>
      <c r="D14" s="41">
        <f t="shared" ref="D14" ca="1" si="6">C14-L14</f>
        <v>199084</v>
      </c>
      <c r="E14" s="151"/>
      <c r="F14" s="152" cm="1">
        <f t="array" aca="1" ref="F14" ca="1">INDIRECT(A14&amp;"!j11")</f>
        <v>2137691</v>
      </c>
      <c r="G14" s="152" cm="1">
        <f t="array" aca="1" ref="G14" ca="1">INDIRECT(A14&amp;"!j12")</f>
        <v>1248838</v>
      </c>
      <c r="H14" s="152" cm="1">
        <f t="array" aca="1" ref="H14" ca="1">INDIRECT(A14&amp;"!j13")</f>
        <v>1293287</v>
      </c>
      <c r="I14" s="152" cm="1">
        <f t="array" aca="1" ref="I14" ca="1">INDIRECT(A14&amp;"!j14")</f>
        <v>0</v>
      </c>
      <c r="J14" s="152" cm="1">
        <f t="array" aca="1" ref="J14" ca="1">INDIRECT(A14&amp;"!j15")</f>
        <v>0</v>
      </c>
      <c r="K14" s="152" cm="1">
        <f t="array" aca="1" ref="K14" ca="1">INDIRECT(A14&amp;"!j16")</f>
        <v>0</v>
      </c>
      <c r="L14" s="41">
        <f t="shared" ref="L14" ca="1" si="7">SUM(F14:K14)</f>
        <v>4679816</v>
      </c>
      <c r="M14" s="1">
        <v>199100</v>
      </c>
      <c r="N14" s="153">
        <f t="shared" ref="N14" ca="1" si="8">N11+D14-M14</f>
        <v>-81</v>
      </c>
    </row>
    <row r="15" spans="1:14">
      <c r="A15" s="64"/>
      <c r="B15" s="41"/>
      <c r="C15" s="41"/>
      <c r="D15" s="41"/>
      <c r="E15" s="151"/>
      <c r="F15" s="154"/>
      <c r="G15" s="154"/>
      <c r="H15" s="154"/>
      <c r="I15" s="154"/>
      <c r="J15" s="154"/>
      <c r="K15" s="154"/>
      <c r="L15" s="41"/>
      <c r="M15" s="2"/>
      <c r="N15" s="153"/>
    </row>
    <row r="16" spans="1:14">
      <c r="A16" s="64"/>
      <c r="B16" s="41"/>
      <c r="C16" s="41"/>
      <c r="D16" s="41"/>
      <c r="E16" s="151"/>
      <c r="F16" s="154"/>
      <c r="G16" s="154"/>
      <c r="H16" s="154"/>
      <c r="I16" s="154"/>
      <c r="J16" s="154"/>
      <c r="K16" s="154"/>
      <c r="L16" s="41"/>
      <c r="M16" s="2"/>
      <c r="N16" s="153"/>
    </row>
    <row r="17" spans="1:14">
      <c r="A17" s="64">
        <v>5</v>
      </c>
      <c r="B17" s="150" t="str" cm="1">
        <f t="array" aca="1" ref="B17" ca="1">""&amp;INDIRECT(A17&amp;"!f1")&amp;"-"&amp;INDIRECT(A17&amp;"!g1")&amp;"-"&amp;INDIRECT(A17&amp;"!h1")</f>
        <v>5-3-2026</v>
      </c>
      <c r="C17" s="41" cm="1">
        <f t="array" aca="1" ref="C17" ca="1">INDIRECT(A17&amp;"!o14")</f>
        <v>4694870</v>
      </c>
      <c r="D17" s="41">
        <f t="shared" ref="D17" ca="1" si="9">C17-L17</f>
        <v>1029079</v>
      </c>
      <c r="E17" s="151"/>
      <c r="F17" s="152" cm="1">
        <f t="array" aca="1" ref="F17" ca="1">INDIRECT(A17&amp;"!j11")</f>
        <v>831197</v>
      </c>
      <c r="G17" s="152" cm="1">
        <f t="array" aca="1" ref="G17" ca="1">INDIRECT(A17&amp;"!j12")</f>
        <v>1117574</v>
      </c>
      <c r="H17" s="152" cm="1">
        <f t="array" aca="1" ref="H17" ca="1">INDIRECT(A17&amp;"!j13")</f>
        <v>1717020</v>
      </c>
      <c r="I17" s="152" cm="1">
        <f t="array" aca="1" ref="I17" ca="1">INDIRECT(A17&amp;"!j14")</f>
        <v>0</v>
      </c>
      <c r="J17" s="152" cm="1">
        <f t="array" aca="1" ref="J17" ca="1">INDIRECT(A17&amp;"!j15")</f>
        <v>0</v>
      </c>
      <c r="K17" s="152" cm="1">
        <f t="array" aca="1" ref="K17" ca="1">INDIRECT(A17&amp;"!j16")</f>
        <v>0</v>
      </c>
      <c r="L17" s="41">
        <f t="shared" ref="L17" ca="1" si="10">SUM(F17:K17)</f>
        <v>3665791</v>
      </c>
      <c r="M17" s="1">
        <v>1029080</v>
      </c>
      <c r="N17" s="153">
        <f t="shared" ref="N17" ca="1" si="11">N14+D17-M17</f>
        <v>-82</v>
      </c>
    </row>
    <row r="18" spans="1:14">
      <c r="A18" s="64"/>
      <c r="B18" s="41"/>
      <c r="C18" s="41"/>
      <c r="D18" s="41"/>
      <c r="E18" s="151"/>
      <c r="F18" s="154"/>
      <c r="G18" s="154"/>
      <c r="H18" s="154"/>
      <c r="I18" s="154"/>
      <c r="J18" s="154"/>
      <c r="K18" s="154"/>
      <c r="L18" s="41"/>
      <c r="M18" s="2"/>
      <c r="N18" s="153"/>
    </row>
    <row r="19" spans="1:14">
      <c r="A19" s="64"/>
      <c r="B19" s="41"/>
      <c r="C19" s="41"/>
      <c r="D19" s="41"/>
      <c r="E19" s="151"/>
      <c r="F19" s="154"/>
      <c r="G19" s="154"/>
      <c r="H19" s="154"/>
      <c r="I19" s="154"/>
      <c r="J19" s="154"/>
      <c r="K19" s="154"/>
      <c r="L19" s="41"/>
      <c r="M19" s="2"/>
      <c r="N19" s="153"/>
    </row>
    <row r="20" spans="1:14">
      <c r="A20" s="64">
        <v>6</v>
      </c>
      <c r="B20" s="150" t="str" cm="1">
        <f t="array" aca="1" ref="B20" ca="1">""&amp;INDIRECT(A20&amp;"!f1")&amp;"-"&amp;INDIRECT(A20&amp;"!g1")&amp;"-"&amp;INDIRECT(A20&amp;"!h1")</f>
        <v>6-3-2026</v>
      </c>
      <c r="C20" s="41" cm="1">
        <f t="array" aca="1" ref="C20" ca="1">INDIRECT(A20&amp;"!o14")</f>
        <v>6217525</v>
      </c>
      <c r="D20" s="41">
        <f t="shared" ref="D20" ca="1" si="12">C20-L20</f>
        <v>986585</v>
      </c>
      <c r="E20" s="151"/>
      <c r="F20" s="152" cm="1">
        <f t="array" aca="1" ref="F20" ca="1">INDIRECT(A20&amp;"!j11")</f>
        <v>2010654</v>
      </c>
      <c r="G20" s="152" cm="1">
        <f t="array" aca="1" ref="G20" ca="1">INDIRECT(A20&amp;"!j12")</f>
        <v>1519664</v>
      </c>
      <c r="H20" s="152" cm="1">
        <f t="array" aca="1" ref="H20" ca="1">INDIRECT(A20&amp;"!j13")</f>
        <v>1700622</v>
      </c>
      <c r="I20" s="152" cm="1">
        <f t="array" aca="1" ref="I20" ca="1">INDIRECT(A20&amp;"!j14")</f>
        <v>0</v>
      </c>
      <c r="J20" s="152" cm="1">
        <f t="array" aca="1" ref="J20" ca="1">INDIRECT(A20&amp;"!j15")</f>
        <v>0</v>
      </c>
      <c r="K20" s="152" cm="1">
        <f t="array" aca="1" ref="K20" ca="1">INDIRECT(A20&amp;"!j16")</f>
        <v>0</v>
      </c>
      <c r="L20" s="41">
        <f t="shared" ref="L20" ca="1" si="13">SUM(F20:K20)</f>
        <v>5230940</v>
      </c>
      <c r="M20" s="1">
        <v>986585</v>
      </c>
      <c r="N20" s="153">
        <f t="shared" ref="N20" ca="1" si="14">N17+D20-M20</f>
        <v>-82</v>
      </c>
    </row>
    <row r="21" spans="1:14">
      <c r="A21" s="64"/>
      <c r="B21" s="41"/>
      <c r="C21" s="41"/>
      <c r="D21" s="41"/>
      <c r="E21" s="151"/>
      <c r="F21" s="154"/>
      <c r="G21" s="154"/>
      <c r="H21" s="154"/>
      <c r="I21" s="154"/>
      <c r="J21" s="154"/>
      <c r="K21" s="154"/>
      <c r="L21" s="41"/>
      <c r="M21" s="2"/>
      <c r="N21" s="153"/>
    </row>
    <row r="22" spans="1:14">
      <c r="A22" s="64"/>
      <c r="B22" s="41"/>
      <c r="C22" s="41"/>
      <c r="D22" s="41"/>
      <c r="E22" s="151"/>
      <c r="F22" s="154"/>
      <c r="G22" s="154"/>
      <c r="H22" s="154"/>
      <c r="I22" s="154"/>
      <c r="J22" s="154"/>
      <c r="K22" s="154"/>
      <c r="L22" s="41"/>
      <c r="M22" s="2"/>
      <c r="N22" s="153"/>
    </row>
    <row r="23" spans="1:14">
      <c r="A23" s="64">
        <v>7</v>
      </c>
      <c r="B23" s="150" t="str" cm="1">
        <f t="array" aca="1" ref="B23" ca="1">""&amp;INDIRECT(A23&amp;"!f1")&amp;"-"&amp;INDIRECT(A23&amp;"!g1")&amp;"-"&amp;INDIRECT(A23&amp;"!h1")</f>
        <v>7-3-2026</v>
      </c>
      <c r="C23" s="41" cm="1">
        <f t="array" aca="1" ref="C23" ca="1">INDIRECT(A23&amp;"!o14")</f>
        <v>5622062</v>
      </c>
      <c r="D23" s="41">
        <f t="shared" ref="D23" ca="1" si="15">C23-L23</f>
        <v>642004</v>
      </c>
      <c r="E23" s="151"/>
      <c r="F23" s="152" cm="1">
        <f t="array" aca="1" ref="F23" ca="1">INDIRECT(A23&amp;"!j11")</f>
        <v>2526460</v>
      </c>
      <c r="G23" s="152" cm="1">
        <f t="array" aca="1" ref="G23" ca="1">INDIRECT(A23&amp;"!j12")</f>
        <v>1703798</v>
      </c>
      <c r="H23" s="152" cm="1">
        <f t="array" aca="1" ref="H23" ca="1">INDIRECT(A23&amp;"!j13")</f>
        <v>749800</v>
      </c>
      <c r="I23" s="152" cm="1">
        <f t="array" aca="1" ref="I23" ca="1">INDIRECT(A23&amp;"!j14")</f>
        <v>0</v>
      </c>
      <c r="J23" s="152" cm="1">
        <f t="array" aca="1" ref="J23" ca="1">INDIRECT(A23&amp;"!j15")</f>
        <v>0</v>
      </c>
      <c r="K23" s="152" cm="1">
        <f t="array" aca="1" ref="K23" ca="1">INDIRECT(A23&amp;"!j16")</f>
        <v>0</v>
      </c>
      <c r="L23" s="41">
        <f t="shared" ref="L23" ca="1" si="16">SUM(F23:K23)</f>
        <v>4980058</v>
      </c>
      <c r="M23" s="1">
        <v>642000</v>
      </c>
      <c r="N23" s="153">
        <f t="shared" ref="N23" ca="1" si="17">N20+D23-M23</f>
        <v>-78</v>
      </c>
    </row>
    <row r="24" spans="1:14">
      <c r="A24" s="64"/>
      <c r="B24" s="41"/>
      <c r="C24" s="41"/>
      <c r="D24" s="41"/>
      <c r="E24" s="151"/>
      <c r="F24" s="154"/>
      <c r="G24" s="154"/>
      <c r="H24" s="154"/>
      <c r="I24" s="154"/>
      <c r="J24" s="154"/>
      <c r="K24" s="154"/>
      <c r="L24" s="41"/>
      <c r="M24" s="2"/>
      <c r="N24" s="153"/>
    </row>
    <row r="25" spans="1:14">
      <c r="A25" s="64"/>
      <c r="B25" s="41"/>
      <c r="C25" s="41"/>
      <c r="D25" s="41"/>
      <c r="E25" s="151"/>
      <c r="F25" s="154"/>
      <c r="G25" s="154"/>
      <c r="H25" s="154"/>
      <c r="I25" s="154"/>
      <c r="J25" s="154"/>
      <c r="K25" s="154"/>
      <c r="L25" s="41"/>
      <c r="M25" s="2"/>
      <c r="N25" s="153"/>
    </row>
    <row r="26" spans="1:14">
      <c r="A26" s="64">
        <v>8</v>
      </c>
      <c r="B26" s="150" t="str" cm="1">
        <f t="array" aca="1" ref="B26" ca="1">""&amp;INDIRECT(A26&amp;"!f1")&amp;"-"&amp;INDIRECT(A26&amp;"!g1")&amp;"-"&amp;INDIRECT(A26&amp;"!h1")</f>
        <v>8-3-2026</v>
      </c>
      <c r="C26" s="41" cm="1">
        <f t="array" aca="1" ref="C26" ca="1">INDIRECT(A26&amp;"!o14")</f>
        <v>4278630</v>
      </c>
      <c r="D26" s="41">
        <f t="shared" ref="D26" ca="1" si="18">C26-L26</f>
        <v>230357</v>
      </c>
      <c r="E26" s="151"/>
      <c r="F26" s="152" cm="1">
        <f t="array" aca="1" ref="F26" ca="1">INDIRECT(A26&amp;"!j11")</f>
        <v>2171982</v>
      </c>
      <c r="G26" s="152" cm="1">
        <f t="array" aca="1" ref="G26" ca="1">INDIRECT(A26&amp;"!j12")</f>
        <v>1876291</v>
      </c>
      <c r="H26" s="152" cm="1">
        <f t="array" aca="1" ref="H26" ca="1">INDIRECT(A26&amp;"!j13")</f>
        <v>0</v>
      </c>
      <c r="I26" s="152" cm="1">
        <f t="array" aca="1" ref="I26" ca="1">INDIRECT(A26&amp;"!j14")</f>
        <v>0</v>
      </c>
      <c r="J26" s="152" cm="1">
        <f t="array" aca="1" ref="J26" ca="1">INDIRECT(A26&amp;"!j15")</f>
        <v>0</v>
      </c>
      <c r="K26" s="152" cm="1">
        <f t="array" aca="1" ref="K26" ca="1">INDIRECT(A26&amp;"!j16")</f>
        <v>0</v>
      </c>
      <c r="L26" s="41">
        <f t="shared" ref="L26" ca="1" si="19">SUM(F26:K26)</f>
        <v>4048273</v>
      </c>
      <c r="M26" s="1">
        <v>230360</v>
      </c>
      <c r="N26" s="153">
        <f t="shared" ref="N26" ca="1" si="20">N23+D26-M26</f>
        <v>-81</v>
      </c>
    </row>
    <row r="27" spans="1:14">
      <c r="A27" s="64"/>
      <c r="B27" s="41"/>
      <c r="C27" s="41"/>
      <c r="D27" s="41"/>
      <c r="E27" s="151"/>
      <c r="F27" s="154"/>
      <c r="G27" s="154"/>
      <c r="H27" s="154"/>
      <c r="I27" s="154"/>
      <c r="J27" s="154"/>
      <c r="K27" s="154"/>
      <c r="L27" s="41"/>
      <c r="M27" s="2"/>
      <c r="N27" s="153"/>
    </row>
    <row r="28" spans="1:14">
      <c r="A28" s="64"/>
      <c r="B28" s="41"/>
      <c r="C28" s="41"/>
      <c r="D28" s="41"/>
      <c r="E28" s="151"/>
      <c r="F28" s="154"/>
      <c r="G28" s="154"/>
      <c r="H28" s="154"/>
      <c r="I28" s="154"/>
      <c r="J28" s="154"/>
      <c r="K28" s="154"/>
      <c r="L28" s="41"/>
      <c r="M28" s="2"/>
      <c r="N28" s="153"/>
    </row>
    <row r="29" spans="1:14">
      <c r="A29" s="64">
        <v>9</v>
      </c>
      <c r="B29" s="150" t="str" cm="1">
        <f t="array" aca="1" ref="B29" ca="1">""&amp;INDIRECT(A29&amp;"!f1")&amp;"-"&amp;INDIRECT(A29&amp;"!g1")&amp;"-"&amp;INDIRECT(A29&amp;"!h1")</f>
        <v>9-3-2026</v>
      </c>
      <c r="C29" s="41" cm="1">
        <f t="array" aca="1" ref="C29" ca="1">INDIRECT(A29&amp;"!o14")</f>
        <v>4371250</v>
      </c>
      <c r="D29" s="41">
        <f t="shared" ref="D29" ca="1" si="21">C29-L29</f>
        <v>526074</v>
      </c>
      <c r="E29" s="151"/>
      <c r="F29" s="152" cm="1">
        <f t="array" aca="1" ref="F29" ca="1">INDIRECT(A29&amp;"!j11")</f>
        <v>1456311</v>
      </c>
      <c r="G29" s="152" cm="1">
        <f t="array" aca="1" ref="G29" ca="1">INDIRECT(A29&amp;"!j12")</f>
        <v>2388865</v>
      </c>
      <c r="H29" s="152" cm="1">
        <f t="array" aca="1" ref="H29" ca="1">INDIRECT(A29&amp;"!j13")</f>
        <v>0</v>
      </c>
      <c r="I29" s="152" cm="1">
        <f t="array" aca="1" ref="I29" ca="1">INDIRECT(A29&amp;"!j14")</f>
        <v>0</v>
      </c>
      <c r="J29" s="152" cm="1">
        <f t="array" aca="1" ref="J29" ca="1">INDIRECT(A29&amp;"!j15")</f>
        <v>0</v>
      </c>
      <c r="K29" s="152" cm="1">
        <f t="array" aca="1" ref="K29" ca="1">INDIRECT(A29&amp;"!j16")</f>
        <v>0</v>
      </c>
      <c r="L29" s="41">
        <f t="shared" ref="L29" ca="1" si="22">SUM(F29:K29)</f>
        <v>3845176</v>
      </c>
      <c r="M29" s="1">
        <v>526075</v>
      </c>
      <c r="N29" s="153">
        <f t="shared" ref="N29" ca="1" si="23">N26+D29-M29</f>
        <v>-82</v>
      </c>
    </row>
    <row r="30" spans="1:14">
      <c r="A30" s="64"/>
      <c r="B30" s="41"/>
      <c r="C30" s="41"/>
      <c r="D30" s="41"/>
      <c r="E30" s="151"/>
      <c r="F30" s="154"/>
      <c r="G30" s="154"/>
      <c r="H30" s="154"/>
      <c r="I30" s="154"/>
      <c r="J30" s="154"/>
      <c r="K30" s="154"/>
      <c r="L30" s="41"/>
      <c r="M30" s="2"/>
      <c r="N30" s="153"/>
    </row>
    <row r="31" spans="1:14">
      <c r="A31" s="64"/>
      <c r="B31" s="41"/>
      <c r="C31" s="41"/>
      <c r="D31" s="41"/>
      <c r="E31" s="151"/>
      <c r="F31" s="154"/>
      <c r="G31" s="154"/>
      <c r="H31" s="154"/>
      <c r="I31" s="154"/>
      <c r="J31" s="154"/>
      <c r="K31" s="154"/>
      <c r="L31" s="41"/>
      <c r="M31" s="2"/>
      <c r="N31" s="153"/>
    </row>
    <row r="32" spans="1:14">
      <c r="A32" s="64">
        <v>10</v>
      </c>
      <c r="B32" s="150" t="str" cm="1">
        <f t="array" aca="1" ref="B32" ca="1">""&amp;INDIRECT(A32&amp;"!f1")&amp;"-"&amp;INDIRECT(A32&amp;"!g1")&amp;"-"&amp;INDIRECT(A32&amp;"!h1")</f>
        <v>10-3-2026</v>
      </c>
      <c r="C32" s="41" cm="1">
        <f t="array" aca="1" ref="C32" ca="1">INDIRECT(A32&amp;"!o14")</f>
        <v>5930570</v>
      </c>
      <c r="D32" s="41">
        <f t="shared" ref="D32" ca="1" si="24">C32-L32</f>
        <v>218723</v>
      </c>
      <c r="E32" s="151"/>
      <c r="F32" s="152" cm="1">
        <f t="array" aca="1" ref="F32" ca="1">INDIRECT(A32&amp;"!j11")</f>
        <v>3569487</v>
      </c>
      <c r="G32" s="152" cm="1">
        <f t="array" aca="1" ref="G32" ca="1">INDIRECT(A32&amp;"!j12")</f>
        <v>2142360</v>
      </c>
      <c r="H32" s="152" cm="1">
        <f t="array" aca="1" ref="H32" ca="1">INDIRECT(A32&amp;"!j13")</f>
        <v>0</v>
      </c>
      <c r="I32" s="152" cm="1">
        <f t="array" aca="1" ref="I32" ca="1">INDIRECT(A32&amp;"!j14")</f>
        <v>0</v>
      </c>
      <c r="J32" s="152" cm="1">
        <f t="array" aca="1" ref="J32" ca="1">INDIRECT(A32&amp;"!j15")</f>
        <v>0</v>
      </c>
      <c r="K32" s="152" cm="1">
        <f t="array" aca="1" ref="K32" ca="1">INDIRECT(A32&amp;"!j16")</f>
        <v>0</v>
      </c>
      <c r="L32" s="41">
        <f t="shared" ref="L32" ca="1" si="25">SUM(F32:K32)</f>
        <v>5711847</v>
      </c>
      <c r="M32" s="1">
        <v>218730</v>
      </c>
      <c r="N32" s="153">
        <f t="shared" ref="N32" ca="1" si="26">N29+D32-M32</f>
        <v>-89</v>
      </c>
    </row>
    <row r="33" spans="1:14">
      <c r="A33" s="64"/>
      <c r="B33" s="41"/>
      <c r="C33" s="41"/>
      <c r="D33" s="41"/>
      <c r="E33" s="151"/>
      <c r="F33" s="154"/>
      <c r="G33" s="154"/>
      <c r="H33" s="154"/>
      <c r="I33" s="154"/>
      <c r="J33" s="154"/>
      <c r="K33" s="154"/>
      <c r="L33" s="41"/>
      <c r="M33" s="2"/>
      <c r="N33" s="153"/>
    </row>
    <row r="34" spans="1:14">
      <c r="A34" s="64"/>
      <c r="B34" s="41"/>
      <c r="C34" s="41"/>
      <c r="D34" s="41"/>
      <c r="E34" s="151"/>
      <c r="F34" s="154"/>
      <c r="G34" s="154"/>
      <c r="H34" s="154"/>
      <c r="I34" s="154"/>
      <c r="J34" s="154"/>
      <c r="K34" s="154"/>
      <c r="L34" s="41"/>
      <c r="M34" s="2"/>
      <c r="N34" s="153"/>
    </row>
    <row r="35" spans="1:14">
      <c r="A35" s="64">
        <v>11</v>
      </c>
      <c r="B35" s="150" t="str" cm="1">
        <f t="array" aca="1" ref="B35" ca="1">""&amp;INDIRECT(A35&amp;"!f1")&amp;"-"&amp;INDIRECT(A35&amp;"!g1")&amp;"-"&amp;INDIRECT(A35&amp;"!h1")</f>
        <v>11-3-2026</v>
      </c>
      <c r="C35" s="41" cm="1">
        <f t="array" aca="1" ref="C35" ca="1">INDIRECT(A35&amp;"!o14")</f>
        <v>6087330</v>
      </c>
      <c r="D35" s="41">
        <f t="shared" ref="D35" ca="1" si="27">C35-L35</f>
        <v>618226</v>
      </c>
      <c r="E35" s="151"/>
      <c r="F35" s="152" cm="1">
        <f t="array" aca="1" ref="F35" ca="1">INDIRECT(A35&amp;"!j11")</f>
        <v>2168584</v>
      </c>
      <c r="G35" s="152" cm="1">
        <f t="array" aca="1" ref="G35" ca="1">INDIRECT(A35&amp;"!j12")</f>
        <v>3300520</v>
      </c>
      <c r="H35" s="152" cm="1">
        <f t="array" aca="1" ref="H35" ca="1">INDIRECT(A35&amp;"!j13")</f>
        <v>0</v>
      </c>
      <c r="I35" s="152" cm="1">
        <f t="array" aca="1" ref="I35" ca="1">INDIRECT(A35&amp;"!j14")</f>
        <v>0</v>
      </c>
      <c r="J35" s="152" cm="1">
        <f t="array" aca="1" ref="J35" ca="1">INDIRECT(A35&amp;"!j15")</f>
        <v>0</v>
      </c>
      <c r="K35" s="152" cm="1">
        <f t="array" aca="1" ref="K35" ca="1">INDIRECT(A35&amp;"!j16")</f>
        <v>0</v>
      </c>
      <c r="L35" s="41">
        <f t="shared" ref="L35" ca="1" si="28">SUM(F35:K35)</f>
        <v>5469104</v>
      </c>
      <c r="M35" s="1">
        <v>618230</v>
      </c>
      <c r="N35" s="153">
        <f t="shared" ref="N35" ca="1" si="29">N32+D35-M35</f>
        <v>-93</v>
      </c>
    </row>
    <row r="36" spans="1:14">
      <c r="A36" s="64"/>
      <c r="B36" s="41"/>
      <c r="C36" s="41"/>
      <c r="D36" s="41"/>
      <c r="E36" s="151"/>
      <c r="F36" s="154"/>
      <c r="G36" s="154"/>
      <c r="H36" s="154"/>
      <c r="I36" s="154"/>
      <c r="J36" s="154"/>
      <c r="K36" s="154"/>
      <c r="L36" s="41"/>
      <c r="M36" s="2"/>
      <c r="N36" s="153"/>
    </row>
    <row r="37" spans="1:14">
      <c r="A37" s="64"/>
      <c r="B37" s="41"/>
      <c r="C37" s="41"/>
      <c r="D37" s="41"/>
      <c r="E37" s="151"/>
      <c r="F37" s="154"/>
      <c r="G37" s="154"/>
      <c r="H37" s="154"/>
      <c r="I37" s="154"/>
      <c r="J37" s="154"/>
      <c r="K37" s="154"/>
      <c r="L37" s="41"/>
      <c r="M37" s="2"/>
      <c r="N37" s="153"/>
    </row>
    <row r="38" spans="1:14">
      <c r="A38" s="64">
        <v>12</v>
      </c>
      <c r="B38" s="150" t="str" cm="1">
        <f t="array" aca="1" ref="B38" ca="1">""&amp;INDIRECT(A38&amp;"!f1")&amp;"-"&amp;INDIRECT(A38&amp;"!g1")&amp;"-"&amp;INDIRECT(A38&amp;"!h1")</f>
        <v>12-3-2026</v>
      </c>
      <c r="C38" s="41" cm="1">
        <f t="array" aca="1" ref="C38" ca="1">INDIRECT(A38&amp;"!o14")</f>
        <v>5831850</v>
      </c>
      <c r="D38" s="41">
        <f t="shared" ref="D38" ca="1" si="30">C38-L38</f>
        <v>574180</v>
      </c>
      <c r="E38" s="151"/>
      <c r="F38" s="152" cm="1">
        <f t="array" aca="1" ref="F38" ca="1">INDIRECT(A38&amp;"!j11")</f>
        <v>1135560</v>
      </c>
      <c r="G38" s="152" cm="1">
        <f t="array" aca="1" ref="G38" ca="1">INDIRECT(A38&amp;"!j12")</f>
        <v>4122110</v>
      </c>
      <c r="H38" s="152" cm="1">
        <f t="array" aca="1" ref="H38" ca="1">INDIRECT(A38&amp;"!j13")</f>
        <v>0</v>
      </c>
      <c r="I38" s="152" cm="1">
        <f t="array" aca="1" ref="I38" ca="1">INDIRECT(A38&amp;"!j14")</f>
        <v>0</v>
      </c>
      <c r="J38" s="152" cm="1">
        <f t="array" aca="1" ref="J38" ca="1">INDIRECT(A38&amp;"!j15")</f>
        <v>0</v>
      </c>
      <c r="K38" s="152" cm="1">
        <f t="array" aca="1" ref="K38" ca="1">INDIRECT(A38&amp;"!j16")</f>
        <v>0</v>
      </c>
      <c r="L38" s="41">
        <f t="shared" ref="L38" ca="1" si="31">SUM(F38:K38)</f>
        <v>5257670</v>
      </c>
      <c r="M38" s="1">
        <v>574200</v>
      </c>
      <c r="N38" s="153">
        <f t="shared" ref="N38" ca="1" si="32">N35+D38-M38</f>
        <v>-113</v>
      </c>
    </row>
    <row r="39" spans="1:14">
      <c r="A39" s="64"/>
      <c r="B39" s="41"/>
      <c r="C39" s="41"/>
      <c r="D39" s="41"/>
      <c r="E39" s="151"/>
      <c r="F39" s="154"/>
      <c r="G39" s="154"/>
      <c r="H39" s="154"/>
      <c r="I39" s="154"/>
      <c r="J39" s="154"/>
      <c r="K39" s="154"/>
      <c r="L39" s="41"/>
      <c r="M39" s="2"/>
      <c r="N39" s="153"/>
    </row>
    <row r="40" spans="1:14">
      <c r="A40" s="64"/>
      <c r="B40" s="41"/>
      <c r="C40" s="41"/>
      <c r="D40" s="41"/>
      <c r="E40" s="151"/>
      <c r="F40" s="154"/>
      <c r="G40" s="154"/>
      <c r="H40" s="154"/>
      <c r="I40" s="154"/>
      <c r="J40" s="154"/>
      <c r="K40" s="154"/>
      <c r="L40" s="41"/>
      <c r="M40" s="2"/>
      <c r="N40" s="153"/>
    </row>
    <row r="41" spans="1:14">
      <c r="A41" s="64">
        <v>13</v>
      </c>
      <c r="B41" s="150" t="str" cm="1">
        <f t="array" aca="1" ref="B41" ca="1">""&amp;INDIRECT(A41&amp;"!f1")&amp;"-"&amp;INDIRECT(A41&amp;"!g1")&amp;"-"&amp;INDIRECT(A41&amp;"!h1")</f>
        <v>13-3-2026</v>
      </c>
      <c r="C41" s="41" cm="1">
        <f t="array" aca="1" ref="C41" ca="1">INDIRECT(A41&amp;"!o14")</f>
        <v>5055700</v>
      </c>
      <c r="D41" s="41">
        <f t="shared" ref="D41" ca="1" si="33">C41-L41</f>
        <v>435008</v>
      </c>
      <c r="E41" s="151"/>
      <c r="F41" s="152" cm="1">
        <f t="array" aca="1" ref="F41" ca="1">INDIRECT(A41&amp;"!j11")</f>
        <v>3053078</v>
      </c>
      <c r="G41" s="152" cm="1">
        <f t="array" aca="1" ref="G41" ca="1">INDIRECT(A41&amp;"!j12")</f>
        <v>1567614</v>
      </c>
      <c r="H41" s="152" cm="1">
        <f t="array" aca="1" ref="H41" ca="1">INDIRECT(A41&amp;"!j13")</f>
        <v>0</v>
      </c>
      <c r="I41" s="152" cm="1">
        <f t="array" aca="1" ref="I41" ca="1">INDIRECT(A41&amp;"!j14")</f>
        <v>0</v>
      </c>
      <c r="J41" s="152" cm="1">
        <f t="array" aca="1" ref="J41" ca="1">INDIRECT(A41&amp;"!j15")</f>
        <v>0</v>
      </c>
      <c r="K41" s="152" cm="1">
        <f t="array" aca="1" ref="K41" ca="1">INDIRECT(A41&amp;"!j16")</f>
        <v>0</v>
      </c>
      <c r="L41" s="41">
        <f t="shared" ref="L41" ca="1" si="34">SUM(F41:K41)</f>
        <v>4620692</v>
      </c>
      <c r="M41" s="1">
        <v>435000</v>
      </c>
      <c r="N41" s="153">
        <f t="shared" ref="N41" ca="1" si="35">N38+D41-M41</f>
        <v>-105</v>
      </c>
    </row>
    <row r="42" spans="1:14">
      <c r="A42" s="64"/>
      <c r="B42" s="41"/>
      <c r="C42" s="41"/>
      <c r="D42" s="41"/>
      <c r="E42" s="151"/>
      <c r="F42" s="154"/>
      <c r="G42" s="154"/>
      <c r="H42" s="154"/>
      <c r="I42" s="154"/>
      <c r="J42" s="154"/>
      <c r="K42" s="154"/>
      <c r="L42" s="41"/>
      <c r="M42" s="2"/>
      <c r="N42" s="153"/>
    </row>
    <row r="43" spans="1:14">
      <c r="A43" s="64"/>
      <c r="B43" s="41"/>
      <c r="C43" s="41"/>
      <c r="D43" s="41"/>
      <c r="E43" s="151"/>
      <c r="F43" s="154"/>
      <c r="G43" s="154"/>
      <c r="H43" s="154"/>
      <c r="I43" s="154"/>
      <c r="J43" s="154"/>
      <c r="K43" s="154"/>
      <c r="L43" s="41"/>
      <c r="M43" s="2"/>
      <c r="N43" s="153"/>
    </row>
    <row r="44" spans="1:14">
      <c r="A44" s="64">
        <v>14</v>
      </c>
      <c r="B44" s="150" t="str" cm="1">
        <f t="array" aca="1" ref="B44" ca="1">""&amp;INDIRECT(A44&amp;"!f1")&amp;"-"&amp;INDIRECT(A44&amp;"!g1")&amp;"-"&amp;INDIRECT(A44&amp;"!h1")</f>
        <v>14-3-2026</v>
      </c>
      <c r="C44" s="41" cm="1">
        <f t="array" aca="1" ref="C44" ca="1">INDIRECT(A44&amp;"!o14")</f>
        <v>5645100</v>
      </c>
      <c r="D44" s="41">
        <f t="shared" ref="D44" ca="1" si="36">C44-L44</f>
        <v>1378342</v>
      </c>
      <c r="E44" s="151"/>
      <c r="F44" s="152" cm="1">
        <f t="array" aca="1" ref="F44" ca="1">INDIRECT(A44&amp;"!j11")</f>
        <v>2003430</v>
      </c>
      <c r="G44" s="152" cm="1">
        <f t="array" aca="1" ref="G44" ca="1">INDIRECT(A44&amp;"!j12")</f>
        <v>2263328</v>
      </c>
      <c r="H44" s="152" cm="1">
        <f t="array" aca="1" ref="H44" ca="1">INDIRECT(A44&amp;"!j13")</f>
        <v>0</v>
      </c>
      <c r="I44" s="152" cm="1">
        <f t="array" aca="1" ref="I44" ca="1">INDIRECT(A44&amp;"!j14")</f>
        <v>0</v>
      </c>
      <c r="J44" s="152" cm="1">
        <f t="array" aca="1" ref="J44" ca="1">INDIRECT(A44&amp;"!j15")</f>
        <v>0</v>
      </c>
      <c r="K44" s="152" cm="1">
        <f t="array" aca="1" ref="K44" ca="1">INDIRECT(A44&amp;"!j16")</f>
        <v>0</v>
      </c>
      <c r="L44" s="41">
        <f t="shared" ref="L44" ca="1" si="37">SUM(F44:K44)</f>
        <v>4266758</v>
      </c>
      <c r="M44" s="1">
        <v>1378350</v>
      </c>
      <c r="N44" s="153">
        <f t="shared" ref="N44" ca="1" si="38">N41+D44-M44</f>
        <v>-113</v>
      </c>
    </row>
    <row r="45" spans="1:14">
      <c r="A45" s="64"/>
      <c r="B45" s="41"/>
      <c r="C45" s="41"/>
      <c r="D45" s="41"/>
      <c r="E45" s="151"/>
      <c r="F45" s="154"/>
      <c r="G45" s="154"/>
      <c r="H45" s="154"/>
      <c r="I45" s="154"/>
      <c r="J45" s="154"/>
      <c r="K45" s="154"/>
      <c r="L45" s="41"/>
      <c r="M45" s="2"/>
      <c r="N45" s="153"/>
    </row>
    <row r="46" spans="1:14">
      <c r="A46" s="64"/>
      <c r="B46" s="41"/>
      <c r="C46" s="41"/>
      <c r="D46" s="41"/>
      <c r="E46" s="151"/>
      <c r="F46" s="154"/>
      <c r="G46" s="154"/>
      <c r="H46" s="154"/>
      <c r="I46" s="154"/>
      <c r="J46" s="154"/>
      <c r="K46" s="154"/>
      <c r="L46" s="41"/>
      <c r="M46" s="2"/>
      <c r="N46" s="153"/>
    </row>
    <row r="47" spans="1:14">
      <c r="A47" s="64">
        <v>15</v>
      </c>
      <c r="B47" s="150" t="str" cm="1">
        <f t="array" aca="1" ref="B47" ca="1">""&amp;INDIRECT(A47&amp;"!f1")&amp;"-"&amp;INDIRECT(A47&amp;"!g1")&amp;"-"&amp;INDIRECT(A47&amp;"!h1")</f>
        <v>15-3-2026</v>
      </c>
      <c r="C47" s="41" cm="1">
        <f t="array" aca="1" ref="C47" ca="1">INDIRECT(A47&amp;"!o14")</f>
        <v>4805900</v>
      </c>
      <c r="D47" s="41">
        <f t="shared" ref="D47" ca="1" si="39">C47-L47</f>
        <v>377873</v>
      </c>
      <c r="E47" s="151"/>
      <c r="F47" s="152" cm="1">
        <f t="array" aca="1" ref="F47" ca="1">INDIRECT(A47&amp;"!j11")</f>
        <v>2711327</v>
      </c>
      <c r="G47" s="152" cm="1">
        <f t="array" aca="1" ref="G47" ca="1">INDIRECT(A47&amp;"!j12")</f>
        <v>1716700</v>
      </c>
      <c r="H47" s="152" cm="1">
        <f t="array" aca="1" ref="H47" ca="1">INDIRECT(A47&amp;"!j13")</f>
        <v>0</v>
      </c>
      <c r="I47" s="152" cm="1">
        <f t="array" aca="1" ref="I47" ca="1">INDIRECT(A47&amp;"!j14")</f>
        <v>0</v>
      </c>
      <c r="J47" s="152" cm="1">
        <f t="array" aca="1" ref="J47" ca="1">INDIRECT(A47&amp;"!j15")</f>
        <v>0</v>
      </c>
      <c r="K47" s="152" cm="1">
        <f t="array" aca="1" ref="K47" ca="1">INDIRECT(A47&amp;"!j16")</f>
        <v>0</v>
      </c>
      <c r="L47" s="41">
        <f t="shared" ref="L47" ca="1" si="40">SUM(F47:K47)</f>
        <v>4428027</v>
      </c>
      <c r="M47" s="1">
        <v>377875</v>
      </c>
      <c r="N47" s="153">
        <f t="shared" ref="N47" ca="1" si="41">N44+D47-M47</f>
        <v>-115</v>
      </c>
    </row>
    <row r="48" spans="1:14">
      <c r="A48" s="64"/>
      <c r="B48" s="41"/>
      <c r="C48" s="41"/>
      <c r="D48" s="41"/>
      <c r="E48" s="151"/>
      <c r="F48" s="154"/>
      <c r="G48" s="154"/>
      <c r="H48" s="154"/>
      <c r="I48" s="154"/>
      <c r="J48" s="154"/>
      <c r="K48" s="154"/>
      <c r="L48" s="41"/>
      <c r="M48" s="2"/>
      <c r="N48" s="153"/>
    </row>
    <row r="49" spans="1:14">
      <c r="A49" s="64"/>
      <c r="B49" s="41"/>
      <c r="C49" s="41"/>
      <c r="D49" s="41"/>
      <c r="E49" s="151"/>
      <c r="F49" s="154"/>
      <c r="G49" s="154"/>
      <c r="H49" s="154"/>
      <c r="I49" s="154"/>
      <c r="J49" s="154"/>
      <c r="K49" s="154"/>
      <c r="L49" s="41"/>
      <c r="M49" s="2"/>
      <c r="N49" s="153"/>
    </row>
    <row r="50" spans="1:14">
      <c r="A50" s="64">
        <v>16</v>
      </c>
      <c r="B50" s="150" t="str" cm="1">
        <f t="array" aca="1" ref="B50" ca="1">""&amp;INDIRECT(A50&amp;"!f1")&amp;"-"&amp;INDIRECT(A50&amp;"!g1")&amp;"-"&amp;INDIRECT(A50&amp;"!h1")</f>
        <v>16-3-2026</v>
      </c>
      <c r="C50" s="41" cm="1">
        <f t="array" aca="1" ref="C50" ca="1">INDIRECT(A50&amp;"!o14")</f>
        <v>5820970</v>
      </c>
      <c r="D50" s="41">
        <f t="shared" ref="D50" ca="1" si="42">C50-L50</f>
        <v>287331</v>
      </c>
      <c r="E50" s="151"/>
      <c r="F50" s="152" cm="1">
        <f t="array" aca="1" ref="F50" ca="1">INDIRECT(A50&amp;"!j11")</f>
        <v>1809876</v>
      </c>
      <c r="G50" s="152" cm="1">
        <f t="array" aca="1" ref="G50" ca="1">INDIRECT(A50&amp;"!j12")</f>
        <v>3723763</v>
      </c>
      <c r="H50" s="152" cm="1">
        <f t="array" aca="1" ref="H50" ca="1">INDIRECT(A50&amp;"!j13")</f>
        <v>0</v>
      </c>
      <c r="I50" s="152" cm="1">
        <f t="array" aca="1" ref="I50" ca="1">INDIRECT(A50&amp;"!j14")</f>
        <v>0</v>
      </c>
      <c r="J50" s="152" cm="1">
        <f t="array" aca="1" ref="J50" ca="1">INDIRECT(A50&amp;"!j15")</f>
        <v>0</v>
      </c>
      <c r="K50" s="152" cm="1">
        <f t="array" aca="1" ref="K50" ca="1">INDIRECT(A50&amp;"!j16")</f>
        <v>0</v>
      </c>
      <c r="L50" s="41">
        <f t="shared" ref="L50" ca="1" si="43">SUM(F50:K50)</f>
        <v>5533639</v>
      </c>
      <c r="M50" s="1">
        <v>287330</v>
      </c>
      <c r="N50" s="153">
        <f t="shared" ref="N50" ca="1" si="44">N47+D50-M50</f>
        <v>-114</v>
      </c>
    </row>
    <row r="51" spans="1:14">
      <c r="A51" s="64"/>
      <c r="B51" s="41"/>
      <c r="C51" s="41"/>
      <c r="D51" s="41"/>
      <c r="E51" s="151"/>
      <c r="F51" s="154"/>
      <c r="G51" s="154"/>
      <c r="H51" s="154"/>
      <c r="I51" s="154"/>
      <c r="J51" s="154"/>
      <c r="K51" s="154"/>
      <c r="L51" s="41"/>
      <c r="M51" s="2"/>
      <c r="N51" s="153"/>
    </row>
    <row r="52" spans="1:14">
      <c r="A52" s="64"/>
      <c r="B52" s="41"/>
      <c r="C52" s="41"/>
      <c r="D52" s="41"/>
      <c r="E52" s="151"/>
      <c r="F52" s="154"/>
      <c r="G52" s="154"/>
      <c r="H52" s="154"/>
      <c r="I52" s="154"/>
      <c r="J52" s="154"/>
      <c r="K52" s="154"/>
      <c r="L52" s="41"/>
      <c r="M52" s="2"/>
      <c r="N52" s="153"/>
    </row>
    <row r="53" spans="1:14">
      <c r="A53" s="64">
        <v>17</v>
      </c>
      <c r="B53" s="150" t="str" cm="1">
        <f t="array" aca="1" ref="B53" ca="1">""&amp;INDIRECT(A53&amp;"!f1")&amp;"-"&amp;INDIRECT(A53&amp;"!g1")&amp;"-"&amp;INDIRECT(A53&amp;"!h1")</f>
        <v>17-3-2026</v>
      </c>
      <c r="C53" s="41" cm="1">
        <f t="array" aca="1" ref="C53" ca="1">INDIRECT(A53&amp;"!o14")</f>
        <v>6251800</v>
      </c>
      <c r="D53" s="41">
        <f t="shared" ref="D53" ca="1" si="45">C53-L53</f>
        <v>2342479</v>
      </c>
      <c r="E53" s="151"/>
      <c r="F53" s="152" cm="1">
        <f t="array" aca="1" ref="F53" ca="1">INDIRECT(A53&amp;"!j11")</f>
        <v>1128814</v>
      </c>
      <c r="G53" s="152" cm="1">
        <f t="array" aca="1" ref="G53" ca="1">INDIRECT(A53&amp;"!j12")</f>
        <v>1716737</v>
      </c>
      <c r="H53" s="152" cm="1">
        <f t="array" aca="1" ref="H53" ca="1">INDIRECT(A53&amp;"!j13")</f>
        <v>0</v>
      </c>
      <c r="I53" s="152" cm="1">
        <f t="array" aca="1" ref="I53" ca="1">INDIRECT(A53&amp;"!j14")</f>
        <v>0</v>
      </c>
      <c r="J53" s="152" cm="1">
        <f t="array" aca="1" ref="J53" ca="1">INDIRECT(A53&amp;"!j15")</f>
        <v>1063770</v>
      </c>
      <c r="K53" s="152" cm="1">
        <f t="array" aca="1" ref="K53" ca="1">INDIRECT(A53&amp;"!j16")</f>
        <v>0</v>
      </c>
      <c r="L53" s="41">
        <f t="shared" ref="L53" ca="1" si="46">SUM(F53:K53)</f>
        <v>3909321</v>
      </c>
      <c r="M53" s="1">
        <v>2342480</v>
      </c>
      <c r="N53" s="153">
        <f t="shared" ref="N53" ca="1" si="47">N50+D53-M53</f>
        <v>-115</v>
      </c>
    </row>
    <row r="54" spans="1:14">
      <c r="A54" s="64"/>
      <c r="B54" s="41"/>
      <c r="C54" s="41"/>
      <c r="D54" s="41"/>
      <c r="E54" s="151"/>
      <c r="F54" s="154"/>
      <c r="G54" s="154"/>
      <c r="H54" s="154"/>
      <c r="I54" s="154"/>
      <c r="J54" s="154"/>
      <c r="K54" s="154"/>
      <c r="L54" s="41"/>
      <c r="M54" s="2"/>
      <c r="N54" s="153"/>
    </row>
    <row r="55" spans="1:14">
      <c r="A55" s="64"/>
      <c r="B55" s="41"/>
      <c r="C55" s="41"/>
      <c r="D55" s="41"/>
      <c r="E55" s="151"/>
      <c r="F55" s="154"/>
      <c r="G55" s="154"/>
      <c r="H55" s="154"/>
      <c r="I55" s="154"/>
      <c r="J55" s="154"/>
      <c r="K55" s="154"/>
      <c r="L55" s="41"/>
      <c r="M55" s="2"/>
      <c r="N55" s="153"/>
    </row>
    <row r="56" spans="1:14">
      <c r="A56" s="64">
        <v>18</v>
      </c>
      <c r="B56" s="150" t="str" cm="1">
        <f t="array" aca="1" ref="B56" ca="1">""&amp;INDIRECT(A56&amp;"!f1")&amp;"-"&amp;INDIRECT(A56&amp;"!g1")&amp;"-"&amp;INDIRECT(A56&amp;"!h1")</f>
        <v>18-3-2026</v>
      </c>
      <c r="C56" s="41" cm="1">
        <f t="array" aca="1" ref="C56" ca="1">INDIRECT(A56&amp;"!o14")</f>
        <v>5188050</v>
      </c>
      <c r="D56" s="41">
        <f t="shared" ref="D56" ca="1" si="48">C56-L56</f>
        <v>365021</v>
      </c>
      <c r="E56" s="151"/>
      <c r="F56" s="152" cm="1">
        <f t="array" aca="1" ref="F56" ca="1">INDIRECT(A56&amp;"!j11")</f>
        <v>900525</v>
      </c>
      <c r="G56" s="152" cm="1">
        <f t="array" aca="1" ref="G56" ca="1">INDIRECT(A56&amp;"!j12")</f>
        <v>1442839</v>
      </c>
      <c r="H56" s="152" cm="1">
        <f t="array" aca="1" ref="H56" ca="1">INDIRECT(A56&amp;"!j13")</f>
        <v>1039775</v>
      </c>
      <c r="I56" s="152" cm="1">
        <f t="array" aca="1" ref="I56" ca="1">INDIRECT(A56&amp;"!j14")</f>
        <v>362150</v>
      </c>
      <c r="J56" s="152" cm="1">
        <f t="array" aca="1" ref="J56" ca="1">INDIRECT(A56&amp;"!j15")</f>
        <v>876020</v>
      </c>
      <c r="K56" s="152" cm="1">
        <f t="array" aca="1" ref="K56" ca="1">INDIRECT(A56&amp;"!j16")</f>
        <v>201720</v>
      </c>
      <c r="L56" s="41">
        <f t="shared" ref="L56" ca="1" si="49">SUM(F56:K56)</f>
        <v>4823029</v>
      </c>
      <c r="M56" s="1"/>
      <c r="N56" s="153">
        <f t="shared" ref="N56" ca="1" si="50">N53+D56-M56</f>
        <v>364906</v>
      </c>
    </row>
    <row r="57" spans="1:14">
      <c r="A57" s="64"/>
      <c r="B57" s="41"/>
      <c r="C57" s="41"/>
      <c r="D57" s="41"/>
      <c r="E57" s="151"/>
      <c r="F57" s="154"/>
      <c r="G57" s="154"/>
      <c r="H57" s="154"/>
      <c r="I57" s="154"/>
      <c r="J57" s="154"/>
      <c r="K57" s="154"/>
      <c r="L57" s="41"/>
      <c r="M57" s="2"/>
      <c r="N57" s="153"/>
    </row>
    <row r="58" spans="1:14">
      <c r="A58" s="64"/>
      <c r="B58" s="41"/>
      <c r="C58" s="41"/>
      <c r="D58" s="41"/>
      <c r="E58" s="151"/>
      <c r="F58" s="154"/>
      <c r="G58" s="154"/>
      <c r="H58" s="154"/>
      <c r="I58" s="154"/>
      <c r="J58" s="154"/>
      <c r="K58" s="154"/>
      <c r="L58" s="41"/>
      <c r="M58" s="2"/>
      <c r="N58" s="153"/>
    </row>
    <row r="59" spans="1:14">
      <c r="A59" s="64">
        <v>19</v>
      </c>
      <c r="B59" s="150" t="str" cm="1">
        <f t="array" aca="1" ref="B59" ca="1">""&amp;INDIRECT(A59&amp;"!f1")&amp;"-"&amp;INDIRECT(A59&amp;"!g1")&amp;"-"&amp;INDIRECT(A59&amp;"!h1")</f>
        <v>19-3-2026</v>
      </c>
      <c r="C59" s="41" cm="1">
        <f t="array" aca="1" ref="C59" ca="1">INDIRECT(A59&amp;"!o14")</f>
        <v>6871620</v>
      </c>
      <c r="D59" s="41">
        <f t="shared" ref="D59" ca="1" si="51">C59-L59</f>
        <v>212445</v>
      </c>
      <c r="E59" s="151"/>
      <c r="F59" s="152" cm="1">
        <f t="array" aca="1" ref="F59" ca="1">INDIRECT(A59&amp;"!j11")</f>
        <v>881750</v>
      </c>
      <c r="G59" s="152" cm="1">
        <f t="array" aca="1" ref="G59" ca="1">INDIRECT(A59&amp;"!j12")</f>
        <v>2214960</v>
      </c>
      <c r="H59" s="152" cm="1">
        <f t="array" aca="1" ref="H59" ca="1">INDIRECT(A59&amp;"!j13")</f>
        <v>1025425</v>
      </c>
      <c r="I59" s="152" cm="1">
        <f t="array" aca="1" ref="I59" ca="1">INDIRECT(A59&amp;"!j14")</f>
        <v>347322</v>
      </c>
      <c r="J59" s="152" cm="1">
        <f t="array" aca="1" ref="J59" ca="1">INDIRECT(A59&amp;"!j15")</f>
        <v>1752330</v>
      </c>
      <c r="K59" s="152" cm="1">
        <f t="array" aca="1" ref="K59" ca="1">INDIRECT(A59&amp;"!j16")</f>
        <v>437388</v>
      </c>
      <c r="L59" s="41">
        <f t="shared" ref="L59" ca="1" si="52">SUM(F59:K59)</f>
        <v>6659175</v>
      </c>
      <c r="M59" s="1"/>
      <c r="N59" s="153">
        <f t="shared" ref="N59" ca="1" si="53">N56+D59-M59</f>
        <v>577351</v>
      </c>
    </row>
    <row r="60" spans="1:14">
      <c r="A60" s="64"/>
      <c r="B60" s="41"/>
      <c r="C60" s="41"/>
      <c r="D60" s="41"/>
      <c r="E60" s="151"/>
      <c r="F60" s="154"/>
      <c r="G60" s="154"/>
      <c r="H60" s="154"/>
      <c r="I60" s="154"/>
      <c r="J60" s="154"/>
      <c r="K60" s="154"/>
      <c r="L60" s="41"/>
      <c r="M60" s="2"/>
      <c r="N60" s="153"/>
    </row>
    <row r="61" spans="1:14">
      <c r="A61" s="64"/>
      <c r="B61" s="41"/>
      <c r="C61" s="41"/>
      <c r="D61" s="41"/>
      <c r="E61" s="151"/>
      <c r="F61" s="154"/>
      <c r="G61" s="154"/>
      <c r="H61" s="154"/>
      <c r="I61" s="154"/>
      <c r="J61" s="154"/>
      <c r="K61" s="154"/>
      <c r="L61" s="41"/>
      <c r="M61" s="2"/>
      <c r="N61" s="153"/>
    </row>
    <row r="62" spans="1:14">
      <c r="A62" s="64">
        <v>20</v>
      </c>
      <c r="B62" s="150" t="str" cm="1">
        <f t="array" aca="1" ref="B62" ca="1">""&amp;INDIRECT(A62&amp;"!f1")&amp;"-"&amp;INDIRECT(A62&amp;"!g1")&amp;"-"&amp;INDIRECT(A62&amp;"!h1")</f>
        <v>20-3-2026</v>
      </c>
      <c r="C62" s="41" cm="1">
        <f t="array" aca="1" ref="C62" ca="1">INDIRECT(A62&amp;"!o14")</f>
        <v>5966410</v>
      </c>
      <c r="D62" s="41">
        <f t="shared" ref="D62" ca="1" si="54">C62-L62</f>
        <v>785123</v>
      </c>
      <c r="E62" s="151"/>
      <c r="F62" s="152" cm="1">
        <f t="array" aca="1" ref="F62" ca="1">INDIRECT(A62&amp;"!j11")</f>
        <v>1037310</v>
      </c>
      <c r="G62" s="152" cm="1">
        <f t="array" aca="1" ref="G62" ca="1">INDIRECT(A62&amp;"!j12")</f>
        <v>1046940</v>
      </c>
      <c r="H62" s="152" cm="1">
        <f t="array" aca="1" ref="H62" ca="1">INDIRECT(A62&amp;"!j13")</f>
        <v>1515207</v>
      </c>
      <c r="I62" s="152" cm="1">
        <f t="array" aca="1" ref="I62" ca="1">INDIRECT(A62&amp;"!j14")</f>
        <v>496750</v>
      </c>
      <c r="J62" s="152" cm="1">
        <f t="array" aca="1" ref="J62" ca="1">INDIRECT(A62&amp;"!j15")</f>
        <v>511180</v>
      </c>
      <c r="K62" s="152" cm="1">
        <f t="array" aca="1" ref="K62" ca="1">INDIRECT(A62&amp;"!j16")</f>
        <v>573900</v>
      </c>
      <c r="L62" s="41">
        <f t="shared" ref="L62" ca="1" si="55">SUM(F62:K62)</f>
        <v>5181287</v>
      </c>
      <c r="M62" s="1"/>
      <c r="N62" s="153">
        <f t="shared" ref="N62" ca="1" si="56">N59+D62-M62</f>
        <v>1362474</v>
      </c>
    </row>
    <row r="63" spans="1:14">
      <c r="A63" s="64"/>
      <c r="B63" s="41"/>
      <c r="C63" s="41"/>
      <c r="D63" s="41"/>
      <c r="E63" s="151"/>
      <c r="F63" s="154"/>
      <c r="G63" s="154"/>
      <c r="H63" s="154"/>
      <c r="I63" s="154"/>
      <c r="J63" s="154"/>
      <c r="K63" s="154"/>
      <c r="L63" s="41"/>
      <c r="M63" s="2"/>
      <c r="N63" s="153"/>
    </row>
    <row r="64" spans="1:14">
      <c r="A64" s="64"/>
      <c r="B64" s="41"/>
      <c r="C64" s="41"/>
      <c r="D64" s="41"/>
      <c r="E64" s="151"/>
      <c r="F64" s="154"/>
      <c r="G64" s="154"/>
      <c r="H64" s="154"/>
      <c r="I64" s="154"/>
      <c r="J64" s="154"/>
      <c r="K64" s="154"/>
      <c r="L64" s="41"/>
      <c r="M64" s="2"/>
      <c r="N64" s="153"/>
    </row>
    <row r="65" spans="1:14">
      <c r="A65" s="64">
        <v>21</v>
      </c>
      <c r="B65" s="150" t="str" cm="1">
        <f t="array" aca="1" ref="B65" ca="1">""&amp;INDIRECT(A65&amp;"!f1")&amp;"-"&amp;INDIRECT(A65&amp;"!g1")&amp;"-"&amp;INDIRECT(A65&amp;"!h1")</f>
        <v>21-3-2026</v>
      </c>
      <c r="C65" s="41" cm="1">
        <f t="array" aca="1" ref="C65" ca="1">INDIRECT(A65&amp;"!o14")</f>
        <v>0</v>
      </c>
      <c r="D65" s="41">
        <f t="shared" ref="D65" ca="1" si="57">C65-L65</f>
        <v>0</v>
      </c>
      <c r="E65" s="151"/>
      <c r="F65" s="152" cm="1">
        <f t="array" aca="1" ref="F65" ca="1">INDIRECT(A65&amp;"!j11")</f>
        <v>0</v>
      </c>
      <c r="G65" s="152" cm="1">
        <f t="array" aca="1" ref="G65" ca="1">INDIRECT(A65&amp;"!j12")</f>
        <v>0</v>
      </c>
      <c r="H65" s="152" cm="1">
        <f t="array" aca="1" ref="H65" ca="1">INDIRECT(A65&amp;"!j13")</f>
        <v>0</v>
      </c>
      <c r="I65" s="152" cm="1">
        <f t="array" aca="1" ref="I65" ca="1">INDIRECT(A65&amp;"!j14")</f>
        <v>0</v>
      </c>
      <c r="J65" s="152" cm="1">
        <f t="array" aca="1" ref="J65" ca="1">INDIRECT(A65&amp;"!j15")</f>
        <v>0</v>
      </c>
      <c r="K65" s="152" cm="1">
        <f t="array" aca="1" ref="K65" ca="1">INDIRECT(A65&amp;"!j16")</f>
        <v>0</v>
      </c>
      <c r="L65" s="41">
        <f t="shared" ref="L65" ca="1" si="58">SUM(F65:K65)</f>
        <v>0</v>
      </c>
      <c r="M65" s="1"/>
      <c r="N65" s="153">
        <f t="shared" ref="N65" ca="1" si="59">N62+D65-M65</f>
        <v>1362474</v>
      </c>
    </row>
    <row r="66" spans="1:14">
      <c r="A66" s="64"/>
      <c r="B66" s="41"/>
      <c r="C66" s="41"/>
      <c r="D66" s="41"/>
      <c r="E66" s="151"/>
      <c r="F66" s="154"/>
      <c r="G66" s="154"/>
      <c r="H66" s="154"/>
      <c r="I66" s="154"/>
      <c r="J66" s="154"/>
      <c r="K66" s="154"/>
      <c r="L66" s="41"/>
      <c r="M66" s="2"/>
      <c r="N66" s="153"/>
    </row>
    <row r="67" spans="1:14">
      <c r="A67" s="64"/>
      <c r="B67" s="41"/>
      <c r="C67" s="41"/>
      <c r="D67" s="41"/>
      <c r="E67" s="151"/>
      <c r="F67" s="154"/>
      <c r="G67" s="154"/>
      <c r="H67" s="154"/>
      <c r="I67" s="154"/>
      <c r="J67" s="154"/>
      <c r="K67" s="154"/>
      <c r="L67" s="41"/>
      <c r="M67" s="2"/>
      <c r="N67" s="153"/>
    </row>
    <row r="68" spans="1:14">
      <c r="A68" s="64">
        <v>22</v>
      </c>
      <c r="B68" s="150" t="str" cm="1">
        <f t="array" aca="1" ref="B68" ca="1">""&amp;INDIRECT(A68&amp;"!f1")&amp;"-"&amp;INDIRECT(A68&amp;"!g1")&amp;"-"&amp;INDIRECT(A68&amp;"!h1")</f>
        <v>22-3-2026</v>
      </c>
      <c r="C68" s="41" cm="1">
        <f t="array" aca="1" ref="C68" ca="1">INDIRECT(A68&amp;"!o14")</f>
        <v>0</v>
      </c>
      <c r="D68" s="41">
        <f t="shared" ref="D68" ca="1" si="60">C68-L68</f>
        <v>0</v>
      </c>
      <c r="E68" s="151"/>
      <c r="F68" s="152" cm="1">
        <f t="array" aca="1" ref="F68" ca="1">INDIRECT(A68&amp;"!j11")</f>
        <v>0</v>
      </c>
      <c r="G68" s="152" cm="1">
        <f t="array" aca="1" ref="G68" ca="1">INDIRECT(A68&amp;"!j12")</f>
        <v>0</v>
      </c>
      <c r="H68" s="152" cm="1">
        <f t="array" aca="1" ref="H68" ca="1">INDIRECT(A68&amp;"!j13")</f>
        <v>0</v>
      </c>
      <c r="I68" s="152" cm="1">
        <f t="array" aca="1" ref="I68" ca="1">INDIRECT(A68&amp;"!j14")</f>
        <v>0</v>
      </c>
      <c r="J68" s="152" cm="1">
        <f t="array" aca="1" ref="J68" ca="1">INDIRECT(A68&amp;"!j15")</f>
        <v>0</v>
      </c>
      <c r="K68" s="152" cm="1">
        <f t="array" aca="1" ref="K68" ca="1">INDIRECT(A68&amp;"!j16")</f>
        <v>0</v>
      </c>
      <c r="L68" s="41">
        <f t="shared" ref="L68" ca="1" si="61">SUM(F68:K68)</f>
        <v>0</v>
      </c>
      <c r="M68" s="1"/>
      <c r="N68" s="153">
        <f t="shared" ref="N68" ca="1" si="62">N65+D68-M68</f>
        <v>1362474</v>
      </c>
    </row>
    <row r="69" spans="1:14">
      <c r="A69" s="64"/>
      <c r="B69" s="41"/>
      <c r="C69" s="41"/>
      <c r="D69" s="41"/>
      <c r="E69" s="151"/>
      <c r="F69" s="154"/>
      <c r="G69" s="154"/>
      <c r="H69" s="154"/>
      <c r="I69" s="154"/>
      <c r="J69" s="154"/>
      <c r="K69" s="154"/>
      <c r="L69" s="41"/>
      <c r="M69" s="2"/>
      <c r="N69" s="153"/>
    </row>
    <row r="70" spans="1:14">
      <c r="A70" s="64"/>
      <c r="B70" s="41"/>
      <c r="C70" s="41"/>
      <c r="D70" s="41"/>
      <c r="E70" s="151"/>
      <c r="F70" s="154"/>
      <c r="G70" s="154"/>
      <c r="H70" s="154"/>
      <c r="I70" s="154"/>
      <c r="J70" s="154"/>
      <c r="K70" s="154"/>
      <c r="L70" s="41"/>
      <c r="M70" s="2"/>
      <c r="N70" s="153"/>
    </row>
    <row r="71" spans="1:14">
      <c r="A71" s="64">
        <v>23</v>
      </c>
      <c r="B71" s="150" t="str" cm="1">
        <f t="array" aca="1" ref="B71" ca="1">""&amp;INDIRECT(A71&amp;"!f1")&amp;"-"&amp;INDIRECT(A71&amp;"!g1")&amp;"-"&amp;INDIRECT(A71&amp;"!h1")</f>
        <v>23-3-2026</v>
      </c>
      <c r="C71" s="41" cm="1">
        <f t="array" aca="1" ref="C71" ca="1">INDIRECT(A71&amp;"!o14")</f>
        <v>0</v>
      </c>
      <c r="D71" s="41">
        <f t="shared" ref="D71" ca="1" si="63">C71-L71</f>
        <v>0</v>
      </c>
      <c r="E71" s="151"/>
      <c r="F71" s="152" cm="1">
        <f t="array" aca="1" ref="F71" ca="1">INDIRECT(A71&amp;"!j11")</f>
        <v>0</v>
      </c>
      <c r="G71" s="152" cm="1">
        <f t="array" aca="1" ref="G71" ca="1">INDIRECT(A71&amp;"!j12")</f>
        <v>0</v>
      </c>
      <c r="H71" s="152" cm="1">
        <f t="array" aca="1" ref="H71" ca="1">INDIRECT(A71&amp;"!j13")</f>
        <v>0</v>
      </c>
      <c r="I71" s="152" cm="1">
        <f t="array" aca="1" ref="I71" ca="1">INDIRECT(A71&amp;"!j14")</f>
        <v>0</v>
      </c>
      <c r="J71" s="152" cm="1">
        <f t="array" aca="1" ref="J71" ca="1">INDIRECT(A71&amp;"!j15")</f>
        <v>0</v>
      </c>
      <c r="K71" s="152" cm="1">
        <f t="array" aca="1" ref="K71" ca="1">INDIRECT(A71&amp;"!j16")</f>
        <v>0</v>
      </c>
      <c r="L71" s="41">
        <f t="shared" ref="L71" ca="1" si="64">SUM(F71:K71)</f>
        <v>0</v>
      </c>
      <c r="M71" s="1"/>
      <c r="N71" s="153">
        <f t="shared" ref="N71" ca="1" si="65">N68+D71-M71</f>
        <v>1362474</v>
      </c>
    </row>
    <row r="72" spans="1:14">
      <c r="A72" s="64"/>
      <c r="B72" s="41"/>
      <c r="C72" s="41"/>
      <c r="D72" s="41"/>
      <c r="E72" s="151"/>
      <c r="F72" s="154"/>
      <c r="G72" s="154"/>
      <c r="H72" s="154"/>
      <c r="I72" s="154"/>
      <c r="J72" s="154"/>
      <c r="K72" s="154"/>
      <c r="L72" s="41"/>
      <c r="M72" s="2"/>
      <c r="N72" s="153"/>
    </row>
    <row r="73" spans="1:14">
      <c r="A73" s="64"/>
      <c r="B73" s="41"/>
      <c r="C73" s="41"/>
      <c r="D73" s="41"/>
      <c r="E73" s="151"/>
      <c r="F73" s="154"/>
      <c r="G73" s="154"/>
      <c r="H73" s="154"/>
      <c r="I73" s="154"/>
      <c r="J73" s="154"/>
      <c r="K73" s="154"/>
      <c r="L73" s="41"/>
      <c r="M73" s="2"/>
      <c r="N73" s="153"/>
    </row>
    <row r="74" spans="1:14">
      <c r="A74" s="64">
        <v>24</v>
      </c>
      <c r="B74" s="150" t="str" cm="1">
        <f t="array" aca="1" ref="B74" ca="1">""&amp;INDIRECT(A74&amp;"!f1")&amp;"-"&amp;INDIRECT(A74&amp;"!g1")&amp;"-"&amp;INDIRECT(A74&amp;"!h1")</f>
        <v>24-3-2026</v>
      </c>
      <c r="C74" s="41" cm="1">
        <f t="array" aca="1" ref="C74" ca="1">INDIRECT(A74&amp;"!o14")</f>
        <v>0</v>
      </c>
      <c r="D74" s="41">
        <f t="shared" ref="D74" ca="1" si="66">C74-L74</f>
        <v>0</v>
      </c>
      <c r="E74" s="151"/>
      <c r="F74" s="152" cm="1">
        <f t="array" aca="1" ref="F74" ca="1">INDIRECT(A74&amp;"!j11")</f>
        <v>0</v>
      </c>
      <c r="G74" s="152" cm="1">
        <f t="array" aca="1" ref="G74" ca="1">INDIRECT(A74&amp;"!j12")</f>
        <v>0</v>
      </c>
      <c r="H74" s="152" cm="1">
        <f t="array" aca="1" ref="H74" ca="1">INDIRECT(A74&amp;"!j13")</f>
        <v>0</v>
      </c>
      <c r="I74" s="152" cm="1">
        <f t="array" aca="1" ref="I74" ca="1">INDIRECT(A74&amp;"!j14")</f>
        <v>0</v>
      </c>
      <c r="J74" s="152" cm="1">
        <f t="array" aca="1" ref="J74" ca="1">INDIRECT(A74&amp;"!j15")</f>
        <v>0</v>
      </c>
      <c r="K74" s="152" cm="1">
        <f t="array" aca="1" ref="K74" ca="1">INDIRECT(A74&amp;"!j16")</f>
        <v>0</v>
      </c>
      <c r="L74" s="41">
        <f t="shared" ref="L74" ca="1" si="67">SUM(F74:K74)</f>
        <v>0</v>
      </c>
      <c r="M74" s="1"/>
      <c r="N74" s="153">
        <f t="shared" ref="N74" ca="1" si="68">N71+D74-M74</f>
        <v>1362474</v>
      </c>
    </row>
    <row r="75" spans="1:14">
      <c r="A75" s="64"/>
      <c r="B75" s="41"/>
      <c r="C75" s="41"/>
      <c r="D75" s="41"/>
      <c r="E75" s="151"/>
      <c r="F75" s="154"/>
      <c r="G75" s="154"/>
      <c r="H75" s="154"/>
      <c r="I75" s="154"/>
      <c r="J75" s="154"/>
      <c r="K75" s="154"/>
      <c r="L75" s="41"/>
      <c r="M75" s="2"/>
      <c r="N75" s="153"/>
    </row>
    <row r="76" spans="1:14">
      <c r="A76" s="64"/>
      <c r="B76" s="41"/>
      <c r="C76" s="41"/>
      <c r="D76" s="41"/>
      <c r="E76" s="151"/>
      <c r="F76" s="154"/>
      <c r="G76" s="154"/>
      <c r="H76" s="154"/>
      <c r="I76" s="154"/>
      <c r="J76" s="154"/>
      <c r="K76" s="154"/>
      <c r="L76" s="41"/>
      <c r="M76" s="2"/>
      <c r="N76" s="153"/>
    </row>
    <row r="77" spans="1:14">
      <c r="A77" s="64">
        <v>25</v>
      </c>
      <c r="B77" s="150" t="str" cm="1">
        <f t="array" aca="1" ref="B77" ca="1">""&amp;INDIRECT(A77&amp;"!f1")&amp;"-"&amp;INDIRECT(A77&amp;"!g1")&amp;"-"&amp;INDIRECT(A77&amp;"!h1")</f>
        <v>25-3-2026</v>
      </c>
      <c r="C77" s="41" cm="1">
        <f t="array" aca="1" ref="C77" ca="1">INDIRECT(A77&amp;"!o14")</f>
        <v>0</v>
      </c>
      <c r="D77" s="41">
        <f t="shared" ref="D77" ca="1" si="69">C77-L77</f>
        <v>0</v>
      </c>
      <c r="E77" s="151"/>
      <c r="F77" s="152" cm="1">
        <f t="array" aca="1" ref="F77" ca="1">INDIRECT(A77&amp;"!j11")</f>
        <v>0</v>
      </c>
      <c r="G77" s="152" cm="1">
        <f t="array" aca="1" ref="G77" ca="1">INDIRECT(A77&amp;"!j12")</f>
        <v>0</v>
      </c>
      <c r="H77" s="152" cm="1">
        <f t="array" aca="1" ref="H77" ca="1">INDIRECT(A77&amp;"!j13")</f>
        <v>0</v>
      </c>
      <c r="I77" s="152" cm="1">
        <f t="array" aca="1" ref="I77" ca="1">INDIRECT(A77&amp;"!j14")</f>
        <v>0</v>
      </c>
      <c r="J77" s="152" cm="1">
        <f t="array" aca="1" ref="J77" ca="1">INDIRECT(A77&amp;"!j15")</f>
        <v>0</v>
      </c>
      <c r="K77" s="152" cm="1">
        <f t="array" aca="1" ref="K77" ca="1">INDIRECT(A77&amp;"!j16")</f>
        <v>0</v>
      </c>
      <c r="L77" s="41">
        <f t="shared" ref="L77" ca="1" si="70">SUM(F77:K77)</f>
        <v>0</v>
      </c>
      <c r="M77" s="1"/>
      <c r="N77" s="153">
        <f t="shared" ref="N77" ca="1" si="71">N74+D77-M77</f>
        <v>1362474</v>
      </c>
    </row>
    <row r="78" spans="1:14">
      <c r="A78" s="64"/>
      <c r="B78" s="41"/>
      <c r="C78" s="41"/>
      <c r="D78" s="41"/>
      <c r="E78" s="151"/>
      <c r="F78" s="154"/>
      <c r="G78" s="154"/>
      <c r="H78" s="154"/>
      <c r="I78" s="154"/>
      <c r="J78" s="154"/>
      <c r="K78" s="154"/>
      <c r="L78" s="41"/>
      <c r="M78" s="2"/>
      <c r="N78" s="153"/>
    </row>
    <row r="79" spans="1:14">
      <c r="A79" s="64"/>
      <c r="B79" s="41"/>
      <c r="C79" s="41"/>
      <c r="D79" s="41"/>
      <c r="E79" s="151"/>
      <c r="F79" s="154"/>
      <c r="G79" s="154"/>
      <c r="H79" s="154"/>
      <c r="I79" s="154"/>
      <c r="J79" s="154"/>
      <c r="K79" s="154"/>
      <c r="L79" s="41"/>
      <c r="M79" s="2"/>
      <c r="N79" s="153"/>
    </row>
    <row r="80" spans="1:14">
      <c r="A80" s="64">
        <v>26</v>
      </c>
      <c r="B80" s="150" t="str" cm="1">
        <f t="array" aca="1" ref="B80" ca="1">""&amp;INDIRECT(A80&amp;"!f1")&amp;"-"&amp;INDIRECT(A80&amp;"!g1")&amp;"-"&amp;INDIRECT(A80&amp;"!h1")</f>
        <v>26-3-2026</v>
      </c>
      <c r="C80" s="41" cm="1">
        <f t="array" aca="1" ref="C80" ca="1">INDIRECT(A80&amp;"!o14")</f>
        <v>0</v>
      </c>
      <c r="D80" s="41">
        <f t="shared" ref="D80" ca="1" si="72">C80-L80</f>
        <v>0</v>
      </c>
      <c r="E80" s="151"/>
      <c r="F80" s="152" cm="1">
        <f t="array" aca="1" ref="F80" ca="1">INDIRECT(A80&amp;"!j11")</f>
        <v>0</v>
      </c>
      <c r="G80" s="152" cm="1">
        <f t="array" aca="1" ref="G80" ca="1">INDIRECT(A80&amp;"!j12")</f>
        <v>0</v>
      </c>
      <c r="H80" s="152" cm="1">
        <f t="array" aca="1" ref="H80" ca="1">INDIRECT(A80&amp;"!j13")</f>
        <v>0</v>
      </c>
      <c r="I80" s="152" cm="1">
        <f t="array" aca="1" ref="I80" ca="1">INDIRECT(A80&amp;"!j14")</f>
        <v>0</v>
      </c>
      <c r="J80" s="152" cm="1">
        <f t="array" aca="1" ref="J80" ca="1">INDIRECT(A80&amp;"!j15")</f>
        <v>0</v>
      </c>
      <c r="K80" s="152" cm="1">
        <f t="array" aca="1" ref="K80" ca="1">INDIRECT(A80&amp;"!j16")</f>
        <v>0</v>
      </c>
      <c r="L80" s="41">
        <f t="shared" ref="L80" ca="1" si="73">SUM(F80:K80)</f>
        <v>0</v>
      </c>
      <c r="M80" s="1"/>
      <c r="N80" s="153">
        <f t="shared" ref="N80" ca="1" si="74">N77+D80-M80</f>
        <v>1362474</v>
      </c>
    </row>
    <row r="81" spans="1:14">
      <c r="A81" s="64"/>
      <c r="B81" s="41"/>
      <c r="C81" s="41"/>
      <c r="D81" s="41"/>
      <c r="E81" s="151"/>
      <c r="F81" s="154"/>
      <c r="G81" s="154"/>
      <c r="H81" s="154"/>
      <c r="I81" s="154"/>
      <c r="J81" s="154"/>
      <c r="K81" s="154"/>
      <c r="L81" s="41"/>
      <c r="M81" s="2"/>
      <c r="N81" s="153"/>
    </row>
    <row r="82" spans="1:14">
      <c r="A82" s="64"/>
      <c r="B82" s="41"/>
      <c r="C82" s="41"/>
      <c r="D82" s="41"/>
      <c r="E82" s="151"/>
      <c r="F82" s="154"/>
      <c r="G82" s="154"/>
      <c r="H82" s="154"/>
      <c r="I82" s="154"/>
      <c r="J82" s="154"/>
      <c r="K82" s="154"/>
      <c r="L82" s="41"/>
      <c r="M82" s="2"/>
      <c r="N82" s="153"/>
    </row>
    <row r="83" spans="1:14">
      <c r="A83" s="64">
        <v>27</v>
      </c>
      <c r="B83" s="150" t="str" cm="1">
        <f t="array" aca="1" ref="B83" ca="1">""&amp;INDIRECT(A83&amp;"!f1")&amp;"-"&amp;INDIRECT(A83&amp;"!g1")&amp;"-"&amp;INDIRECT(A83&amp;"!h1")</f>
        <v>27-3-2026</v>
      </c>
      <c r="C83" s="41" cm="1">
        <f t="array" aca="1" ref="C83" ca="1">INDIRECT(A83&amp;"!o14")</f>
        <v>0</v>
      </c>
      <c r="D83" s="41">
        <f t="shared" ref="D83" ca="1" si="75">C83-L83</f>
        <v>0</v>
      </c>
      <c r="E83" s="151"/>
      <c r="F83" s="152" cm="1">
        <f t="array" aca="1" ref="F83" ca="1">INDIRECT(A83&amp;"!j11")</f>
        <v>0</v>
      </c>
      <c r="G83" s="152" cm="1">
        <f t="array" aca="1" ref="G83" ca="1">INDIRECT(A83&amp;"!j12")</f>
        <v>0</v>
      </c>
      <c r="H83" s="152" cm="1">
        <f t="array" aca="1" ref="H83" ca="1">INDIRECT(A83&amp;"!j13")</f>
        <v>0</v>
      </c>
      <c r="I83" s="152" cm="1">
        <f t="array" aca="1" ref="I83" ca="1">INDIRECT(A83&amp;"!j14")</f>
        <v>0</v>
      </c>
      <c r="J83" s="152" cm="1">
        <f t="array" aca="1" ref="J83" ca="1">INDIRECT(A83&amp;"!j15")</f>
        <v>0</v>
      </c>
      <c r="K83" s="152" cm="1">
        <f t="array" aca="1" ref="K83" ca="1">INDIRECT(A83&amp;"!j16")</f>
        <v>0</v>
      </c>
      <c r="L83" s="41">
        <f t="shared" ref="L83" ca="1" si="76">SUM(F83:K83)</f>
        <v>0</v>
      </c>
      <c r="M83" s="1"/>
      <c r="N83" s="153">
        <f t="shared" ref="N83" ca="1" si="77">N80+D83-M83</f>
        <v>1362474</v>
      </c>
    </row>
    <row r="84" spans="1:14">
      <c r="A84" s="64"/>
      <c r="B84" s="41"/>
      <c r="C84" s="41"/>
      <c r="D84" s="41"/>
      <c r="E84" s="151"/>
      <c r="F84" s="154"/>
      <c r="G84" s="154"/>
      <c r="H84" s="154"/>
      <c r="I84" s="154"/>
      <c r="J84" s="154"/>
      <c r="K84" s="154"/>
      <c r="L84" s="41"/>
      <c r="M84" s="2"/>
      <c r="N84" s="153"/>
    </row>
    <row r="85" spans="1:14">
      <c r="A85" s="64"/>
      <c r="B85" s="41"/>
      <c r="C85" s="41"/>
      <c r="D85" s="41"/>
      <c r="E85" s="151"/>
      <c r="F85" s="154"/>
      <c r="G85" s="154"/>
      <c r="H85" s="154"/>
      <c r="I85" s="154"/>
      <c r="J85" s="154"/>
      <c r="K85" s="154"/>
      <c r="L85" s="41"/>
      <c r="M85" s="2"/>
      <c r="N85" s="153"/>
    </row>
    <row r="86" spans="1:14">
      <c r="A86" s="64">
        <v>28</v>
      </c>
      <c r="B86" s="150" t="str" cm="1">
        <f t="array" aca="1" ref="B86" ca="1">""&amp;INDIRECT(A86&amp;"!f1")&amp;"-"&amp;INDIRECT(A86&amp;"!g1")&amp;"-"&amp;INDIRECT(A86&amp;"!h1")</f>
        <v>28-3-2026</v>
      </c>
      <c r="C86" s="41" cm="1">
        <f t="array" aca="1" ref="C86" ca="1">INDIRECT(A86&amp;"!o14")</f>
        <v>0</v>
      </c>
      <c r="D86" s="41">
        <f t="shared" ref="D86" ca="1" si="78">C86-L86</f>
        <v>0</v>
      </c>
      <c r="E86" s="151"/>
      <c r="F86" s="152" cm="1">
        <f t="array" aca="1" ref="F86" ca="1">INDIRECT(A86&amp;"!j11")</f>
        <v>0</v>
      </c>
      <c r="G86" s="152" cm="1">
        <f t="array" aca="1" ref="G86" ca="1">INDIRECT(A86&amp;"!j12")</f>
        <v>0</v>
      </c>
      <c r="H86" s="152" cm="1">
        <f t="array" aca="1" ref="H86" ca="1">INDIRECT(A86&amp;"!j13")</f>
        <v>0</v>
      </c>
      <c r="I86" s="152" cm="1">
        <f t="array" aca="1" ref="I86" ca="1">INDIRECT(A86&amp;"!j14")</f>
        <v>0</v>
      </c>
      <c r="J86" s="152" cm="1">
        <f t="array" aca="1" ref="J86" ca="1">INDIRECT(A86&amp;"!j15")</f>
        <v>0</v>
      </c>
      <c r="K86" s="152" cm="1">
        <f t="array" aca="1" ref="K86" ca="1">INDIRECT(A86&amp;"!j16")</f>
        <v>0</v>
      </c>
      <c r="L86" s="41">
        <f t="shared" ref="L86" ca="1" si="79">SUM(F86:K86)</f>
        <v>0</v>
      </c>
      <c r="M86" s="1"/>
      <c r="N86" s="153">
        <f t="shared" ref="N86" ca="1" si="80">N83+D86-M86</f>
        <v>1362474</v>
      </c>
    </row>
    <row r="87" spans="1:14">
      <c r="A87" s="64"/>
      <c r="B87" s="41"/>
      <c r="C87" s="41"/>
      <c r="D87" s="41"/>
      <c r="E87" s="151"/>
      <c r="F87" s="154"/>
      <c r="G87" s="154"/>
      <c r="H87" s="154"/>
      <c r="I87" s="154"/>
      <c r="J87" s="154"/>
      <c r="K87" s="154"/>
      <c r="L87" s="41"/>
      <c r="M87" s="2"/>
      <c r="N87" s="153"/>
    </row>
    <row r="88" spans="1:14">
      <c r="A88" s="64"/>
      <c r="B88" s="41"/>
      <c r="C88" s="41"/>
      <c r="D88" s="41"/>
      <c r="E88" s="151"/>
      <c r="F88" s="154"/>
      <c r="G88" s="154"/>
      <c r="H88" s="154"/>
      <c r="I88" s="154"/>
      <c r="J88" s="154"/>
      <c r="K88" s="154"/>
      <c r="L88" s="41"/>
      <c r="M88" s="2"/>
      <c r="N88" s="153"/>
    </row>
    <row r="89" spans="1:14">
      <c r="A89" s="64">
        <v>29</v>
      </c>
      <c r="B89" s="150" t="str" cm="1">
        <f t="array" aca="1" ref="B89" ca="1">""&amp;INDIRECT(A89&amp;"!f1")&amp;"-"&amp;INDIRECT(A89&amp;"!g1")&amp;"-"&amp;INDIRECT(A89&amp;"!h1")</f>
        <v>29-3-2026</v>
      </c>
      <c r="C89" s="41" cm="1">
        <f t="array" aca="1" ref="C89" ca="1">INDIRECT(A89&amp;"!o14")</f>
        <v>0</v>
      </c>
      <c r="D89" s="41">
        <f t="shared" ref="D89" ca="1" si="81">C89-L89</f>
        <v>0</v>
      </c>
      <c r="E89" s="151"/>
      <c r="F89" s="152" cm="1">
        <f t="array" aca="1" ref="F89" ca="1">INDIRECT(A89&amp;"!j11")</f>
        <v>0</v>
      </c>
      <c r="G89" s="152" cm="1">
        <f t="array" aca="1" ref="G89" ca="1">INDIRECT(A89&amp;"!j12")</f>
        <v>0</v>
      </c>
      <c r="H89" s="152" cm="1">
        <f t="array" aca="1" ref="H89" ca="1">INDIRECT(A89&amp;"!j13")</f>
        <v>0</v>
      </c>
      <c r="I89" s="152" cm="1">
        <f t="array" aca="1" ref="I89" ca="1">INDIRECT(A89&amp;"!j14")</f>
        <v>0</v>
      </c>
      <c r="J89" s="152" cm="1">
        <f t="array" aca="1" ref="J89" ca="1">INDIRECT(A89&amp;"!j15")</f>
        <v>0</v>
      </c>
      <c r="K89" s="152" cm="1">
        <f t="array" aca="1" ref="K89" ca="1">INDIRECT(A89&amp;"!j16")</f>
        <v>0</v>
      </c>
      <c r="L89" s="41">
        <f t="shared" ref="L89" ca="1" si="82">SUM(F89:K89)</f>
        <v>0</v>
      </c>
      <c r="M89" s="1"/>
      <c r="N89" s="153">
        <f t="shared" ref="N89" ca="1" si="83">N86+D89-M89</f>
        <v>1362474</v>
      </c>
    </row>
    <row r="90" spans="1:14">
      <c r="A90" s="64"/>
      <c r="B90" s="41"/>
      <c r="C90" s="41"/>
      <c r="D90" s="41"/>
      <c r="E90" s="151"/>
      <c r="F90" s="154"/>
      <c r="G90" s="154"/>
      <c r="H90" s="154"/>
      <c r="I90" s="154"/>
      <c r="J90" s="154"/>
      <c r="K90" s="154"/>
      <c r="L90" s="41"/>
      <c r="M90" s="2"/>
      <c r="N90" s="153"/>
    </row>
    <row r="91" spans="1:14">
      <c r="A91" s="64"/>
      <c r="B91" s="41"/>
      <c r="C91" s="41"/>
      <c r="D91" s="41"/>
      <c r="E91" s="151"/>
      <c r="F91" s="154"/>
      <c r="G91" s="154"/>
      <c r="H91" s="154"/>
      <c r="I91" s="154"/>
      <c r="J91" s="154"/>
      <c r="K91" s="154"/>
      <c r="L91" s="41"/>
      <c r="M91" s="2"/>
      <c r="N91" s="153"/>
    </row>
    <row r="92" spans="1:14">
      <c r="A92" s="64">
        <v>30</v>
      </c>
      <c r="B92" s="150" t="str" cm="1">
        <f t="array" aca="1" ref="B92" ca="1">""&amp;INDIRECT(A92&amp;"!f1")&amp;"-"&amp;INDIRECT(A92&amp;"!g1")&amp;"-"&amp;INDIRECT(A92&amp;"!h1")</f>
        <v>30-3-2026</v>
      </c>
      <c r="C92" s="41" cm="1">
        <f t="array" aca="1" ref="C92" ca="1">INDIRECT(A92&amp;"!o14")</f>
        <v>0</v>
      </c>
      <c r="D92" s="41">
        <f t="shared" ref="D92" ca="1" si="84">C92-L92</f>
        <v>0</v>
      </c>
      <c r="E92" s="151"/>
      <c r="F92" s="152" cm="1">
        <f t="array" aca="1" ref="F92" ca="1">INDIRECT(A92&amp;"!j11")</f>
        <v>0</v>
      </c>
      <c r="G92" s="152" cm="1">
        <f t="array" aca="1" ref="G92" ca="1">INDIRECT(A92&amp;"!j12")</f>
        <v>0</v>
      </c>
      <c r="H92" s="152" cm="1">
        <f t="array" aca="1" ref="H92" ca="1">INDIRECT(A92&amp;"!j13")</f>
        <v>0</v>
      </c>
      <c r="I92" s="152" cm="1">
        <f t="array" aca="1" ref="I92" ca="1">INDIRECT(A92&amp;"!j14")</f>
        <v>0</v>
      </c>
      <c r="J92" s="152" cm="1">
        <f t="array" aca="1" ref="J92" ca="1">INDIRECT(A92&amp;"!j15")</f>
        <v>0</v>
      </c>
      <c r="K92" s="152" cm="1">
        <f t="array" aca="1" ref="K92" ca="1">INDIRECT(A92&amp;"!j16")</f>
        <v>0</v>
      </c>
      <c r="L92" s="41">
        <f t="shared" ref="L92" ca="1" si="85">SUM(F92:K92)</f>
        <v>0</v>
      </c>
      <c r="M92" s="1"/>
      <c r="N92" s="153">
        <f t="shared" ref="N92" ca="1" si="86">N89+D92-M92</f>
        <v>1362474</v>
      </c>
    </row>
    <row r="93" spans="1:14">
      <c r="A93" s="64"/>
      <c r="B93" s="41"/>
      <c r="C93" s="41"/>
      <c r="D93" s="41"/>
      <c r="E93" s="151"/>
      <c r="F93" s="154"/>
      <c r="G93" s="154"/>
      <c r="H93" s="154"/>
      <c r="I93" s="154"/>
      <c r="J93" s="154"/>
      <c r="K93" s="154"/>
      <c r="L93" s="41"/>
      <c r="M93" s="2"/>
      <c r="N93" s="153"/>
    </row>
    <row r="94" spans="1:14">
      <c r="A94" s="64"/>
      <c r="B94" s="41"/>
      <c r="C94" s="41"/>
      <c r="D94" s="41"/>
      <c r="E94" s="151"/>
      <c r="F94" s="154"/>
      <c r="G94" s="154"/>
      <c r="H94" s="154"/>
      <c r="I94" s="154"/>
      <c r="J94" s="154"/>
      <c r="K94" s="154"/>
      <c r="L94" s="41"/>
      <c r="M94" s="2"/>
      <c r="N94" s="153"/>
    </row>
    <row r="95" spans="1:14">
      <c r="A95" s="64">
        <v>31</v>
      </c>
      <c r="B95" s="150" t="str" cm="1">
        <f t="array" aca="1" ref="B95" ca="1">""&amp;INDIRECT(A95&amp;"!f1")&amp;"-"&amp;INDIRECT(A95&amp;"!g1")&amp;"-"&amp;INDIRECT(A95&amp;"!h1")</f>
        <v>31-3-2026</v>
      </c>
      <c r="C95" s="41" cm="1">
        <f t="array" aca="1" ref="C95" ca="1">INDIRECT(A95&amp;"!o14")</f>
        <v>0</v>
      </c>
      <c r="D95" s="41">
        <f t="shared" ref="D95" ca="1" si="87">C95-L95</f>
        <v>0</v>
      </c>
      <c r="E95" s="151"/>
      <c r="F95" s="152" cm="1">
        <f t="array" aca="1" ref="F95" ca="1">INDIRECT(A95&amp;"!j11")</f>
        <v>0</v>
      </c>
      <c r="G95" s="152" cm="1">
        <f t="array" aca="1" ref="G95" ca="1">INDIRECT(A95&amp;"!j12")</f>
        <v>0</v>
      </c>
      <c r="H95" s="152" cm="1">
        <f t="array" aca="1" ref="H95" ca="1">INDIRECT(A95&amp;"!j13")</f>
        <v>0</v>
      </c>
      <c r="I95" s="152" cm="1">
        <f t="array" aca="1" ref="I95" ca="1">INDIRECT(A95&amp;"!j14")</f>
        <v>0</v>
      </c>
      <c r="J95" s="152" cm="1">
        <f t="array" aca="1" ref="J95" ca="1">INDIRECT(A95&amp;"!j15")</f>
        <v>0</v>
      </c>
      <c r="K95" s="152" cm="1">
        <f t="array" aca="1" ref="K95" ca="1">INDIRECT(A95&amp;"!j16")</f>
        <v>0</v>
      </c>
      <c r="L95" s="41">
        <f t="shared" ref="L95" ca="1" si="88">SUM(F95:K95)</f>
        <v>0</v>
      </c>
      <c r="M95" s="1"/>
      <c r="N95" s="153">
        <f t="shared" ref="N95" ca="1" si="89">N92+D95-M95</f>
        <v>1362474</v>
      </c>
    </row>
    <row r="96" spans="1:14">
      <c r="A96" s="64"/>
      <c r="B96" s="41"/>
      <c r="C96" s="41"/>
      <c r="D96" s="41"/>
      <c r="E96" s="151"/>
      <c r="F96" s="154"/>
      <c r="G96" s="154"/>
      <c r="H96" s="154"/>
      <c r="I96" s="154"/>
      <c r="J96" s="154"/>
      <c r="K96" s="154"/>
      <c r="L96" s="41"/>
      <c r="M96" s="2"/>
      <c r="N96" s="153"/>
    </row>
    <row r="97" spans="1:14" ht="15.75" thickBot="1">
      <c r="A97" s="64"/>
      <c r="B97" s="41"/>
      <c r="C97" s="41"/>
      <c r="D97" s="41"/>
      <c r="E97" s="151"/>
      <c r="F97" s="154"/>
      <c r="G97" s="154"/>
      <c r="H97" s="154"/>
      <c r="I97" s="154"/>
      <c r="J97" s="154"/>
      <c r="K97" s="154"/>
      <c r="L97" s="41"/>
      <c r="M97" s="2"/>
      <c r="N97" s="153"/>
    </row>
    <row r="98" spans="1:14" ht="15.75" thickBot="1">
      <c r="A98" s="125"/>
      <c r="B98" s="126"/>
      <c r="C98" s="126">
        <f t="shared" ref="C98:L98" ca="1" si="90">SUM(C5:C97)</f>
        <v>106309097</v>
      </c>
      <c r="D98" s="126">
        <f t="shared" ca="1" si="90"/>
        <v>12137374</v>
      </c>
      <c r="E98" s="126"/>
      <c r="F98" s="126">
        <f t="shared" ca="1" si="90"/>
        <v>35153604</v>
      </c>
      <c r="G98" s="126">
        <f t="shared" ca="1" si="90"/>
        <v>39814613</v>
      </c>
      <c r="H98" s="126">
        <f t="shared" ca="1" si="90"/>
        <v>12580976</v>
      </c>
      <c r="I98" s="126">
        <f t="shared" ca="1" si="90"/>
        <v>1206222</v>
      </c>
      <c r="J98" s="126">
        <f t="shared" ca="1" si="90"/>
        <v>4203300</v>
      </c>
      <c r="K98" s="126">
        <f t="shared" ca="1" si="90"/>
        <v>1213008</v>
      </c>
      <c r="L98" s="126">
        <f t="shared" ca="1" si="90"/>
        <v>94171723</v>
      </c>
      <c r="M98" s="126">
        <f>SUM(M5:M97)</f>
        <v>10774900</v>
      </c>
      <c r="N98" s="127"/>
    </row>
  </sheetData>
  <sheetProtection algorithmName="SHA-512" hashValue="x0z/DooHeR99hR3brBzdl1mdFqEGeTsdr/C/d7AgYM+1bMD9v4+pSNVve8lbyJHesPPzJj7Bstr7QTmTaJGs4A==" saltValue="yBKCx2DV2fRbuzecwP+A/Q==" spinCount="100000" sheet="1" objects="1" scenarios="1"/>
  <mergeCells count="2">
    <mergeCell ref="A1:N1"/>
    <mergeCell ref="F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5178-1F04-4970-96FB-64FCE7B4BC7A}">
  <dimension ref="A1:U38"/>
  <sheetViews>
    <sheetView workbookViewId="0">
      <pane ySplit="5" topLeftCell="M6" activePane="bottomLeft" state="frozen"/>
      <selection pane="bottomLeft" activeCell="C4" sqref="C4"/>
    </sheetView>
  </sheetViews>
  <sheetFormatPr defaultRowHeight="15"/>
  <cols>
    <col min="1" max="1" width="7" bestFit="1" customWidth="1"/>
    <col min="2" max="2" width="13.5703125" customWidth="1"/>
    <col min="3" max="3" width="6.7109375" customWidth="1"/>
    <col min="4" max="4" width="7.85546875" bestFit="1" customWidth="1"/>
    <col min="5" max="5" width="6.7109375" bestFit="1" customWidth="1"/>
    <col min="6" max="7" width="7.85546875" bestFit="1" customWidth="1"/>
    <col min="8" max="8" width="6.85546875" bestFit="1" customWidth="1"/>
    <col min="9" max="9" width="8" bestFit="1" customWidth="1"/>
    <col min="10" max="10" width="6.85546875" customWidth="1"/>
    <col min="11" max="11" width="7.85546875" bestFit="1" customWidth="1"/>
    <col min="12" max="12" width="8" bestFit="1" customWidth="1"/>
    <col min="13" max="14" width="7.85546875" bestFit="1" customWidth="1"/>
    <col min="15" max="15" width="7" bestFit="1" customWidth="1"/>
    <col min="16" max="16" width="5.7109375" customWidth="1"/>
    <col min="17" max="17" width="7.7109375" customWidth="1"/>
    <col min="18" max="18" width="8.42578125" bestFit="1" customWidth="1"/>
    <col min="19" max="19" width="15.85546875" customWidth="1"/>
    <col min="20" max="20" width="12.85546875" bestFit="1" customWidth="1"/>
    <col min="21" max="21" width="15.28515625" customWidth="1"/>
  </cols>
  <sheetData>
    <row r="1" spans="1:21" ht="24" customHeight="1" thickBot="1">
      <c r="A1" s="321" t="s">
        <v>57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3"/>
      <c r="T1" s="323"/>
      <c r="U1" s="324"/>
    </row>
    <row r="2" spans="1:21" ht="78">
      <c r="A2" s="209"/>
      <c r="B2" s="209"/>
      <c r="C2" s="210" t="s">
        <v>58</v>
      </c>
      <c r="D2" s="211" t="s">
        <v>59</v>
      </c>
      <c r="E2" s="211" t="s">
        <v>60</v>
      </c>
      <c r="F2" s="211" t="s">
        <v>61</v>
      </c>
      <c r="G2" s="211" t="s">
        <v>62</v>
      </c>
      <c r="H2" s="211" t="s">
        <v>63</v>
      </c>
      <c r="I2" s="211" t="s">
        <v>64</v>
      </c>
      <c r="J2" s="211" t="s">
        <v>65</v>
      </c>
      <c r="K2" s="211" t="s">
        <v>66</v>
      </c>
      <c r="L2" s="211" t="s">
        <v>66</v>
      </c>
      <c r="M2" s="211" t="s">
        <v>67</v>
      </c>
      <c r="N2" s="211" t="s">
        <v>68</v>
      </c>
      <c r="O2" s="211" t="s">
        <v>69</v>
      </c>
      <c r="P2" s="211"/>
      <c r="Q2" s="212"/>
      <c r="R2" s="213"/>
      <c r="S2" s="231"/>
      <c r="T2" s="232"/>
      <c r="U2" s="176">
        <v>0</v>
      </c>
    </row>
    <row r="3" spans="1:21" ht="15.75">
      <c r="A3" s="214"/>
      <c r="B3" s="214"/>
      <c r="C3" s="283">
        <v>3500</v>
      </c>
      <c r="D3" s="284">
        <v>13000</v>
      </c>
      <c r="E3" s="284">
        <v>3200</v>
      </c>
      <c r="F3" s="284">
        <v>12000</v>
      </c>
      <c r="G3" s="284">
        <v>72000</v>
      </c>
      <c r="H3" s="284">
        <v>4200</v>
      </c>
      <c r="I3" s="284">
        <v>16600</v>
      </c>
      <c r="J3" s="284">
        <v>7400</v>
      </c>
      <c r="K3" s="284">
        <v>28300</v>
      </c>
      <c r="L3" s="284">
        <v>18900</v>
      </c>
      <c r="M3" s="284">
        <v>28300</v>
      </c>
      <c r="N3" s="284">
        <v>10500</v>
      </c>
      <c r="O3" s="284">
        <v>4900</v>
      </c>
      <c r="P3" s="284"/>
      <c r="Q3" s="285"/>
      <c r="R3" s="215" t="s">
        <v>70</v>
      </c>
      <c r="S3" s="233"/>
      <c r="T3" s="234"/>
      <c r="U3" s="230"/>
    </row>
    <row r="4" spans="1:21" ht="16.5">
      <c r="A4" s="216"/>
      <c r="B4" s="217" t="s">
        <v>71</v>
      </c>
      <c r="C4" s="286">
        <v>20</v>
      </c>
      <c r="D4" s="287">
        <v>6</v>
      </c>
      <c r="E4" s="287">
        <v>23</v>
      </c>
      <c r="F4" s="287">
        <v>8</v>
      </c>
      <c r="G4" s="287">
        <v>0</v>
      </c>
      <c r="H4" s="287">
        <v>0</v>
      </c>
      <c r="I4" s="287">
        <v>1</v>
      </c>
      <c r="J4" s="287">
        <v>2</v>
      </c>
      <c r="K4" s="287">
        <v>3</v>
      </c>
      <c r="L4" s="287">
        <v>3</v>
      </c>
      <c r="M4" s="287">
        <v>1</v>
      </c>
      <c r="N4" s="287">
        <v>0</v>
      </c>
      <c r="O4" s="287">
        <v>9</v>
      </c>
      <c r="P4" s="287">
        <v>0</v>
      </c>
      <c r="Q4" s="288">
        <v>0</v>
      </c>
      <c r="R4" s="282">
        <f>SUM(C4:Q4)</f>
        <v>76</v>
      </c>
      <c r="S4" s="325" t="s">
        <v>72</v>
      </c>
      <c r="T4" s="327" t="s">
        <v>73</v>
      </c>
      <c r="U4" s="329" t="s">
        <v>74</v>
      </c>
    </row>
    <row r="5" spans="1:21" ht="15.75">
      <c r="A5" s="216"/>
      <c r="B5" s="217" t="s">
        <v>75</v>
      </c>
      <c r="C5" s="289">
        <v>0</v>
      </c>
      <c r="D5" s="290">
        <v>0</v>
      </c>
      <c r="E5" s="290">
        <v>0</v>
      </c>
      <c r="F5" s="290">
        <v>0</v>
      </c>
      <c r="G5" s="290">
        <v>0</v>
      </c>
      <c r="H5" s="290">
        <v>0</v>
      </c>
      <c r="I5" s="290">
        <v>0</v>
      </c>
      <c r="J5" s="290">
        <v>0</v>
      </c>
      <c r="K5" s="290">
        <v>0</v>
      </c>
      <c r="L5" s="290">
        <v>0</v>
      </c>
      <c r="M5" s="290">
        <v>0</v>
      </c>
      <c r="N5" s="290">
        <v>0</v>
      </c>
      <c r="O5" s="290">
        <v>0</v>
      </c>
      <c r="P5" s="290"/>
      <c r="Q5" s="291"/>
      <c r="R5" s="282">
        <f>SUM(C5:Q5)</f>
        <v>0</v>
      </c>
      <c r="S5" s="326"/>
      <c r="T5" s="328"/>
      <c r="U5" s="330"/>
    </row>
    <row r="6" spans="1:21">
      <c r="A6" s="219">
        <v>1</v>
      </c>
      <c r="B6" s="220" t="str" cm="1">
        <f t="array" aca="1" ref="B6" ca="1">""&amp;INDIRECT(A6&amp;"!f1")&amp;"-"&amp;INDIRECT(A6&amp;"!g1")&amp;"-"&amp;INDIRECT(A6&amp;"!h1")</f>
        <v>1-3-2026</v>
      </c>
      <c r="C6" s="237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9"/>
      <c r="R6" s="218">
        <f t="shared" ref="R6:R38" si="0">SUM(C6:Q6)</f>
        <v>0</v>
      </c>
      <c r="S6" s="246"/>
      <c r="T6" s="247"/>
      <c r="U6" s="221">
        <f>U2+S6-T6</f>
        <v>0</v>
      </c>
    </row>
    <row r="7" spans="1:21">
      <c r="A7" s="222">
        <v>2</v>
      </c>
      <c r="B7" s="218" t="str" cm="1">
        <f t="array" aca="1" ref="B7" ca="1">""&amp;INDIRECT(A7&amp;"!f1")&amp;"-"&amp;INDIRECT(A7&amp;"!g1")&amp;"-"&amp;INDIRECT(A7&amp;"!h1")</f>
        <v>2-3-2026</v>
      </c>
      <c r="C7" s="240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2"/>
      <c r="R7" s="218">
        <f t="shared" si="0"/>
        <v>0</v>
      </c>
      <c r="S7" s="248"/>
      <c r="T7" s="175"/>
      <c r="U7" s="221">
        <f>U6+S7-T7</f>
        <v>0</v>
      </c>
    </row>
    <row r="8" spans="1:21">
      <c r="A8" s="222">
        <v>3</v>
      </c>
      <c r="B8" s="218" t="str" cm="1">
        <f t="array" aca="1" ref="B8" ca="1">""&amp;INDIRECT(A8&amp;"!f1")&amp;"-"&amp;INDIRECT(A8&amp;"!g1")&amp;"-"&amp;INDIRECT(A8&amp;"!h1")</f>
        <v>3-3-2026</v>
      </c>
      <c r="C8" s="240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2"/>
      <c r="R8" s="218">
        <f t="shared" si="0"/>
        <v>0</v>
      </c>
      <c r="S8" s="248"/>
      <c r="T8" s="175"/>
      <c r="U8" s="221">
        <f t="shared" ref="U8:U36" si="1">U7+S8-T8</f>
        <v>0</v>
      </c>
    </row>
    <row r="9" spans="1:21">
      <c r="A9" s="222">
        <v>4</v>
      </c>
      <c r="B9" s="218" t="str" cm="1">
        <f t="array" aca="1" ref="B9" ca="1">""&amp;INDIRECT(A9&amp;"!f1")&amp;"-"&amp;INDIRECT(A9&amp;"!g1")&amp;"-"&amp;INDIRECT(A9&amp;"!h1")</f>
        <v>4-3-2026</v>
      </c>
      <c r="C9" s="240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R9" s="218">
        <f t="shared" si="0"/>
        <v>0</v>
      </c>
      <c r="S9" s="248"/>
      <c r="T9" s="175"/>
      <c r="U9" s="221">
        <f t="shared" si="1"/>
        <v>0</v>
      </c>
    </row>
    <row r="10" spans="1:21">
      <c r="A10" s="222">
        <v>5</v>
      </c>
      <c r="B10" s="218" t="str" cm="1">
        <f t="array" aca="1" ref="B10" ca="1">""&amp;INDIRECT(A10&amp;"!f1")&amp;"-"&amp;INDIRECT(A10&amp;"!g1")&amp;"-"&amp;INDIRECT(A10&amp;"!h1")</f>
        <v>5-3-2026</v>
      </c>
      <c r="C10" s="240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2"/>
      <c r="R10" s="218">
        <f t="shared" si="0"/>
        <v>0</v>
      </c>
      <c r="S10" s="248"/>
      <c r="T10" s="175"/>
      <c r="U10" s="221">
        <f t="shared" si="1"/>
        <v>0</v>
      </c>
    </row>
    <row r="11" spans="1:21">
      <c r="A11" s="222">
        <v>6</v>
      </c>
      <c r="B11" s="218" t="str" cm="1">
        <f t="array" aca="1" ref="B11" ca="1">""&amp;INDIRECT(A11&amp;"!f1")&amp;"-"&amp;INDIRECT(A11&amp;"!g1")&amp;"-"&amp;INDIRECT(A11&amp;"!h1")</f>
        <v>6-3-2026</v>
      </c>
      <c r="C11" s="240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2"/>
      <c r="R11" s="218">
        <f t="shared" si="0"/>
        <v>0</v>
      </c>
      <c r="S11" s="248"/>
      <c r="T11" s="175"/>
      <c r="U11" s="221">
        <f t="shared" si="1"/>
        <v>0</v>
      </c>
    </row>
    <row r="12" spans="1:21">
      <c r="A12" s="222">
        <v>7</v>
      </c>
      <c r="B12" s="218" t="str" cm="1">
        <f t="array" aca="1" ref="B12" ca="1">""&amp;INDIRECT(A12&amp;"!f1")&amp;"-"&amp;INDIRECT(A12&amp;"!g1")&amp;"-"&amp;INDIRECT(A12&amp;"!h1")</f>
        <v>7-3-2026</v>
      </c>
      <c r="C12" s="240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2"/>
      <c r="R12" s="218">
        <f t="shared" si="0"/>
        <v>0</v>
      </c>
      <c r="S12" s="248"/>
      <c r="T12" s="175"/>
      <c r="U12" s="221">
        <f t="shared" si="1"/>
        <v>0</v>
      </c>
    </row>
    <row r="13" spans="1:21">
      <c r="A13" s="222">
        <v>8</v>
      </c>
      <c r="B13" s="218" t="str" cm="1">
        <f t="array" aca="1" ref="B13" ca="1">""&amp;INDIRECT(A13&amp;"!f1")&amp;"-"&amp;INDIRECT(A13&amp;"!g1")&amp;"-"&amp;INDIRECT(A13&amp;"!h1")</f>
        <v>8-3-2026</v>
      </c>
      <c r="C13" s="240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2"/>
      <c r="R13" s="218">
        <f t="shared" si="0"/>
        <v>0</v>
      </c>
      <c r="S13" s="248"/>
      <c r="T13" s="175"/>
      <c r="U13" s="221">
        <f t="shared" si="1"/>
        <v>0</v>
      </c>
    </row>
    <row r="14" spans="1:21">
      <c r="A14" s="222">
        <v>9</v>
      </c>
      <c r="B14" s="218" t="str" cm="1">
        <f t="array" aca="1" ref="B14" ca="1">""&amp;INDIRECT(A14&amp;"!f1")&amp;"-"&amp;INDIRECT(A14&amp;"!g1")&amp;"-"&amp;INDIRECT(A14&amp;"!h1")</f>
        <v>9-3-2026</v>
      </c>
      <c r="C14" s="240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2"/>
      <c r="R14" s="218">
        <f t="shared" si="0"/>
        <v>0</v>
      </c>
      <c r="S14" s="248"/>
      <c r="T14" s="175"/>
      <c r="U14" s="221">
        <f t="shared" si="1"/>
        <v>0</v>
      </c>
    </row>
    <row r="15" spans="1:21">
      <c r="A15" s="222">
        <v>10</v>
      </c>
      <c r="B15" s="218" t="str" cm="1">
        <f t="array" aca="1" ref="B15" ca="1">""&amp;INDIRECT(A15&amp;"!f1")&amp;"-"&amp;INDIRECT(A15&amp;"!g1")&amp;"-"&amp;INDIRECT(A15&amp;"!h1")</f>
        <v>10-3-2026</v>
      </c>
      <c r="C15" s="240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41"/>
      <c r="P15" s="241"/>
      <c r="Q15" s="242"/>
      <c r="R15" s="218">
        <f t="shared" si="0"/>
        <v>0</v>
      </c>
      <c r="S15" s="248"/>
      <c r="T15" s="175"/>
      <c r="U15" s="221">
        <f t="shared" si="1"/>
        <v>0</v>
      </c>
    </row>
    <row r="16" spans="1:21">
      <c r="A16" s="222">
        <v>11</v>
      </c>
      <c r="B16" s="218" t="str" cm="1">
        <f t="array" aca="1" ref="B16" ca="1">""&amp;INDIRECT(A16&amp;"!f1")&amp;"-"&amp;INDIRECT(A16&amp;"!g1")&amp;"-"&amp;INDIRECT(A16&amp;"!h1")</f>
        <v>11-3-2026</v>
      </c>
      <c r="C16" s="240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2"/>
      <c r="R16" s="218">
        <f t="shared" si="0"/>
        <v>0</v>
      </c>
      <c r="S16" s="248"/>
      <c r="T16" s="175"/>
      <c r="U16" s="221">
        <f t="shared" si="1"/>
        <v>0</v>
      </c>
    </row>
    <row r="17" spans="1:21">
      <c r="A17" s="222">
        <v>12</v>
      </c>
      <c r="B17" s="218" t="str" cm="1">
        <f t="array" aca="1" ref="B17" ca="1">""&amp;INDIRECT(A17&amp;"!f1")&amp;"-"&amp;INDIRECT(A17&amp;"!g1")&amp;"-"&amp;INDIRECT(A17&amp;"!h1")</f>
        <v>12-3-2026</v>
      </c>
      <c r="C17" s="240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2"/>
      <c r="R17" s="218">
        <f t="shared" si="0"/>
        <v>0</v>
      </c>
      <c r="S17" s="248"/>
      <c r="T17" s="175"/>
      <c r="U17" s="221">
        <f t="shared" si="1"/>
        <v>0</v>
      </c>
    </row>
    <row r="18" spans="1:21">
      <c r="A18" s="222">
        <v>13</v>
      </c>
      <c r="B18" s="218" t="str" cm="1">
        <f t="array" aca="1" ref="B18" ca="1">""&amp;INDIRECT(A18&amp;"!f1")&amp;"-"&amp;INDIRECT(A18&amp;"!g1")&amp;"-"&amp;INDIRECT(A18&amp;"!h1")</f>
        <v>13-3-2026</v>
      </c>
      <c r="C18" s="240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242"/>
      <c r="R18" s="218">
        <f t="shared" si="0"/>
        <v>0</v>
      </c>
      <c r="S18" s="248"/>
      <c r="T18" s="175"/>
      <c r="U18" s="221">
        <f t="shared" si="1"/>
        <v>0</v>
      </c>
    </row>
    <row r="19" spans="1:21">
      <c r="A19" s="222">
        <v>14</v>
      </c>
      <c r="B19" s="218" t="str" cm="1">
        <f t="array" aca="1" ref="B19" ca="1">""&amp;INDIRECT(A19&amp;"!f1")&amp;"-"&amp;INDIRECT(A19&amp;"!g1")&amp;"-"&amp;INDIRECT(A19&amp;"!h1")</f>
        <v>14-3-2026</v>
      </c>
      <c r="C19" s="240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2"/>
      <c r="R19" s="218">
        <f t="shared" si="0"/>
        <v>0</v>
      </c>
      <c r="S19" s="248"/>
      <c r="T19" s="175"/>
      <c r="U19" s="221">
        <f t="shared" si="1"/>
        <v>0</v>
      </c>
    </row>
    <row r="20" spans="1:21">
      <c r="A20" s="222">
        <v>15</v>
      </c>
      <c r="B20" s="218" t="str" cm="1">
        <f t="array" aca="1" ref="B20" ca="1">""&amp;INDIRECT(A20&amp;"!f1")&amp;"-"&amp;INDIRECT(A20&amp;"!g1")&amp;"-"&amp;INDIRECT(A20&amp;"!h1")</f>
        <v>15-3-2026</v>
      </c>
      <c r="C20" s="240"/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2"/>
      <c r="R20" s="218">
        <f t="shared" si="0"/>
        <v>0</v>
      </c>
      <c r="S20" s="248"/>
      <c r="T20" s="175"/>
      <c r="U20" s="221">
        <f t="shared" si="1"/>
        <v>0</v>
      </c>
    </row>
    <row r="21" spans="1:21">
      <c r="A21" s="222">
        <v>16</v>
      </c>
      <c r="B21" s="218" t="str" cm="1">
        <f t="array" aca="1" ref="B21" ca="1">""&amp;INDIRECT(A21&amp;"!f1")&amp;"-"&amp;INDIRECT(A21&amp;"!g1")&amp;"-"&amp;INDIRECT(A21&amp;"!h1")</f>
        <v>16-3-2026</v>
      </c>
      <c r="C21" s="240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2"/>
      <c r="R21" s="218">
        <f t="shared" si="0"/>
        <v>0</v>
      </c>
      <c r="S21" s="248"/>
      <c r="T21" s="175"/>
      <c r="U21" s="221">
        <f t="shared" si="1"/>
        <v>0</v>
      </c>
    </row>
    <row r="22" spans="1:21">
      <c r="A22" s="222">
        <v>17</v>
      </c>
      <c r="B22" s="218" t="str" cm="1">
        <f t="array" aca="1" ref="B22" ca="1">""&amp;INDIRECT(A22&amp;"!f1")&amp;"-"&amp;INDIRECT(A22&amp;"!g1")&amp;"-"&amp;INDIRECT(A22&amp;"!h1")</f>
        <v>17-3-2026</v>
      </c>
      <c r="C22" s="240"/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241"/>
      <c r="Q22" s="242"/>
      <c r="R22" s="218">
        <f t="shared" si="0"/>
        <v>0</v>
      </c>
      <c r="S22" s="248"/>
      <c r="T22" s="175"/>
      <c r="U22" s="221">
        <f t="shared" si="1"/>
        <v>0</v>
      </c>
    </row>
    <row r="23" spans="1:21">
      <c r="A23" s="222">
        <v>18</v>
      </c>
      <c r="B23" s="218" t="str" cm="1">
        <f t="array" aca="1" ref="B23" ca="1">""&amp;INDIRECT(A23&amp;"!f1")&amp;"-"&amp;INDIRECT(A23&amp;"!g1")&amp;"-"&amp;INDIRECT(A23&amp;"!h1")</f>
        <v>18-3-2026</v>
      </c>
      <c r="C23" s="240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2"/>
      <c r="R23" s="218">
        <f t="shared" si="0"/>
        <v>0</v>
      </c>
      <c r="S23" s="248"/>
      <c r="T23" s="175"/>
      <c r="U23" s="221">
        <f t="shared" si="1"/>
        <v>0</v>
      </c>
    </row>
    <row r="24" spans="1:21">
      <c r="A24" s="222">
        <v>19</v>
      </c>
      <c r="B24" s="218" t="str" cm="1">
        <f t="array" aca="1" ref="B24" ca="1">""&amp;INDIRECT(A24&amp;"!f1")&amp;"-"&amp;INDIRECT(A24&amp;"!g1")&amp;"-"&amp;INDIRECT(A24&amp;"!h1")</f>
        <v>19-3-2026</v>
      </c>
      <c r="C24" s="240"/>
      <c r="D24" s="241"/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241"/>
      <c r="Q24" s="242"/>
      <c r="R24" s="218">
        <f t="shared" si="0"/>
        <v>0</v>
      </c>
      <c r="S24" s="248"/>
      <c r="T24" s="175"/>
      <c r="U24" s="221">
        <f t="shared" si="1"/>
        <v>0</v>
      </c>
    </row>
    <row r="25" spans="1:21">
      <c r="A25" s="222">
        <v>20</v>
      </c>
      <c r="B25" s="218" t="str" cm="1">
        <f t="array" aca="1" ref="B25" ca="1">""&amp;INDIRECT(A25&amp;"!f1")&amp;"-"&amp;INDIRECT(A25&amp;"!g1")&amp;"-"&amp;INDIRECT(A25&amp;"!h1")</f>
        <v>20-3-2026</v>
      </c>
      <c r="C25" s="240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2"/>
      <c r="R25" s="218">
        <f t="shared" si="0"/>
        <v>0</v>
      </c>
      <c r="S25" s="248"/>
      <c r="T25" s="175"/>
      <c r="U25" s="221">
        <f t="shared" si="1"/>
        <v>0</v>
      </c>
    </row>
    <row r="26" spans="1:21">
      <c r="A26" s="222">
        <v>21</v>
      </c>
      <c r="B26" s="218" t="str" cm="1">
        <f t="array" aca="1" ref="B26" ca="1">""&amp;INDIRECT(A26&amp;"!f1")&amp;"-"&amp;INDIRECT(A26&amp;"!g1")&amp;"-"&amp;INDIRECT(A26&amp;"!h1")</f>
        <v>21-3-2026</v>
      </c>
      <c r="C26" s="240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2"/>
      <c r="R26" s="218">
        <f t="shared" si="0"/>
        <v>0</v>
      </c>
      <c r="S26" s="248"/>
      <c r="T26" s="175"/>
      <c r="U26" s="221">
        <f t="shared" si="1"/>
        <v>0</v>
      </c>
    </row>
    <row r="27" spans="1:21">
      <c r="A27" s="222">
        <v>22</v>
      </c>
      <c r="B27" s="218" t="str" cm="1">
        <f t="array" aca="1" ref="B27" ca="1">""&amp;INDIRECT(A27&amp;"!f1")&amp;"-"&amp;INDIRECT(A27&amp;"!g1")&amp;"-"&amp;INDIRECT(A27&amp;"!h1")</f>
        <v>22-3-2026</v>
      </c>
      <c r="C27" s="240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2"/>
      <c r="R27" s="218">
        <f t="shared" si="0"/>
        <v>0</v>
      </c>
      <c r="S27" s="248"/>
      <c r="T27" s="175"/>
      <c r="U27" s="221">
        <f t="shared" si="1"/>
        <v>0</v>
      </c>
    </row>
    <row r="28" spans="1:21">
      <c r="A28" s="222">
        <v>23</v>
      </c>
      <c r="B28" s="218" t="str" cm="1">
        <f t="array" aca="1" ref="B28" ca="1">""&amp;INDIRECT(A28&amp;"!f1")&amp;"-"&amp;INDIRECT(A28&amp;"!g1")&amp;"-"&amp;INDIRECT(A28&amp;"!h1")</f>
        <v>23-3-2026</v>
      </c>
      <c r="C28" s="240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2"/>
      <c r="R28" s="218">
        <f t="shared" si="0"/>
        <v>0</v>
      </c>
      <c r="S28" s="248"/>
      <c r="T28" s="175"/>
      <c r="U28" s="221">
        <f t="shared" si="1"/>
        <v>0</v>
      </c>
    </row>
    <row r="29" spans="1:21">
      <c r="A29" s="222">
        <v>24</v>
      </c>
      <c r="B29" s="218" t="str" cm="1">
        <f t="array" aca="1" ref="B29" ca="1">""&amp;INDIRECT(A29&amp;"!f1")&amp;"-"&amp;INDIRECT(A29&amp;"!g1")&amp;"-"&amp;INDIRECT(A29&amp;"!h1")</f>
        <v>24-3-2026</v>
      </c>
      <c r="C29" s="240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2"/>
      <c r="R29" s="218">
        <f t="shared" si="0"/>
        <v>0</v>
      </c>
      <c r="S29" s="248"/>
      <c r="T29" s="175"/>
      <c r="U29" s="221">
        <f t="shared" si="1"/>
        <v>0</v>
      </c>
    </row>
    <row r="30" spans="1:21">
      <c r="A30" s="222">
        <v>25</v>
      </c>
      <c r="B30" s="218" t="str" cm="1">
        <f t="array" aca="1" ref="B30" ca="1">""&amp;INDIRECT(A30&amp;"!f1")&amp;"-"&amp;INDIRECT(A30&amp;"!g1")&amp;"-"&amp;INDIRECT(A30&amp;"!h1")</f>
        <v>25-3-2026</v>
      </c>
      <c r="C30" s="240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2"/>
      <c r="R30" s="218">
        <f t="shared" si="0"/>
        <v>0</v>
      </c>
      <c r="S30" s="248"/>
      <c r="T30" s="175"/>
      <c r="U30" s="221">
        <f t="shared" si="1"/>
        <v>0</v>
      </c>
    </row>
    <row r="31" spans="1:21">
      <c r="A31" s="222">
        <v>26</v>
      </c>
      <c r="B31" s="218" t="str" cm="1">
        <f t="array" aca="1" ref="B31" ca="1">""&amp;INDIRECT(A31&amp;"!f1")&amp;"-"&amp;INDIRECT(A31&amp;"!g1")&amp;"-"&amp;INDIRECT(A31&amp;"!h1")</f>
        <v>26-3-2026</v>
      </c>
      <c r="C31" s="240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2"/>
      <c r="R31" s="218">
        <f t="shared" si="0"/>
        <v>0</v>
      </c>
      <c r="S31" s="248"/>
      <c r="T31" s="175"/>
      <c r="U31" s="221">
        <f t="shared" si="1"/>
        <v>0</v>
      </c>
    </row>
    <row r="32" spans="1:21">
      <c r="A32" s="222">
        <v>27</v>
      </c>
      <c r="B32" s="218" t="str" cm="1">
        <f t="array" aca="1" ref="B32" ca="1">""&amp;INDIRECT(A32&amp;"!f1")&amp;"-"&amp;INDIRECT(A32&amp;"!g1")&amp;"-"&amp;INDIRECT(A32&amp;"!h1")</f>
        <v>27-3-2026</v>
      </c>
      <c r="C32" s="240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2"/>
      <c r="R32" s="218">
        <f t="shared" si="0"/>
        <v>0</v>
      </c>
      <c r="S32" s="248"/>
      <c r="T32" s="175"/>
      <c r="U32" s="221">
        <f t="shared" si="1"/>
        <v>0</v>
      </c>
    </row>
    <row r="33" spans="1:21">
      <c r="A33" s="222">
        <v>28</v>
      </c>
      <c r="B33" s="218" t="str" cm="1">
        <f t="array" aca="1" ref="B33" ca="1">""&amp;INDIRECT(A33&amp;"!f1")&amp;"-"&amp;INDIRECT(A33&amp;"!g1")&amp;"-"&amp;INDIRECT(A33&amp;"!h1")</f>
        <v>28-3-2026</v>
      </c>
      <c r="C33" s="240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2"/>
      <c r="R33" s="218">
        <f t="shared" si="0"/>
        <v>0</v>
      </c>
      <c r="S33" s="248"/>
      <c r="T33" s="175"/>
      <c r="U33" s="221">
        <f t="shared" si="1"/>
        <v>0</v>
      </c>
    </row>
    <row r="34" spans="1:21">
      <c r="A34" s="222">
        <v>29</v>
      </c>
      <c r="B34" s="218" t="str" cm="1">
        <f t="array" aca="1" ref="B34" ca="1">""&amp;INDIRECT(A34&amp;"!f1")&amp;"-"&amp;INDIRECT(A34&amp;"!g1")&amp;"-"&amp;INDIRECT(A34&amp;"!h1")</f>
        <v>29-3-2026</v>
      </c>
      <c r="C34" s="240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2"/>
      <c r="R34" s="218">
        <f t="shared" si="0"/>
        <v>0</v>
      </c>
      <c r="S34" s="248"/>
      <c r="T34" s="175"/>
      <c r="U34" s="221">
        <f t="shared" si="1"/>
        <v>0</v>
      </c>
    </row>
    <row r="35" spans="1:21">
      <c r="A35" s="222">
        <v>30</v>
      </c>
      <c r="B35" s="218" t="str" cm="1">
        <f t="array" aca="1" ref="B35" ca="1">""&amp;INDIRECT(A35&amp;"!f1")&amp;"-"&amp;INDIRECT(A35&amp;"!g1")&amp;"-"&amp;INDIRECT(A35&amp;"!h1")</f>
        <v>30-3-2026</v>
      </c>
      <c r="C35" s="240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2"/>
      <c r="R35" s="218">
        <f t="shared" si="0"/>
        <v>0</v>
      </c>
      <c r="S35" s="248"/>
      <c r="T35" s="175"/>
      <c r="U35" s="221">
        <f t="shared" si="1"/>
        <v>0</v>
      </c>
    </row>
    <row r="36" spans="1:21">
      <c r="A36" s="223">
        <v>31</v>
      </c>
      <c r="B36" s="224" t="str" cm="1">
        <f t="array" aca="1" ref="B36" ca="1">""&amp;INDIRECT(A36&amp;"!f1")&amp;"-"&amp;INDIRECT(A36&amp;"!g1")&amp;"-"&amp;INDIRECT(A36&amp;"!h1")</f>
        <v>31-3-2026</v>
      </c>
      <c r="C36" s="243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5"/>
      <c r="R36" s="224">
        <f t="shared" si="0"/>
        <v>0</v>
      </c>
      <c r="S36" s="249"/>
      <c r="T36" s="177"/>
      <c r="U36" s="225">
        <f t="shared" si="1"/>
        <v>0</v>
      </c>
    </row>
    <row r="37" spans="1:21">
      <c r="A37" s="226"/>
      <c r="B37" s="227" t="s">
        <v>76</v>
      </c>
      <c r="C37" s="227">
        <f>SUM(C6:C36)</f>
        <v>0</v>
      </c>
      <c r="D37" s="227">
        <f t="shared" ref="D37:Q37" si="2">SUM(D6:D36)</f>
        <v>0</v>
      </c>
      <c r="E37" s="227">
        <f t="shared" si="2"/>
        <v>0</v>
      </c>
      <c r="F37" s="227">
        <f t="shared" si="2"/>
        <v>0</v>
      </c>
      <c r="G37" s="227">
        <f t="shared" si="2"/>
        <v>0</v>
      </c>
      <c r="H37" s="227">
        <f t="shared" si="2"/>
        <v>0</v>
      </c>
      <c r="I37" s="227">
        <f t="shared" si="2"/>
        <v>0</v>
      </c>
      <c r="J37" s="227">
        <f t="shared" si="2"/>
        <v>0</v>
      </c>
      <c r="K37" s="227">
        <f t="shared" si="2"/>
        <v>0</v>
      </c>
      <c r="L37" s="227">
        <f t="shared" si="2"/>
        <v>0</v>
      </c>
      <c r="M37" s="227">
        <f t="shared" si="2"/>
        <v>0</v>
      </c>
      <c r="N37" s="227">
        <f t="shared" si="2"/>
        <v>0</v>
      </c>
      <c r="O37" s="227">
        <f t="shared" si="2"/>
        <v>0</v>
      </c>
      <c r="P37" s="227">
        <f t="shared" si="2"/>
        <v>0</v>
      </c>
      <c r="Q37" s="227">
        <f t="shared" si="2"/>
        <v>0</v>
      </c>
      <c r="R37" s="235">
        <f t="shared" si="0"/>
        <v>0</v>
      </c>
      <c r="S37" s="331">
        <f>SUM(S6:S36)</f>
        <v>0</v>
      </c>
      <c r="T37" s="333">
        <f>SUM(T6:T36)</f>
        <v>0</v>
      </c>
      <c r="U37" s="335">
        <f>U36</f>
        <v>0</v>
      </c>
    </row>
    <row r="38" spans="1:21">
      <c r="A38" s="228"/>
      <c r="B38" s="229" t="s">
        <v>77</v>
      </c>
      <c r="C38" s="229">
        <f>C4+C5-C37</f>
        <v>20</v>
      </c>
      <c r="D38" s="229">
        <f t="shared" ref="D38:Q38" si="3">D4+D5-D37</f>
        <v>6</v>
      </c>
      <c r="E38" s="229">
        <f t="shared" si="3"/>
        <v>23</v>
      </c>
      <c r="F38" s="229">
        <f t="shared" si="3"/>
        <v>8</v>
      </c>
      <c r="G38" s="229">
        <f t="shared" si="3"/>
        <v>0</v>
      </c>
      <c r="H38" s="229">
        <f t="shared" si="3"/>
        <v>0</v>
      </c>
      <c r="I38" s="229">
        <f t="shared" si="3"/>
        <v>1</v>
      </c>
      <c r="J38" s="229">
        <f t="shared" si="3"/>
        <v>2</v>
      </c>
      <c r="K38" s="229">
        <f t="shared" si="3"/>
        <v>3</v>
      </c>
      <c r="L38" s="229">
        <f t="shared" si="3"/>
        <v>3</v>
      </c>
      <c r="M38" s="229">
        <f t="shared" si="3"/>
        <v>1</v>
      </c>
      <c r="N38" s="229">
        <f t="shared" si="3"/>
        <v>0</v>
      </c>
      <c r="O38" s="229">
        <f t="shared" si="3"/>
        <v>9</v>
      </c>
      <c r="P38" s="229">
        <f t="shared" si="3"/>
        <v>0</v>
      </c>
      <c r="Q38" s="229">
        <f t="shared" si="3"/>
        <v>0</v>
      </c>
      <c r="R38" s="236">
        <f t="shared" si="0"/>
        <v>76</v>
      </c>
      <c r="S38" s="332"/>
      <c r="T38" s="334"/>
      <c r="U38" s="336"/>
    </row>
  </sheetData>
  <sheetProtection algorithmName="SHA-512" hashValue="KEMonwlBNumOvoFijYjvkz81xI8kQpf2ukjmqOvm7WMsjX5ze/HXzlgltt485M6cZtA+o0maP/nTTLSdvB0p/g==" saltValue="/12zFCMy9J0lIoeNagjHGg==" spinCount="100000" sheet="1" objects="1" scenarios="1"/>
  <mergeCells count="7">
    <mergeCell ref="A1:U1"/>
    <mergeCell ref="S4:S5"/>
    <mergeCell ref="T4:T5"/>
    <mergeCell ref="U4:U5"/>
    <mergeCell ref="S37:S38"/>
    <mergeCell ref="T37:T38"/>
    <mergeCell ref="U37:U38"/>
  </mergeCells>
  <phoneticPr fontId="1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B6FE-3551-4658-B96A-774C59619348}">
  <dimension ref="A1:J66"/>
  <sheetViews>
    <sheetView workbookViewId="0">
      <pane xSplit="1" ySplit="2" topLeftCell="B19" activePane="bottomRight" state="frozen"/>
      <selection pane="bottomRight" activeCell="B19" sqref="B19:F26"/>
      <selection pane="bottomLeft" activeCell="A3" sqref="A3"/>
      <selection pane="topRight" activeCell="B1" sqref="B1"/>
    </sheetView>
  </sheetViews>
  <sheetFormatPr defaultRowHeight="15"/>
  <cols>
    <col min="1" max="1" width="20.5703125" customWidth="1"/>
    <col min="2" max="2" width="30.7109375" customWidth="1"/>
    <col min="3" max="3" width="12.28515625" bestFit="1" customWidth="1"/>
    <col min="4" max="4" width="11.42578125" bestFit="1" customWidth="1"/>
    <col min="5" max="5" width="11.85546875" bestFit="1" customWidth="1"/>
    <col min="6" max="6" width="11.5703125" bestFit="1" customWidth="1"/>
    <col min="7" max="7" width="12.140625" customWidth="1"/>
    <col min="8" max="8" width="10.85546875" customWidth="1"/>
    <col min="9" max="9" width="11.28515625" customWidth="1"/>
    <col min="10" max="10" width="14.5703125" customWidth="1"/>
  </cols>
  <sheetData>
    <row r="1" spans="1:10" ht="15.75" thickBot="1">
      <c r="A1" s="250"/>
      <c r="B1" s="251"/>
      <c r="C1" s="252"/>
      <c r="D1" s="253"/>
      <c r="E1" s="253"/>
      <c r="F1" s="253"/>
      <c r="G1" s="254" t="s">
        <v>78</v>
      </c>
      <c r="H1" s="255"/>
      <c r="I1" s="343">
        <f>J18+J34+J50+J66</f>
        <v>0</v>
      </c>
      <c r="J1" s="344"/>
    </row>
    <row r="2" spans="1:10" ht="15.75" thickBot="1">
      <c r="A2" s="264"/>
      <c r="B2" s="265" t="s">
        <v>2</v>
      </c>
      <c r="C2" s="266" t="s">
        <v>79</v>
      </c>
      <c r="D2" s="345" t="s">
        <v>80</v>
      </c>
      <c r="E2" s="346"/>
      <c r="F2" s="346"/>
      <c r="G2" s="346"/>
      <c r="H2" s="346"/>
      <c r="I2" s="347"/>
      <c r="J2" s="256" t="s">
        <v>74</v>
      </c>
    </row>
    <row r="3" spans="1:10">
      <c r="A3" s="337" t="s">
        <v>81</v>
      </c>
      <c r="B3" s="267"/>
      <c r="C3" s="268"/>
      <c r="D3" s="269"/>
      <c r="E3" s="270"/>
      <c r="F3" s="270"/>
      <c r="G3" s="270"/>
      <c r="H3" s="270"/>
      <c r="I3" s="271"/>
      <c r="J3" s="257">
        <f t="shared" ref="J3:J17" si="0">C3-(SUM(D3:I3))</f>
        <v>0</v>
      </c>
    </row>
    <row r="4" spans="1:10">
      <c r="A4" s="338"/>
      <c r="B4" s="272"/>
      <c r="C4" s="273"/>
      <c r="D4" s="274"/>
      <c r="E4" s="275"/>
      <c r="F4" s="275"/>
      <c r="G4" s="275"/>
      <c r="H4" s="275"/>
      <c r="I4" s="276"/>
      <c r="J4" s="258">
        <f t="shared" si="0"/>
        <v>0</v>
      </c>
    </row>
    <row r="5" spans="1:10">
      <c r="A5" s="338"/>
      <c r="B5" s="272"/>
      <c r="C5" s="273"/>
      <c r="D5" s="274"/>
      <c r="E5" s="275"/>
      <c r="F5" s="275"/>
      <c r="G5" s="275"/>
      <c r="H5" s="275"/>
      <c r="I5" s="276"/>
      <c r="J5" s="258">
        <f t="shared" si="0"/>
        <v>0</v>
      </c>
    </row>
    <row r="6" spans="1:10">
      <c r="A6" s="338"/>
      <c r="B6" s="272"/>
      <c r="C6" s="273"/>
      <c r="D6" s="274"/>
      <c r="E6" s="275"/>
      <c r="F6" s="275"/>
      <c r="G6" s="275"/>
      <c r="H6" s="275"/>
      <c r="I6" s="276"/>
      <c r="J6" s="258">
        <f t="shared" si="0"/>
        <v>0</v>
      </c>
    </row>
    <row r="7" spans="1:10">
      <c r="A7" s="338"/>
      <c r="B7" s="272"/>
      <c r="C7" s="273"/>
      <c r="D7" s="274"/>
      <c r="E7" s="275"/>
      <c r="F7" s="275"/>
      <c r="G7" s="275"/>
      <c r="H7" s="275"/>
      <c r="I7" s="276"/>
      <c r="J7" s="258">
        <f t="shared" si="0"/>
        <v>0</v>
      </c>
    </row>
    <row r="8" spans="1:10">
      <c r="A8" s="338"/>
      <c r="B8" s="272"/>
      <c r="C8" s="273"/>
      <c r="D8" s="274"/>
      <c r="E8" s="275"/>
      <c r="F8" s="275"/>
      <c r="G8" s="275"/>
      <c r="H8" s="275"/>
      <c r="I8" s="276"/>
      <c r="J8" s="258">
        <f t="shared" si="0"/>
        <v>0</v>
      </c>
    </row>
    <row r="9" spans="1:10">
      <c r="A9" s="338"/>
      <c r="B9" s="272"/>
      <c r="C9" s="273"/>
      <c r="D9" s="274"/>
      <c r="E9" s="275"/>
      <c r="F9" s="275"/>
      <c r="G9" s="275"/>
      <c r="H9" s="275"/>
      <c r="I9" s="276"/>
      <c r="J9" s="258">
        <f t="shared" si="0"/>
        <v>0</v>
      </c>
    </row>
    <row r="10" spans="1:10">
      <c r="A10" s="338"/>
      <c r="B10" s="272"/>
      <c r="C10" s="273"/>
      <c r="D10" s="274"/>
      <c r="E10" s="275"/>
      <c r="F10" s="275"/>
      <c r="G10" s="275"/>
      <c r="H10" s="275"/>
      <c r="I10" s="276"/>
      <c r="J10" s="258">
        <f t="shared" si="0"/>
        <v>0</v>
      </c>
    </row>
    <row r="11" spans="1:10">
      <c r="A11" s="338"/>
      <c r="B11" s="272"/>
      <c r="C11" s="273"/>
      <c r="D11" s="274"/>
      <c r="E11" s="275"/>
      <c r="F11" s="275"/>
      <c r="G11" s="275"/>
      <c r="H11" s="275"/>
      <c r="I11" s="276"/>
      <c r="J11" s="258">
        <f t="shared" si="0"/>
        <v>0</v>
      </c>
    </row>
    <row r="12" spans="1:10">
      <c r="A12" s="338"/>
      <c r="B12" s="272"/>
      <c r="C12" s="273"/>
      <c r="D12" s="274"/>
      <c r="E12" s="275"/>
      <c r="F12" s="275"/>
      <c r="G12" s="275"/>
      <c r="H12" s="275" t="s">
        <v>82</v>
      </c>
      <c r="I12" s="276"/>
      <c r="J12" s="258">
        <f t="shared" si="0"/>
        <v>0</v>
      </c>
    </row>
    <row r="13" spans="1:10">
      <c r="A13" s="338"/>
      <c r="B13" s="272"/>
      <c r="C13" s="273"/>
      <c r="D13" s="274"/>
      <c r="E13" s="275"/>
      <c r="F13" s="275"/>
      <c r="G13" s="275"/>
      <c r="H13" s="275"/>
      <c r="I13" s="276"/>
      <c r="J13" s="258">
        <f t="shared" si="0"/>
        <v>0</v>
      </c>
    </row>
    <row r="14" spans="1:10">
      <c r="A14" s="338"/>
      <c r="B14" s="272"/>
      <c r="C14" s="273"/>
      <c r="D14" s="274"/>
      <c r="E14" s="275"/>
      <c r="F14" s="275"/>
      <c r="G14" s="275"/>
      <c r="H14" s="275"/>
      <c r="I14" s="276"/>
      <c r="J14" s="258">
        <f t="shared" si="0"/>
        <v>0</v>
      </c>
    </row>
    <row r="15" spans="1:10">
      <c r="A15" s="338"/>
      <c r="B15" s="272"/>
      <c r="C15" s="273"/>
      <c r="D15" s="274"/>
      <c r="E15" s="275"/>
      <c r="F15" s="275"/>
      <c r="G15" s="275"/>
      <c r="H15" s="275"/>
      <c r="I15" s="276"/>
      <c r="J15" s="258">
        <f t="shared" si="0"/>
        <v>0</v>
      </c>
    </row>
    <row r="16" spans="1:10">
      <c r="A16" s="338"/>
      <c r="B16" s="272"/>
      <c r="C16" s="273"/>
      <c r="D16" s="274"/>
      <c r="E16" s="275"/>
      <c r="F16" s="275"/>
      <c r="G16" s="275"/>
      <c r="H16" s="275"/>
      <c r="I16" s="276"/>
      <c r="J16" s="258">
        <f t="shared" si="0"/>
        <v>0</v>
      </c>
    </row>
    <row r="17" spans="1:10" ht="15.75" thickBot="1">
      <c r="A17" s="339"/>
      <c r="B17" s="277"/>
      <c r="C17" s="278"/>
      <c r="D17" s="279"/>
      <c r="E17" s="280"/>
      <c r="F17" s="280"/>
      <c r="G17" s="280"/>
      <c r="H17" s="280"/>
      <c r="I17" s="281"/>
      <c r="J17" s="259">
        <f t="shared" si="0"/>
        <v>0</v>
      </c>
    </row>
    <row r="18" spans="1:10" ht="15.75" thickBot="1">
      <c r="A18" s="260"/>
      <c r="B18" s="261"/>
      <c r="C18" s="262">
        <f>SUM(C3:C17)</f>
        <v>0</v>
      </c>
      <c r="D18" s="340">
        <f>SUM(D3:I17)</f>
        <v>0</v>
      </c>
      <c r="E18" s="341"/>
      <c r="F18" s="341"/>
      <c r="G18" s="341"/>
      <c r="H18" s="341"/>
      <c r="I18" s="342"/>
      <c r="J18" s="263">
        <f>SUM(J3:J17)</f>
        <v>0</v>
      </c>
    </row>
    <row r="19" spans="1:10">
      <c r="A19" s="337" t="s">
        <v>83</v>
      </c>
      <c r="B19" s="267"/>
      <c r="C19" s="268"/>
      <c r="D19" s="269"/>
      <c r="E19" s="270"/>
      <c r="F19" s="270"/>
      <c r="G19" s="270"/>
      <c r="H19" s="270"/>
      <c r="I19" s="271"/>
      <c r="J19" s="257">
        <f t="shared" ref="J19:J33" si="1">C19-(SUM(D19:I19))</f>
        <v>0</v>
      </c>
    </row>
    <row r="20" spans="1:10">
      <c r="A20" s="338"/>
      <c r="B20" s="272"/>
      <c r="C20" s="273"/>
      <c r="D20" s="274"/>
      <c r="E20" s="275"/>
      <c r="F20" s="275"/>
      <c r="G20" s="275"/>
      <c r="H20" s="275"/>
      <c r="I20" s="276"/>
      <c r="J20" s="258">
        <f t="shared" si="1"/>
        <v>0</v>
      </c>
    </row>
    <row r="21" spans="1:10">
      <c r="A21" s="338"/>
      <c r="B21" s="272"/>
      <c r="C21" s="273"/>
      <c r="D21" s="274"/>
      <c r="E21" s="275"/>
      <c r="F21" s="275"/>
      <c r="G21" s="275"/>
      <c r="H21" s="275"/>
      <c r="I21" s="276"/>
      <c r="J21" s="258">
        <f t="shared" si="1"/>
        <v>0</v>
      </c>
    </row>
    <row r="22" spans="1:10">
      <c r="A22" s="338"/>
      <c r="B22" s="272"/>
      <c r="C22" s="273"/>
      <c r="D22" s="274"/>
      <c r="E22" s="275"/>
      <c r="F22" s="275"/>
      <c r="G22" s="275"/>
      <c r="H22" s="275"/>
      <c r="I22" s="276"/>
      <c r="J22" s="258">
        <f t="shared" si="1"/>
        <v>0</v>
      </c>
    </row>
    <row r="23" spans="1:10">
      <c r="A23" s="338"/>
      <c r="B23" s="272"/>
      <c r="C23" s="273"/>
      <c r="D23" s="274"/>
      <c r="E23" s="275"/>
      <c r="F23" s="275"/>
      <c r="G23" s="275"/>
      <c r="H23" s="275"/>
      <c r="I23" s="276"/>
      <c r="J23" s="258">
        <f t="shared" si="1"/>
        <v>0</v>
      </c>
    </row>
    <row r="24" spans="1:10">
      <c r="A24" s="338"/>
      <c r="B24" s="272"/>
      <c r="C24" s="273"/>
      <c r="D24" s="274"/>
      <c r="E24" s="275"/>
      <c r="F24" s="275"/>
      <c r="G24" s="275"/>
      <c r="H24" s="275"/>
      <c r="I24" s="276"/>
      <c r="J24" s="258">
        <f t="shared" si="1"/>
        <v>0</v>
      </c>
    </row>
    <row r="25" spans="1:10">
      <c r="A25" s="338"/>
      <c r="B25" s="272"/>
      <c r="C25" s="273"/>
      <c r="D25" s="274"/>
      <c r="E25" s="275"/>
      <c r="F25" s="275"/>
      <c r="G25" s="275"/>
      <c r="H25" s="275"/>
      <c r="I25" s="276"/>
      <c r="J25" s="258">
        <f t="shared" si="1"/>
        <v>0</v>
      </c>
    </row>
    <row r="26" spans="1:10">
      <c r="A26" s="338"/>
      <c r="B26" s="272"/>
      <c r="C26" s="273"/>
      <c r="D26" s="274"/>
      <c r="E26" s="275"/>
      <c r="F26" s="275"/>
      <c r="G26" s="275"/>
      <c r="H26" s="275"/>
      <c r="I26" s="276"/>
      <c r="J26" s="258">
        <f t="shared" si="1"/>
        <v>0</v>
      </c>
    </row>
    <row r="27" spans="1:10">
      <c r="A27" s="338"/>
      <c r="B27" s="272"/>
      <c r="C27" s="273"/>
      <c r="D27" s="274"/>
      <c r="E27" s="275"/>
      <c r="F27" s="275"/>
      <c r="G27" s="275"/>
      <c r="H27" s="275"/>
      <c r="I27" s="276"/>
      <c r="J27" s="258">
        <f t="shared" si="1"/>
        <v>0</v>
      </c>
    </row>
    <row r="28" spans="1:10">
      <c r="A28" s="338"/>
      <c r="B28" s="272"/>
      <c r="C28" s="273"/>
      <c r="D28" s="274"/>
      <c r="E28" s="275"/>
      <c r="F28" s="275"/>
      <c r="G28" s="275"/>
      <c r="H28" s="275" t="s">
        <v>82</v>
      </c>
      <c r="I28" s="276"/>
      <c r="J28" s="258">
        <f t="shared" si="1"/>
        <v>0</v>
      </c>
    </row>
    <row r="29" spans="1:10">
      <c r="A29" s="338"/>
      <c r="B29" s="272"/>
      <c r="C29" s="273"/>
      <c r="D29" s="274"/>
      <c r="E29" s="275"/>
      <c r="F29" s="275"/>
      <c r="G29" s="275"/>
      <c r="H29" s="275"/>
      <c r="I29" s="276"/>
      <c r="J29" s="258">
        <f t="shared" si="1"/>
        <v>0</v>
      </c>
    </row>
    <row r="30" spans="1:10">
      <c r="A30" s="338"/>
      <c r="B30" s="272"/>
      <c r="C30" s="273"/>
      <c r="D30" s="274"/>
      <c r="E30" s="275"/>
      <c r="F30" s="275"/>
      <c r="G30" s="275"/>
      <c r="H30" s="275"/>
      <c r="I30" s="276"/>
      <c r="J30" s="258">
        <f t="shared" si="1"/>
        <v>0</v>
      </c>
    </row>
    <row r="31" spans="1:10">
      <c r="A31" s="338"/>
      <c r="B31" s="272"/>
      <c r="C31" s="273"/>
      <c r="D31" s="274"/>
      <c r="E31" s="275"/>
      <c r="F31" s="275"/>
      <c r="G31" s="275"/>
      <c r="H31" s="275"/>
      <c r="I31" s="276"/>
      <c r="J31" s="258">
        <f t="shared" si="1"/>
        <v>0</v>
      </c>
    </row>
    <row r="32" spans="1:10">
      <c r="A32" s="338"/>
      <c r="B32" s="272"/>
      <c r="C32" s="273"/>
      <c r="D32" s="274"/>
      <c r="E32" s="275"/>
      <c r="F32" s="275"/>
      <c r="G32" s="275"/>
      <c r="H32" s="275"/>
      <c r="I32" s="276"/>
      <c r="J32" s="258">
        <f t="shared" si="1"/>
        <v>0</v>
      </c>
    </row>
    <row r="33" spans="1:10" ht="15.75" thickBot="1">
      <c r="A33" s="339"/>
      <c r="B33" s="277"/>
      <c r="C33" s="278"/>
      <c r="D33" s="279"/>
      <c r="E33" s="280"/>
      <c r="F33" s="280"/>
      <c r="G33" s="280"/>
      <c r="H33" s="280"/>
      <c r="I33" s="281"/>
      <c r="J33" s="259">
        <f t="shared" si="1"/>
        <v>0</v>
      </c>
    </row>
    <row r="34" spans="1:10" ht="15.75" thickBot="1">
      <c r="A34" s="260"/>
      <c r="B34" s="261"/>
      <c r="C34" s="262">
        <f>SUM(C19:C33)</f>
        <v>0</v>
      </c>
      <c r="D34" s="340">
        <f>SUM(D19:I33)</f>
        <v>0</v>
      </c>
      <c r="E34" s="341"/>
      <c r="F34" s="341"/>
      <c r="G34" s="341"/>
      <c r="H34" s="341"/>
      <c r="I34" s="342"/>
      <c r="J34" s="263">
        <f>SUM(J19:J33)</f>
        <v>0</v>
      </c>
    </row>
    <row r="35" spans="1:10">
      <c r="A35" s="337"/>
      <c r="B35" s="267"/>
      <c r="C35" s="268"/>
      <c r="D35" s="269"/>
      <c r="E35" s="270"/>
      <c r="F35" s="270"/>
      <c r="G35" s="270"/>
      <c r="H35" s="270"/>
      <c r="I35" s="271"/>
      <c r="J35" s="257">
        <f t="shared" ref="J35:J49" si="2">C35-(SUM(D35:I35))</f>
        <v>0</v>
      </c>
    </row>
    <row r="36" spans="1:10">
      <c r="A36" s="338"/>
      <c r="B36" s="272"/>
      <c r="C36" s="273"/>
      <c r="D36" s="274"/>
      <c r="E36" s="275"/>
      <c r="F36" s="275"/>
      <c r="G36" s="275"/>
      <c r="H36" s="275"/>
      <c r="I36" s="276"/>
      <c r="J36" s="258">
        <f t="shared" si="2"/>
        <v>0</v>
      </c>
    </row>
    <row r="37" spans="1:10">
      <c r="A37" s="338"/>
      <c r="B37" s="272"/>
      <c r="C37" s="273"/>
      <c r="D37" s="274"/>
      <c r="E37" s="275"/>
      <c r="F37" s="275"/>
      <c r="G37" s="275"/>
      <c r="H37" s="275"/>
      <c r="I37" s="276"/>
      <c r="J37" s="258">
        <f t="shared" si="2"/>
        <v>0</v>
      </c>
    </row>
    <row r="38" spans="1:10">
      <c r="A38" s="338"/>
      <c r="B38" s="272"/>
      <c r="C38" s="273"/>
      <c r="D38" s="274"/>
      <c r="E38" s="275"/>
      <c r="F38" s="275"/>
      <c r="G38" s="275"/>
      <c r="H38" s="275"/>
      <c r="I38" s="276"/>
      <c r="J38" s="258">
        <f t="shared" si="2"/>
        <v>0</v>
      </c>
    </row>
    <row r="39" spans="1:10">
      <c r="A39" s="338"/>
      <c r="B39" s="272"/>
      <c r="C39" s="273"/>
      <c r="D39" s="274"/>
      <c r="E39" s="275"/>
      <c r="F39" s="275"/>
      <c r="G39" s="275"/>
      <c r="H39" s="275"/>
      <c r="I39" s="276"/>
      <c r="J39" s="258">
        <f t="shared" si="2"/>
        <v>0</v>
      </c>
    </row>
    <row r="40" spans="1:10">
      <c r="A40" s="338"/>
      <c r="B40" s="272"/>
      <c r="C40" s="273"/>
      <c r="D40" s="274"/>
      <c r="E40" s="275"/>
      <c r="F40" s="275"/>
      <c r="G40" s="275"/>
      <c r="H40" s="275"/>
      <c r="I40" s="276"/>
      <c r="J40" s="258">
        <f t="shared" si="2"/>
        <v>0</v>
      </c>
    </row>
    <row r="41" spans="1:10">
      <c r="A41" s="338"/>
      <c r="B41" s="272"/>
      <c r="C41" s="273"/>
      <c r="D41" s="274"/>
      <c r="E41" s="275"/>
      <c r="F41" s="275"/>
      <c r="G41" s="275"/>
      <c r="H41" s="275"/>
      <c r="I41" s="276"/>
      <c r="J41" s="258">
        <f t="shared" si="2"/>
        <v>0</v>
      </c>
    </row>
    <row r="42" spans="1:10">
      <c r="A42" s="338"/>
      <c r="B42" s="272"/>
      <c r="C42" s="273"/>
      <c r="D42" s="274"/>
      <c r="E42" s="275"/>
      <c r="F42" s="275"/>
      <c r="G42" s="275"/>
      <c r="H42" s="275"/>
      <c r="I42" s="276"/>
      <c r="J42" s="258">
        <f t="shared" si="2"/>
        <v>0</v>
      </c>
    </row>
    <row r="43" spans="1:10">
      <c r="A43" s="338"/>
      <c r="B43" s="272"/>
      <c r="C43" s="273"/>
      <c r="D43" s="274"/>
      <c r="E43" s="275"/>
      <c r="F43" s="275"/>
      <c r="G43" s="275"/>
      <c r="H43" s="275"/>
      <c r="I43" s="276"/>
      <c r="J43" s="258">
        <f t="shared" si="2"/>
        <v>0</v>
      </c>
    </row>
    <row r="44" spans="1:10">
      <c r="A44" s="338"/>
      <c r="B44" s="272"/>
      <c r="C44" s="273"/>
      <c r="D44" s="274"/>
      <c r="E44" s="275"/>
      <c r="F44" s="275"/>
      <c r="G44" s="275"/>
      <c r="H44" s="275" t="s">
        <v>82</v>
      </c>
      <c r="I44" s="276"/>
      <c r="J44" s="258">
        <f t="shared" si="2"/>
        <v>0</v>
      </c>
    </row>
    <row r="45" spans="1:10">
      <c r="A45" s="338"/>
      <c r="B45" s="272"/>
      <c r="C45" s="273"/>
      <c r="D45" s="274"/>
      <c r="E45" s="275"/>
      <c r="F45" s="275"/>
      <c r="G45" s="275"/>
      <c r="H45" s="275"/>
      <c r="I45" s="276"/>
      <c r="J45" s="258">
        <f t="shared" si="2"/>
        <v>0</v>
      </c>
    </row>
    <row r="46" spans="1:10">
      <c r="A46" s="338"/>
      <c r="B46" s="272"/>
      <c r="C46" s="273"/>
      <c r="D46" s="274"/>
      <c r="E46" s="275"/>
      <c r="F46" s="275"/>
      <c r="G46" s="275"/>
      <c r="H46" s="275"/>
      <c r="I46" s="276"/>
      <c r="J46" s="258">
        <f t="shared" si="2"/>
        <v>0</v>
      </c>
    </row>
    <row r="47" spans="1:10">
      <c r="A47" s="338"/>
      <c r="B47" s="272"/>
      <c r="C47" s="273"/>
      <c r="D47" s="274"/>
      <c r="E47" s="275"/>
      <c r="F47" s="275"/>
      <c r="G47" s="275"/>
      <c r="H47" s="275"/>
      <c r="I47" s="276"/>
      <c r="J47" s="258">
        <f t="shared" si="2"/>
        <v>0</v>
      </c>
    </row>
    <row r="48" spans="1:10">
      <c r="A48" s="338"/>
      <c r="B48" s="272"/>
      <c r="C48" s="273"/>
      <c r="D48" s="274"/>
      <c r="E48" s="275"/>
      <c r="F48" s="275"/>
      <c r="G48" s="275"/>
      <c r="H48" s="275"/>
      <c r="I48" s="276"/>
      <c r="J48" s="258">
        <f t="shared" si="2"/>
        <v>0</v>
      </c>
    </row>
    <row r="49" spans="1:10" ht="15.75" thickBot="1">
      <c r="A49" s="339"/>
      <c r="B49" s="277"/>
      <c r="C49" s="278"/>
      <c r="D49" s="279"/>
      <c r="E49" s="280"/>
      <c r="F49" s="280"/>
      <c r="G49" s="280"/>
      <c r="H49" s="280"/>
      <c r="I49" s="281"/>
      <c r="J49" s="259">
        <f t="shared" si="2"/>
        <v>0</v>
      </c>
    </row>
    <row r="50" spans="1:10" ht="15.75" thickBot="1">
      <c r="A50" s="260"/>
      <c r="B50" s="261"/>
      <c r="C50" s="262">
        <f>SUM(C35:C49)</f>
        <v>0</v>
      </c>
      <c r="D50" s="340">
        <f>SUM(D35:I49)</f>
        <v>0</v>
      </c>
      <c r="E50" s="341"/>
      <c r="F50" s="341"/>
      <c r="G50" s="341"/>
      <c r="H50" s="341"/>
      <c r="I50" s="342"/>
      <c r="J50" s="263">
        <f>SUM(J35:J49)</f>
        <v>0</v>
      </c>
    </row>
    <row r="51" spans="1:10">
      <c r="A51" s="337"/>
      <c r="B51" s="267"/>
      <c r="C51" s="268"/>
      <c r="D51" s="269"/>
      <c r="E51" s="270"/>
      <c r="F51" s="270"/>
      <c r="G51" s="270"/>
      <c r="H51" s="270"/>
      <c r="I51" s="271"/>
      <c r="J51" s="257">
        <f t="shared" ref="J51:J65" si="3">C51-(SUM(D51:I51))</f>
        <v>0</v>
      </c>
    </row>
    <row r="52" spans="1:10">
      <c r="A52" s="338"/>
      <c r="B52" s="272"/>
      <c r="C52" s="273"/>
      <c r="D52" s="274"/>
      <c r="E52" s="275"/>
      <c r="F52" s="275"/>
      <c r="G52" s="275"/>
      <c r="H52" s="275"/>
      <c r="I52" s="276"/>
      <c r="J52" s="258">
        <f t="shared" si="3"/>
        <v>0</v>
      </c>
    </row>
    <row r="53" spans="1:10">
      <c r="A53" s="338"/>
      <c r="B53" s="272"/>
      <c r="C53" s="273"/>
      <c r="D53" s="274"/>
      <c r="E53" s="275"/>
      <c r="F53" s="275"/>
      <c r="G53" s="275"/>
      <c r="H53" s="275"/>
      <c r="I53" s="276"/>
      <c r="J53" s="258">
        <f t="shared" si="3"/>
        <v>0</v>
      </c>
    </row>
    <row r="54" spans="1:10">
      <c r="A54" s="338"/>
      <c r="B54" s="272"/>
      <c r="C54" s="273"/>
      <c r="D54" s="274"/>
      <c r="E54" s="275"/>
      <c r="F54" s="275"/>
      <c r="G54" s="275"/>
      <c r="H54" s="275"/>
      <c r="I54" s="276"/>
      <c r="J54" s="258">
        <f t="shared" si="3"/>
        <v>0</v>
      </c>
    </row>
    <row r="55" spans="1:10">
      <c r="A55" s="338"/>
      <c r="B55" s="272"/>
      <c r="C55" s="273"/>
      <c r="D55" s="274"/>
      <c r="E55" s="275"/>
      <c r="F55" s="275"/>
      <c r="G55" s="275"/>
      <c r="H55" s="275"/>
      <c r="I55" s="276"/>
      <c r="J55" s="258">
        <f t="shared" si="3"/>
        <v>0</v>
      </c>
    </row>
    <row r="56" spans="1:10">
      <c r="A56" s="338"/>
      <c r="B56" s="272"/>
      <c r="C56" s="273"/>
      <c r="D56" s="274"/>
      <c r="E56" s="275"/>
      <c r="F56" s="275"/>
      <c r="G56" s="275"/>
      <c r="H56" s="275"/>
      <c r="I56" s="276"/>
      <c r="J56" s="258">
        <f t="shared" si="3"/>
        <v>0</v>
      </c>
    </row>
    <row r="57" spans="1:10">
      <c r="A57" s="338"/>
      <c r="B57" s="272"/>
      <c r="C57" s="273"/>
      <c r="D57" s="274"/>
      <c r="E57" s="275"/>
      <c r="F57" s="275"/>
      <c r="G57" s="275"/>
      <c r="H57" s="275"/>
      <c r="I57" s="276"/>
      <c r="J57" s="258">
        <f t="shared" si="3"/>
        <v>0</v>
      </c>
    </row>
    <row r="58" spans="1:10">
      <c r="A58" s="338"/>
      <c r="B58" s="272"/>
      <c r="C58" s="273"/>
      <c r="D58" s="274"/>
      <c r="E58" s="275"/>
      <c r="F58" s="275"/>
      <c r="G58" s="275"/>
      <c r="H58" s="275"/>
      <c r="I58" s="276"/>
      <c r="J58" s="258">
        <f t="shared" si="3"/>
        <v>0</v>
      </c>
    </row>
    <row r="59" spans="1:10">
      <c r="A59" s="338"/>
      <c r="B59" s="272"/>
      <c r="C59" s="273"/>
      <c r="D59" s="274"/>
      <c r="E59" s="275"/>
      <c r="F59" s="275"/>
      <c r="G59" s="275"/>
      <c r="H59" s="275"/>
      <c r="I59" s="276"/>
      <c r="J59" s="258">
        <f t="shared" si="3"/>
        <v>0</v>
      </c>
    </row>
    <row r="60" spans="1:10">
      <c r="A60" s="338"/>
      <c r="B60" s="272"/>
      <c r="C60" s="273"/>
      <c r="D60" s="274"/>
      <c r="E60" s="275"/>
      <c r="F60" s="275"/>
      <c r="G60" s="275"/>
      <c r="H60" s="275" t="s">
        <v>82</v>
      </c>
      <c r="I60" s="276"/>
      <c r="J60" s="258">
        <f t="shared" si="3"/>
        <v>0</v>
      </c>
    </row>
    <row r="61" spans="1:10">
      <c r="A61" s="338"/>
      <c r="B61" s="272"/>
      <c r="C61" s="273"/>
      <c r="D61" s="274"/>
      <c r="E61" s="275"/>
      <c r="F61" s="275"/>
      <c r="G61" s="275"/>
      <c r="H61" s="275"/>
      <c r="I61" s="276"/>
      <c r="J61" s="258">
        <f t="shared" si="3"/>
        <v>0</v>
      </c>
    </row>
    <row r="62" spans="1:10">
      <c r="A62" s="338"/>
      <c r="B62" s="272"/>
      <c r="C62" s="273"/>
      <c r="D62" s="274"/>
      <c r="E62" s="275"/>
      <c r="F62" s="275"/>
      <c r="G62" s="275"/>
      <c r="H62" s="275"/>
      <c r="I62" s="276"/>
      <c r="J62" s="258">
        <f t="shared" si="3"/>
        <v>0</v>
      </c>
    </row>
    <row r="63" spans="1:10">
      <c r="A63" s="338"/>
      <c r="B63" s="272"/>
      <c r="C63" s="273"/>
      <c r="D63" s="274"/>
      <c r="E63" s="275"/>
      <c r="F63" s="275"/>
      <c r="G63" s="275"/>
      <c r="H63" s="275"/>
      <c r="I63" s="276"/>
      <c r="J63" s="258">
        <f t="shared" si="3"/>
        <v>0</v>
      </c>
    </row>
    <row r="64" spans="1:10">
      <c r="A64" s="338"/>
      <c r="B64" s="272"/>
      <c r="C64" s="273"/>
      <c r="D64" s="274"/>
      <c r="E64" s="275"/>
      <c r="F64" s="275"/>
      <c r="G64" s="275"/>
      <c r="H64" s="275"/>
      <c r="I64" s="276"/>
      <c r="J64" s="258">
        <f t="shared" si="3"/>
        <v>0</v>
      </c>
    </row>
    <row r="65" spans="1:10" ht="15.75" thickBot="1">
      <c r="A65" s="339"/>
      <c r="B65" s="277"/>
      <c r="C65" s="278"/>
      <c r="D65" s="279"/>
      <c r="E65" s="280"/>
      <c r="F65" s="280"/>
      <c r="G65" s="280"/>
      <c r="H65" s="280"/>
      <c r="I65" s="281"/>
      <c r="J65" s="259">
        <f t="shared" si="3"/>
        <v>0</v>
      </c>
    </row>
    <row r="66" spans="1:10" ht="15.75" thickBot="1">
      <c r="A66" s="260"/>
      <c r="B66" s="261"/>
      <c r="C66" s="262">
        <f>SUM(C51:C65)</f>
        <v>0</v>
      </c>
      <c r="D66" s="340">
        <f>SUM(D51:I65)</f>
        <v>0</v>
      </c>
      <c r="E66" s="341"/>
      <c r="F66" s="341"/>
      <c r="G66" s="341"/>
      <c r="H66" s="341"/>
      <c r="I66" s="342"/>
      <c r="J66" s="263">
        <f>SUM(J51:J65)</f>
        <v>0</v>
      </c>
    </row>
  </sheetData>
  <mergeCells count="10">
    <mergeCell ref="A35:A49"/>
    <mergeCell ref="D50:I50"/>
    <mergeCell ref="A51:A65"/>
    <mergeCell ref="D66:I66"/>
    <mergeCell ref="I1:J1"/>
    <mergeCell ref="D2:I2"/>
    <mergeCell ref="A3:A17"/>
    <mergeCell ref="D18:I18"/>
    <mergeCell ref="A19:A33"/>
    <mergeCell ref="D34:I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0970-4A1B-4727-B561-25286E9BB14B}">
  <dimension ref="B1:F58"/>
  <sheetViews>
    <sheetView workbookViewId="0">
      <selection activeCell="D2" sqref="B2:F2"/>
    </sheetView>
  </sheetViews>
  <sheetFormatPr defaultRowHeight="15"/>
  <cols>
    <col min="1" max="1" width="4.140625" customWidth="1"/>
    <col min="2" max="2" width="7.5703125" customWidth="1"/>
    <col min="3" max="3" width="14.28515625" customWidth="1"/>
    <col min="4" max="4" width="14" customWidth="1"/>
    <col min="5" max="5" width="8.5703125" customWidth="1"/>
    <col min="6" max="6" width="16.28515625" customWidth="1"/>
  </cols>
  <sheetData>
    <row r="1" spans="2:6">
      <c r="B1" s="356" t="s">
        <v>84</v>
      </c>
      <c r="C1" s="357"/>
      <c r="D1" s="174">
        <v>18</v>
      </c>
      <c r="E1" s="292"/>
      <c r="F1" s="293"/>
    </row>
    <row r="2" spans="2:6" ht="18.75">
      <c r="B2" s="348" t="e" cm="1">
        <f t="array" aca="1" ref="B2" ca="1">DATEVALUE($D$1&amp;"-"&amp;INDIRECT($D$1&amp;"!G1")&amp;"-"&amp;INDIRECT($D$1&amp;"!H1"))</f>
        <v>#VALUE!</v>
      </c>
      <c r="C2" s="349"/>
      <c r="D2" s="349"/>
      <c r="E2" s="349"/>
      <c r="F2" s="350"/>
    </row>
    <row r="3" spans="2:6">
      <c r="B3" s="178" t="s">
        <v>20</v>
      </c>
      <c r="C3" s="179" cm="1">
        <f t="array" aca="1" ref="C3" ca="1">INDIRECT($D$1&amp;"!M3")</f>
        <v>9550</v>
      </c>
      <c r="D3" s="351"/>
      <c r="E3" s="351" t="s">
        <v>85</v>
      </c>
      <c r="F3" s="354"/>
    </row>
    <row r="4" spans="2:6">
      <c r="B4" s="180" t="s">
        <v>21</v>
      </c>
      <c r="C4" s="181" cm="1">
        <f t="array" aca="1" ref="C4" ca="1">INDIRECT($D$1&amp;"!M4")</f>
        <v>2850</v>
      </c>
      <c r="D4" s="352"/>
      <c r="E4" s="302" t="s">
        <v>0</v>
      </c>
      <c r="F4" s="182" cm="1">
        <f t="array" aca="1" ref="F4" ca="1">INDIRECT($D$1&amp;"!O14")</f>
        <v>5188050</v>
      </c>
    </row>
    <row r="5" spans="2:6">
      <c r="B5" s="180"/>
      <c r="C5" s="183">
        <f ca="1">C3+C4</f>
        <v>12400</v>
      </c>
      <c r="D5" s="352"/>
      <c r="E5" s="302" t="s">
        <v>86</v>
      </c>
      <c r="F5" s="182" cm="1">
        <f t="array" aca="1" ref="F5" ca="1">INDIRECT($D$1&amp;"!O15")</f>
        <v>4823029</v>
      </c>
    </row>
    <row r="6" spans="2:6">
      <c r="B6" s="180" t="s">
        <v>8</v>
      </c>
      <c r="C6" s="181" cm="1">
        <f t="array" aca="1" ref="C6" ca="1">INDIRECT($D$1&amp;"!M6")</f>
        <v>33700</v>
      </c>
      <c r="D6" s="352"/>
      <c r="E6" s="302" t="s">
        <v>87</v>
      </c>
      <c r="F6" s="182" cm="1">
        <f t="array" aca="1" ref="F6" ca="1">INDIRECT($D$1&amp;"!O16")</f>
        <v>365021</v>
      </c>
    </row>
    <row r="7" spans="2:6">
      <c r="B7" s="180" t="s">
        <v>9</v>
      </c>
      <c r="C7" s="181" cm="1">
        <f t="array" aca="1" ref="C7" ca="1">INDIRECT($D$1&amp;"!M7")</f>
        <v>1100</v>
      </c>
      <c r="D7" s="352"/>
      <c r="E7" s="302"/>
      <c r="F7" s="303"/>
    </row>
    <row r="8" spans="2:6">
      <c r="B8" s="180"/>
      <c r="C8" s="302"/>
      <c r="D8" s="352"/>
      <c r="E8" s="302"/>
      <c r="F8" s="303"/>
    </row>
    <row r="9" spans="2:6">
      <c r="B9" s="355" t="s">
        <v>88</v>
      </c>
      <c r="C9" s="352"/>
      <c r="D9" s="352"/>
      <c r="E9" s="184"/>
      <c r="F9" s="185"/>
    </row>
    <row r="10" spans="2:6">
      <c r="B10" s="180" t="s">
        <v>7</v>
      </c>
      <c r="C10" s="181" cm="1">
        <f t="array" aca="1" ref="C10" ca="1">INDIRECT($D$1&amp;"!L5")</f>
        <v>0</v>
      </c>
      <c r="D10" s="352"/>
      <c r="E10" s="184" t="s">
        <v>89</v>
      </c>
      <c r="F10" s="208"/>
    </row>
    <row r="11" spans="2:6">
      <c r="B11" s="180" t="s">
        <v>8</v>
      </c>
      <c r="C11" s="181" cm="1">
        <f t="array" aca="1" ref="C11" ca="1">INDIRECT($D$1&amp;"!L6")</f>
        <v>0</v>
      </c>
      <c r="D11" s="352"/>
      <c r="E11" s="302"/>
      <c r="F11" s="185"/>
    </row>
    <row r="12" spans="2:6">
      <c r="B12" s="180" t="s">
        <v>9</v>
      </c>
      <c r="C12" s="181" cm="1">
        <f t="array" aca="1" ref="C12" ca="1">INDIRECT($D$1&amp;"!L7")</f>
        <v>0</v>
      </c>
      <c r="D12" s="352"/>
      <c r="E12" s="302"/>
      <c r="F12" s="185"/>
    </row>
    <row r="13" spans="2:6">
      <c r="B13" s="180"/>
      <c r="C13" s="186"/>
      <c r="D13" s="353"/>
      <c r="E13" s="302"/>
      <c r="F13" s="303"/>
    </row>
    <row r="14" spans="2:6">
      <c r="B14" s="361" t="s">
        <v>7</v>
      </c>
      <c r="C14" s="362"/>
      <c r="D14" s="363"/>
      <c r="E14" s="362" t="s">
        <v>8</v>
      </c>
      <c r="F14" s="364"/>
    </row>
    <row r="15" spans="2:6">
      <c r="B15" s="180">
        <v>1</v>
      </c>
      <c r="C15" s="187" cm="1">
        <f t="array" aca="1" ref="C15" ca="1">INDIRECT($D$1&amp;"!C3")</f>
        <v>963527</v>
      </c>
      <c r="D15" s="352"/>
      <c r="E15" s="302">
        <v>1</v>
      </c>
      <c r="F15" s="188" cm="1">
        <f t="array" aca="1" ref="F15" ca="1">INDIRECT($D$1&amp;"!C12")</f>
        <v>308125</v>
      </c>
    </row>
    <row r="16" spans="2:6">
      <c r="B16" s="180">
        <v>2</v>
      </c>
      <c r="C16" s="187" cm="1">
        <f t="array" aca="1" ref="C16" ca="1">INDIRECT($D$1&amp;"!C4")</f>
        <v>914073</v>
      </c>
      <c r="D16" s="352"/>
      <c r="E16" s="302">
        <v>2</v>
      </c>
      <c r="F16" s="188" cm="1">
        <f t="array" aca="1" ref="F16" ca="1">INDIRECT($D$1&amp;"!C13")</f>
        <v>259811</v>
      </c>
    </row>
    <row r="17" spans="2:6">
      <c r="B17" s="180">
        <v>3</v>
      </c>
      <c r="C17" s="187" cm="1">
        <f t="array" aca="1" ref="C17" ca="1">INDIRECT($D$1&amp;"!C5")</f>
        <v>1384083</v>
      </c>
      <c r="D17" s="352"/>
      <c r="E17" s="302"/>
      <c r="F17" s="188"/>
    </row>
    <row r="18" spans="2:6">
      <c r="B18" s="180">
        <v>4</v>
      </c>
      <c r="C18" s="187" cm="1">
        <f t="array" aca="1" ref="C18" ca="1">INDIRECT($D$1&amp;"!C6")</f>
        <v>1152973</v>
      </c>
      <c r="D18" s="352"/>
      <c r="E18" s="302"/>
      <c r="F18" s="188"/>
    </row>
    <row r="19" spans="2:6">
      <c r="B19" s="180">
        <v>5</v>
      </c>
      <c r="C19" s="187" cm="1">
        <f t="array" aca="1" ref="C19" ca="1">INDIRECT($D$1&amp;"!C7")</f>
        <v>1215271</v>
      </c>
      <c r="D19" s="352"/>
      <c r="E19" s="365" t="s">
        <v>90</v>
      </c>
      <c r="F19" s="366"/>
    </row>
    <row r="20" spans="2:6">
      <c r="B20" s="180">
        <v>6</v>
      </c>
      <c r="C20" s="187" cm="1">
        <f t="array" aca="1" ref="C20" ca="1">INDIRECT($D$1&amp;"!C8")</f>
        <v>1044332</v>
      </c>
      <c r="D20" s="352"/>
      <c r="E20" s="302">
        <v>1</v>
      </c>
      <c r="F20" s="188" cm="1">
        <f t="array" aca="1" ref="F20" ca="1">INDIRECT($D$1&amp;"!C15")</f>
        <v>70080</v>
      </c>
    </row>
    <row r="21" spans="2:6">
      <c r="B21" s="180">
        <v>7</v>
      </c>
      <c r="C21" s="187" cm="1">
        <f t="array" aca="1" ref="C21" ca="1">INDIRECT($D$1&amp;"!C9")</f>
        <v>1012690</v>
      </c>
      <c r="D21" s="352"/>
      <c r="E21" s="302">
        <v>2</v>
      </c>
      <c r="F21" s="188" cm="1">
        <f t="array" aca="1" ref="F21" ca="1">INDIRECT($D$1&amp;"!C16")</f>
        <v>98301</v>
      </c>
    </row>
    <row r="22" spans="2:6">
      <c r="B22" s="180">
        <v>8</v>
      </c>
      <c r="C22" s="187" cm="1">
        <f t="array" aca="1" ref="C22" ca="1">INDIRECT($D$1&amp;"!C10")</f>
        <v>1171049</v>
      </c>
      <c r="D22" s="352"/>
      <c r="E22" s="302"/>
      <c r="F22" s="303"/>
    </row>
    <row r="23" spans="2:6">
      <c r="B23" s="180"/>
      <c r="C23" s="302"/>
      <c r="D23" s="353"/>
      <c r="E23" s="302"/>
      <c r="F23" s="303"/>
    </row>
    <row r="24" spans="2:6">
      <c r="B24" s="189" t="s">
        <v>91</v>
      </c>
      <c r="C24" s="190"/>
      <c r="D24" s="190"/>
      <c r="E24" s="190"/>
      <c r="F24" s="191"/>
    </row>
    <row r="25" spans="2:6">
      <c r="B25" s="192" t="s">
        <v>92</v>
      </c>
      <c r="C25" s="193" t="str" cm="1">
        <f t="array" aca="1" ref="C25" ca="1">INDIRECT($D$1&amp;"!D11") &amp; " " &amp; " -"&amp;" " &amp; INDIRECT($D$1&amp;"!E11") &amp;" " &amp; " = "&amp;  (INDIRECT($D$1&amp;"!D11"))-(INDIRECT($D$1&amp;"!E11"))</f>
        <v>3763  - 0  = 3763</v>
      </c>
      <c r="D25" s="193"/>
      <c r="E25" s="193"/>
      <c r="F25" s="194"/>
    </row>
    <row r="26" spans="2:6">
      <c r="B26" s="192" t="s">
        <v>93</v>
      </c>
      <c r="C26" s="193" t="str" cm="1">
        <f t="array" aca="1" ref="C26" ca="1">INDIRECT($D$1&amp;"!D14") &amp;" -"&amp;" " &amp; INDIRECT($D$1&amp;"!E14")&amp;" " &amp;" = "&amp;  (INDIRECT($D$1&amp;"!D14"))-(INDIRECT($D$1&amp;"!E14"))</f>
        <v>325 - 35  = 290</v>
      </c>
      <c r="D26" s="193"/>
      <c r="E26" s="193"/>
      <c r="F26" s="194"/>
    </row>
    <row r="27" spans="2:6">
      <c r="B27" s="195" t="s">
        <v>94</v>
      </c>
      <c r="C27" s="196" t="str" cm="1">
        <f t="array" aca="1" ref="C27" ca="1">INDIRECT($D$1&amp;"!D17")&amp;""&amp;" -"&amp;" " &amp; INDIRECT($D$1&amp;"!E17")&amp;" = "&amp;  (INDIRECT($D$1&amp;"!D17"))-(INDIRECT($D$1&amp;"!E17"))</f>
        <v>0 - 0 = 0</v>
      </c>
      <c r="D27" s="196"/>
      <c r="E27" s="196"/>
      <c r="F27" s="197"/>
    </row>
    <row r="28" spans="2:6">
      <c r="B28" s="198"/>
      <c r="C28" s="199"/>
      <c r="D28" s="199"/>
      <c r="E28" s="199"/>
      <c r="F28" s="200"/>
    </row>
    <row r="29" spans="2:6">
      <c r="B29" s="361" t="s">
        <v>7</v>
      </c>
      <c r="C29" s="362"/>
      <c r="D29" s="363"/>
      <c r="E29" s="362" t="s">
        <v>8</v>
      </c>
      <c r="F29" s="364"/>
    </row>
    <row r="30" spans="2:6">
      <c r="B30" s="180">
        <v>1</v>
      </c>
      <c r="C30" s="187" cm="1">
        <f t="array" aca="1" ref="C30" ca="1">INDIRECT($D$1&amp;"!C18")</f>
        <v>963527</v>
      </c>
      <c r="D30" s="352"/>
      <c r="E30" s="302">
        <v>1</v>
      </c>
      <c r="F30" s="188" cm="1">
        <f t="array" aca="1" ref="F30" ca="1">INDIRECT($D$1&amp;"!C27")</f>
        <v>308125</v>
      </c>
    </row>
    <row r="31" spans="2:6">
      <c r="B31" s="180">
        <v>2</v>
      </c>
      <c r="C31" s="187" cm="1">
        <f t="array" aca="1" ref="C31" ca="1">INDIRECT($D$1&amp;"!C19")</f>
        <v>914073</v>
      </c>
      <c r="D31" s="352"/>
      <c r="E31" s="302">
        <v>2</v>
      </c>
      <c r="F31" s="188" cm="1">
        <f t="array" aca="1" ref="F31" ca="1">INDIRECT($D$1&amp;"!C28")</f>
        <v>259811</v>
      </c>
    </row>
    <row r="32" spans="2:6">
      <c r="B32" s="180">
        <v>3</v>
      </c>
      <c r="C32" s="187" cm="1">
        <f t="array" aca="1" ref="C32" ca="1">INDIRECT($D$1&amp;"!C20")</f>
        <v>1384083</v>
      </c>
      <c r="D32" s="352"/>
      <c r="E32" s="302"/>
      <c r="F32" s="188"/>
    </row>
    <row r="33" spans="2:6">
      <c r="B33" s="180">
        <v>4</v>
      </c>
      <c r="C33" s="187" cm="1">
        <f t="array" aca="1" ref="C33" ca="1">INDIRECT($D$1&amp;"!C21")</f>
        <v>1152973</v>
      </c>
      <c r="D33" s="352"/>
      <c r="E33" s="302"/>
      <c r="F33" s="188"/>
    </row>
    <row r="34" spans="2:6">
      <c r="B34" s="180">
        <v>5</v>
      </c>
      <c r="C34" s="187" cm="1">
        <f t="array" aca="1" ref="C34" ca="1">INDIRECT($D$1&amp;"!C22")</f>
        <v>1215271</v>
      </c>
      <c r="D34" s="352"/>
      <c r="E34" s="365" t="s">
        <v>90</v>
      </c>
      <c r="F34" s="366"/>
    </row>
    <row r="35" spans="2:6">
      <c r="B35" s="180">
        <v>6</v>
      </c>
      <c r="C35" s="187" cm="1">
        <f t="array" aca="1" ref="C35" ca="1">INDIRECT($D$1&amp;"!C23")</f>
        <v>1044332</v>
      </c>
      <c r="D35" s="352"/>
      <c r="E35" s="302">
        <v>1</v>
      </c>
      <c r="F35" s="188" cm="1">
        <f t="array" aca="1" ref="F35" ca="1">INDIRECT($D$1&amp;"!C30")</f>
        <v>70080</v>
      </c>
    </row>
    <row r="36" spans="2:6">
      <c r="B36" s="180">
        <v>7</v>
      </c>
      <c r="C36" s="187" cm="1">
        <f t="array" aca="1" ref="C36" ca="1">INDIRECT($D$1&amp;"!C24")</f>
        <v>1012690</v>
      </c>
      <c r="D36" s="352"/>
      <c r="E36" s="302">
        <v>2</v>
      </c>
      <c r="F36" s="188" cm="1">
        <f t="array" aca="1" ref="F36" ca="1">INDIRECT($D$1&amp;"!C31")</f>
        <v>98301</v>
      </c>
    </row>
    <row r="37" spans="2:6">
      <c r="B37" s="180">
        <v>8</v>
      </c>
      <c r="C37" s="187" cm="1">
        <f t="array" aca="1" ref="C37" ca="1">INDIRECT($D$1&amp;"!C25")</f>
        <v>1171049</v>
      </c>
      <c r="D37" s="352"/>
      <c r="E37" s="302"/>
      <c r="F37" s="303"/>
    </row>
    <row r="38" spans="2:6">
      <c r="B38" s="180"/>
      <c r="C38" s="302"/>
      <c r="D38" s="353"/>
      <c r="E38" s="302"/>
      <c r="F38" s="303"/>
    </row>
    <row r="39" spans="2:6">
      <c r="B39" s="358" t="s">
        <v>95</v>
      </c>
      <c r="C39" s="359"/>
      <c r="D39" s="359"/>
      <c r="E39" s="360"/>
      <c r="F39" s="201"/>
    </row>
    <row r="40" spans="2:6">
      <c r="B40" s="192" t="s">
        <v>92</v>
      </c>
      <c r="C40" s="193" t="str" cm="1">
        <f t="array" aca="1" ref="C40" ca="1">INDIRECT($D$1&amp;"!D26")&amp;" "&amp;" -"&amp;" " &amp; INDIRECT($D$1&amp;"!E26") &amp;" = "&amp;  (INDIRECT($D$1&amp;"!D26"))-(INDIRECT($D$1&amp;"!E26"))</f>
        <v>0  - 0 = 0</v>
      </c>
      <c r="D40" s="193"/>
      <c r="E40" s="193"/>
      <c r="F40" s="194"/>
    </row>
    <row r="41" spans="2:6">
      <c r="B41" s="192" t="s">
        <v>93</v>
      </c>
      <c r="C41" s="193" t="str" cm="1">
        <f t="array" aca="1" ref="C41" ca="1">INDIRECT($D$1&amp;"!D29")&amp;" -"&amp;" " &amp; INDIRECT($D$1&amp;"!E29")&amp;" = "&amp;  (INDIRECT($D$1&amp;"!D29"))-(INDIRECT($D$1&amp;"!E29"))</f>
        <v>0 - 0 = 0</v>
      </c>
      <c r="D41" s="193"/>
      <c r="E41" s="193"/>
      <c r="F41" s="194"/>
    </row>
    <row r="42" spans="2:6">
      <c r="B42" s="202" t="s">
        <v>94</v>
      </c>
      <c r="C42" s="203" t="str" cm="1">
        <f t="array" aca="1" ref="C42" ca="1">INDIRECT($D$1&amp;"!D32")&amp;" -"&amp;" " &amp; INDIRECT($D$1&amp;"!E32")&amp;" = "&amp;  (INDIRECT($D$1&amp;"!D32"))-(INDIRECT($D$1&amp;"!E32"))</f>
        <v>0 - 0 = 0</v>
      </c>
      <c r="D42" s="203"/>
      <c r="E42" s="203"/>
      <c r="F42" s="204"/>
    </row>
    <row r="43" spans="2:6">
      <c r="B43" s="198"/>
      <c r="C43" s="199"/>
      <c r="D43" s="199"/>
      <c r="E43" s="199"/>
      <c r="F43" s="200"/>
    </row>
    <row r="44" spans="2:6">
      <c r="B44" s="361" t="s">
        <v>7</v>
      </c>
      <c r="C44" s="362"/>
      <c r="D44" s="363"/>
      <c r="E44" s="362" t="s">
        <v>8</v>
      </c>
      <c r="F44" s="364"/>
    </row>
    <row r="45" spans="2:6">
      <c r="B45" s="180">
        <v>1</v>
      </c>
      <c r="C45" s="187" cm="1">
        <f t="array" aca="1" ref="C45" ca="1">INDIRECT($D$1&amp;"!k18")</f>
        <v>963527</v>
      </c>
      <c r="D45" s="352"/>
      <c r="E45" s="302">
        <v>1</v>
      </c>
      <c r="F45" s="188" cm="1">
        <f t="array" aca="1" ref="F45" ca="1">INDIRECT($D$1&amp;"!k27")</f>
        <v>308125</v>
      </c>
    </row>
    <row r="46" spans="2:6">
      <c r="B46" s="180">
        <v>2</v>
      </c>
      <c r="C46" s="187" cm="1">
        <f t="array" aca="1" ref="C46" ca="1">INDIRECT($D$1&amp;"!k19")</f>
        <v>914073</v>
      </c>
      <c r="D46" s="352"/>
      <c r="E46" s="302">
        <v>2</v>
      </c>
      <c r="F46" s="188" cm="1">
        <f t="array" aca="1" ref="F46" ca="1">INDIRECT($D$1&amp;"!k28")</f>
        <v>259811</v>
      </c>
    </row>
    <row r="47" spans="2:6">
      <c r="B47" s="180">
        <v>3</v>
      </c>
      <c r="C47" s="187" cm="1">
        <f t="array" aca="1" ref="C47" ca="1">INDIRECT($D$1&amp;"!k20")</f>
        <v>1384083</v>
      </c>
      <c r="D47" s="352"/>
      <c r="E47" s="302"/>
      <c r="F47" s="188"/>
    </row>
    <row r="48" spans="2:6">
      <c r="B48" s="180">
        <v>4</v>
      </c>
      <c r="C48" s="187" cm="1">
        <f t="array" aca="1" ref="C48" ca="1">INDIRECT($D$1&amp;"!k21")</f>
        <v>1152973</v>
      </c>
      <c r="D48" s="352"/>
      <c r="E48" s="302"/>
      <c r="F48" s="188"/>
    </row>
    <row r="49" spans="2:6">
      <c r="B49" s="180">
        <v>5</v>
      </c>
      <c r="C49" s="187" cm="1">
        <f t="array" aca="1" ref="C49" ca="1">INDIRECT($D$1&amp;"!k22")</f>
        <v>1215271</v>
      </c>
      <c r="D49" s="352"/>
      <c r="E49" s="365" t="s">
        <v>90</v>
      </c>
      <c r="F49" s="366"/>
    </row>
    <row r="50" spans="2:6">
      <c r="B50" s="180">
        <v>6</v>
      </c>
      <c r="C50" s="187" cm="1">
        <f t="array" aca="1" ref="C50" ca="1">INDIRECT($D$1&amp;"!k23")</f>
        <v>1044332</v>
      </c>
      <c r="D50" s="352"/>
      <c r="E50" s="302">
        <v>1</v>
      </c>
      <c r="F50" s="188" cm="1">
        <f t="array" aca="1" ref="F50" ca="1">INDIRECT($D$1&amp;"!k30")</f>
        <v>70080</v>
      </c>
    </row>
    <row r="51" spans="2:6">
      <c r="B51" s="180">
        <v>7</v>
      </c>
      <c r="C51" s="187" cm="1">
        <f t="array" aca="1" ref="C51" ca="1">INDIRECT($D$1&amp;"!k24")</f>
        <v>1012690</v>
      </c>
      <c r="D51" s="352"/>
      <c r="E51" s="302">
        <v>2</v>
      </c>
      <c r="F51" s="188" cm="1">
        <f t="array" aca="1" ref="F51" ca="1">INDIRECT($D$1&amp;"!k31")</f>
        <v>98301</v>
      </c>
    </row>
    <row r="52" spans="2:6">
      <c r="B52" s="180">
        <v>8</v>
      </c>
      <c r="C52" s="187" cm="1">
        <f t="array" aca="1" ref="C52" ca="1">INDIRECT($D$1&amp;"!k25")</f>
        <v>1171049</v>
      </c>
      <c r="D52" s="352"/>
      <c r="E52" s="302"/>
      <c r="F52" s="303"/>
    </row>
    <row r="53" spans="2:6">
      <c r="B53" s="180"/>
      <c r="C53" s="302"/>
      <c r="D53" s="353"/>
      <c r="E53" s="302"/>
      <c r="F53" s="303"/>
    </row>
    <row r="54" spans="2:6">
      <c r="B54" s="358" t="s">
        <v>95</v>
      </c>
      <c r="C54" s="359"/>
      <c r="D54" s="359"/>
      <c r="E54" s="360"/>
      <c r="F54" s="201"/>
    </row>
    <row r="55" spans="2:6">
      <c r="B55" s="192" t="s">
        <v>92</v>
      </c>
      <c r="C55" s="193" t="str" cm="1">
        <f t="array" aca="1" ref="C55" ca="1">INDIRECT($D$1&amp;"!L26")&amp;" -"&amp;" " &amp; INDIRECT($D$1&amp;"!M26")&amp;" = "&amp;  (INDIRECT($D$1&amp;"!L26"))-(INDIRECT($D$1&amp;"!M26"))</f>
        <v>0 - 0 = 0</v>
      </c>
      <c r="D55" s="193"/>
      <c r="E55" s="193"/>
      <c r="F55" s="194"/>
    </row>
    <row r="56" spans="2:6">
      <c r="B56" s="192" t="s">
        <v>93</v>
      </c>
      <c r="C56" s="193" t="str" cm="1">
        <f t="array" aca="1" ref="C56" ca="1">INDIRECT($D$1&amp;"!L29")&amp;" -"&amp;" " &amp; INDIRECT($D$1&amp;"!M29")&amp;" = "&amp;  (INDIRECT($D$1&amp;"!L29"))-(INDIRECT($D$1&amp;"!M29"))</f>
        <v>0 - 0 = 0</v>
      </c>
      <c r="D56" s="193"/>
      <c r="E56" s="193"/>
      <c r="F56" s="194"/>
    </row>
    <row r="57" spans="2:6">
      <c r="B57" s="202" t="s">
        <v>94</v>
      </c>
      <c r="C57" s="203" t="str" cm="1">
        <f t="array" aca="1" ref="C57" ca="1">INDIRECT($D$1&amp;"!L32")&amp;" -"&amp;" " &amp; INDIRECT($D$1&amp;"!M32")&amp;" = "&amp;  (INDIRECT($D$1&amp;"!L32"))-(INDIRECT($D$1&amp;"!M32"))</f>
        <v>0 - 0 = 0</v>
      </c>
      <c r="D57" s="203"/>
      <c r="E57" s="203"/>
      <c r="F57" s="204"/>
    </row>
    <row r="58" spans="2:6">
      <c r="B58" s="205"/>
      <c r="C58" s="206"/>
      <c r="D58" s="206"/>
      <c r="E58" s="206"/>
      <c r="F58" s="207"/>
    </row>
  </sheetData>
  <mergeCells count="19">
    <mergeCell ref="B54:E54"/>
    <mergeCell ref="B14:C14"/>
    <mergeCell ref="D14:D23"/>
    <mergeCell ref="E14:F14"/>
    <mergeCell ref="E19:F19"/>
    <mergeCell ref="B29:C29"/>
    <mergeCell ref="D29:D38"/>
    <mergeCell ref="E29:F29"/>
    <mergeCell ref="E34:F34"/>
    <mergeCell ref="B39:E39"/>
    <mergeCell ref="B44:C44"/>
    <mergeCell ref="D44:D53"/>
    <mergeCell ref="E44:F44"/>
    <mergeCell ref="E49:F49"/>
    <mergeCell ref="B2:F2"/>
    <mergeCell ref="D3:D13"/>
    <mergeCell ref="E3:F3"/>
    <mergeCell ref="B9:C9"/>
    <mergeCell ref="B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5720-469E-46A2-AEF5-D8828CD48D1C}">
  <dimension ref="A1:P923"/>
  <sheetViews>
    <sheetView zoomScaleNormal="100" zoomScaleSheetLayoutView="100" zoomScalePageLayoutView="55" workbookViewId="0">
      <pane ySplit="1" topLeftCell="B3" activePane="bottomLeft" state="frozen"/>
      <selection pane="bottomLeft" activeCell="G8" sqref="G8"/>
      <selection activeCell="F1" sqref="F1"/>
    </sheetView>
  </sheetViews>
  <sheetFormatPr defaultColWidth="14.42578125" defaultRowHeight="15" customHeight="1"/>
  <cols>
    <col min="1" max="1" width="7.28515625" style="39" bestFit="1" customWidth="1"/>
    <col min="2" max="2" width="13.710937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1.42578125" style="39" bestFit="1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0</v>
      </c>
      <c r="E1" s="30" t="s">
        <v>98</v>
      </c>
      <c r="F1" s="31">
        <v>1</v>
      </c>
      <c r="G1" s="19">
        <v>3</v>
      </c>
      <c r="H1" s="20">
        <v>2026</v>
      </c>
      <c r="I1" s="369">
        <f>DATEVALUE(F1&amp;"-"&amp;G1&amp;"-"&amp;H1)</f>
        <v>46025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15">
        <v>945281</v>
      </c>
      <c r="C3" s="3">
        <f>945281</f>
        <v>945281</v>
      </c>
      <c r="D3" s="41">
        <f t="shared" ref="D3:D10" si="0">C3-B3</f>
        <v>0</v>
      </c>
      <c r="E3" s="3"/>
      <c r="F3" s="41"/>
      <c r="G3" s="41"/>
      <c r="H3" s="42"/>
      <c r="I3" s="43" t="s">
        <v>20</v>
      </c>
      <c r="J3" s="17">
        <v>30700</v>
      </c>
      <c r="K3" s="5"/>
      <c r="L3" s="155"/>
      <c r="M3" s="6">
        <f>27700</f>
        <v>27700</v>
      </c>
      <c r="N3" s="44">
        <f>J3+L3-M3</f>
        <v>3000</v>
      </c>
      <c r="O3" s="44">
        <f>D5+D6+D9+D10+D20+D21+D24+D25+L20+L21+L24+L25</f>
        <v>3119</v>
      </c>
      <c r="P3" s="45">
        <f>O3-N3</f>
        <v>119</v>
      </c>
    </row>
    <row r="4" spans="1:16">
      <c r="A4" s="40">
        <v>2</v>
      </c>
      <c r="B4" s="15">
        <v>913277</v>
      </c>
      <c r="C4" s="3">
        <v>913278</v>
      </c>
      <c r="D4" s="41">
        <f t="shared" si="0"/>
        <v>1</v>
      </c>
      <c r="E4" s="3"/>
      <c r="F4" s="41"/>
      <c r="G4" s="41"/>
      <c r="H4" s="42"/>
      <c r="I4" s="46" t="s">
        <v>21</v>
      </c>
      <c r="J4" s="18">
        <v>13250</v>
      </c>
      <c r="K4" s="13"/>
      <c r="L4" s="156"/>
      <c r="M4" s="14">
        <f>11500</f>
        <v>11500</v>
      </c>
      <c r="N4" s="47">
        <f t="shared" ref="N4:N7" si="1">J4+L4-M4</f>
        <v>1750</v>
      </c>
      <c r="O4" s="47">
        <f>D3+D4+D7+D8+D22+D23+L22+L23+D18+D19+L18+L19</f>
        <v>1454</v>
      </c>
      <c r="P4" s="48">
        <f>O4-N4</f>
        <v>-296</v>
      </c>
    </row>
    <row r="5" spans="1:16">
      <c r="A5" s="40">
        <v>3</v>
      </c>
      <c r="B5" s="15">
        <v>1361945</v>
      </c>
      <c r="C5" s="3">
        <f>1363469</f>
        <v>1363469</v>
      </c>
      <c r="D5" s="41">
        <f t="shared" si="0"/>
        <v>1524</v>
      </c>
      <c r="E5" s="3"/>
      <c r="F5" s="41"/>
      <c r="G5" s="41"/>
      <c r="H5" s="42"/>
      <c r="I5" s="49" t="s">
        <v>22</v>
      </c>
      <c r="J5" s="50">
        <f>J3+J4</f>
        <v>43950</v>
      </c>
      <c r="K5" s="50">
        <f t="shared" ref="K5:L5" si="2">K3+K4</f>
        <v>0</v>
      </c>
      <c r="L5" s="50">
        <f t="shared" si="2"/>
        <v>0</v>
      </c>
      <c r="M5" s="50">
        <f>M3+M4</f>
        <v>39200</v>
      </c>
      <c r="N5" s="50">
        <f t="shared" si="1"/>
        <v>4750</v>
      </c>
      <c r="O5" s="50">
        <f>SUM(O3:O4)</f>
        <v>4573</v>
      </c>
      <c r="P5" s="51">
        <f>O5-N5</f>
        <v>-177</v>
      </c>
    </row>
    <row r="6" spans="1:16">
      <c r="A6" s="40">
        <v>4</v>
      </c>
      <c r="B6" s="15">
        <v>1149584</v>
      </c>
      <c r="C6" s="3">
        <f>1149584</f>
        <v>1149584</v>
      </c>
      <c r="D6" s="41">
        <f t="shared" si="0"/>
        <v>0</v>
      </c>
      <c r="E6" s="3"/>
      <c r="F6" s="41"/>
      <c r="G6" s="41"/>
      <c r="H6" s="42"/>
      <c r="I6" s="43" t="s">
        <v>8</v>
      </c>
      <c r="J6" s="17">
        <v>10750</v>
      </c>
      <c r="K6" s="5">
        <v>15000</v>
      </c>
      <c r="L6" s="99">
        <v>14800</v>
      </c>
      <c r="M6" s="6">
        <v>25000</v>
      </c>
      <c r="N6" s="44">
        <f t="shared" si="1"/>
        <v>550</v>
      </c>
      <c r="O6" s="44">
        <f>D12+D13+D27+D28+L27+L28</f>
        <v>325</v>
      </c>
      <c r="P6" s="45">
        <f t="shared" ref="P6:P7" si="3">O6-N6</f>
        <v>-225</v>
      </c>
    </row>
    <row r="7" spans="1:16">
      <c r="A7" s="40">
        <v>5</v>
      </c>
      <c r="B7" s="15">
        <v>1213393</v>
      </c>
      <c r="C7" s="3">
        <f>1214846</f>
        <v>1214846</v>
      </c>
      <c r="D7" s="41">
        <f t="shared" si="0"/>
        <v>1453</v>
      </c>
      <c r="E7" s="3"/>
      <c r="F7" s="41"/>
      <c r="G7" s="41"/>
      <c r="H7" s="42"/>
      <c r="I7" s="46" t="s">
        <v>9</v>
      </c>
      <c r="J7" s="18">
        <v>1100</v>
      </c>
      <c r="K7" s="13"/>
      <c r="L7" s="100"/>
      <c r="M7" s="14">
        <f>J7</f>
        <v>1100</v>
      </c>
      <c r="N7" s="47">
        <f t="shared" si="1"/>
        <v>0</v>
      </c>
      <c r="O7" s="47">
        <f>D15+D16+D30+D31+L30+L31</f>
        <v>0</v>
      </c>
      <c r="P7" s="48">
        <f t="shared" si="3"/>
        <v>0</v>
      </c>
    </row>
    <row r="8" spans="1:16">
      <c r="A8" s="40">
        <v>6</v>
      </c>
      <c r="B8" s="15">
        <v>1040351</v>
      </c>
      <c r="C8" s="3">
        <v>1040351</v>
      </c>
      <c r="D8" s="41">
        <f t="shared" si="0"/>
        <v>0</v>
      </c>
      <c r="E8" s="3"/>
      <c r="F8" s="41"/>
      <c r="G8" s="41"/>
      <c r="H8" s="42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15">
        <v>1012522</v>
      </c>
      <c r="C9" s="3">
        <v>1012522</v>
      </c>
      <c r="D9" s="41">
        <f t="shared" si="0"/>
        <v>0</v>
      </c>
      <c r="E9" s="3"/>
      <c r="F9" s="41"/>
      <c r="G9" s="41"/>
      <c r="H9" s="42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15">
        <v>1145146</v>
      </c>
      <c r="C10" s="3">
        <v>1146741</v>
      </c>
      <c r="D10" s="41">
        <f t="shared" si="0"/>
        <v>1595</v>
      </c>
      <c r="E10" s="3">
        <v>50</v>
      </c>
      <c r="F10" s="41"/>
      <c r="G10" s="41"/>
      <c r="H10" s="42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si="4">SUM(D3:D10)</f>
        <v>4573</v>
      </c>
      <c r="E11" s="62">
        <f t="shared" si="4"/>
        <v>50</v>
      </c>
      <c r="F11" s="62">
        <f>SUM(D3:D10)-SUM(E3:E10)</f>
        <v>4523</v>
      </c>
      <c r="G11" s="11">
        <v>850</v>
      </c>
      <c r="H11" s="63">
        <f>G11*F11</f>
        <v>3844550</v>
      </c>
      <c r="I11" s="64" t="str" cm="1">
        <f t="array" aca="1" ref="I11" ca="1">INDIRECT("LODGEMENT"&amp;"!F3")</f>
        <v>GTBank 1</v>
      </c>
      <c r="J11" s="9">
        <v>1091855</v>
      </c>
      <c r="K11" s="64" t="s">
        <v>113</v>
      </c>
      <c r="L11" s="9">
        <f>E11</f>
        <v>50</v>
      </c>
      <c r="M11" s="65" t="s">
        <v>7</v>
      </c>
      <c r="N11" s="66">
        <f>E11+E26+M26-L11-L14-L15-L16</f>
        <v>0</v>
      </c>
      <c r="O11" s="67">
        <f>F11+F26+N26</f>
        <v>4523</v>
      </c>
      <c r="P11" s="68">
        <f>H11+H26+P26</f>
        <v>3844550</v>
      </c>
    </row>
    <row r="12" spans="1:16" ht="15.75" customHeight="1">
      <c r="A12" s="69" t="s">
        <v>114</v>
      </c>
      <c r="B12" s="16">
        <v>305625</v>
      </c>
      <c r="C12" s="4">
        <v>305900</v>
      </c>
      <c r="D12" s="41">
        <f t="shared" ref="D12:D13" si="5">C12-B12</f>
        <v>275</v>
      </c>
      <c r="E12" s="4"/>
      <c r="F12" s="67"/>
      <c r="G12" s="67"/>
      <c r="H12" s="70"/>
      <c r="I12" s="64" t="str" cm="1">
        <f t="array" aca="1" ref="I12" ca="1">INDIRECT("LODGEMENT"&amp;"!G3")</f>
        <v>GTBank 2</v>
      </c>
      <c r="J12" s="9">
        <v>1545361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>F14+F29+N29</f>
        <v>293</v>
      </c>
      <c r="P12" s="73">
        <f>H14+H29+P29</f>
        <v>290070</v>
      </c>
    </row>
    <row r="13" spans="1:16" ht="15.75" customHeight="1" thickBot="1">
      <c r="A13" s="40">
        <v>2</v>
      </c>
      <c r="B13" s="15">
        <v>255734</v>
      </c>
      <c r="C13" s="3">
        <v>255784</v>
      </c>
      <c r="D13" s="41">
        <f t="shared" si="5"/>
        <v>50</v>
      </c>
      <c r="E13" s="3">
        <v>32</v>
      </c>
      <c r="F13" s="41"/>
      <c r="G13" s="41"/>
      <c r="H13" s="42"/>
      <c r="I13" s="64" t="str" cm="1">
        <f t="array" aca="1" ref="I13" ca="1">INDIRECT("LODGEMENT"&amp;"!H3")</f>
        <v>GTBank 3</v>
      </c>
      <c r="J13" s="9">
        <v>909300</v>
      </c>
      <c r="K13" s="64" t="s">
        <v>39</v>
      </c>
      <c r="L13" s="9"/>
      <c r="M13" s="74" t="s">
        <v>9</v>
      </c>
      <c r="N13" s="75">
        <f>E17+E32+M32</f>
        <v>0</v>
      </c>
      <c r="O13" s="76">
        <f>F17+F32+N32</f>
        <v>0</v>
      </c>
      <c r="P13" s="77">
        <f>H17+H32+P32</f>
        <v>0</v>
      </c>
    </row>
    <row r="14" spans="1:16" ht="15.75" customHeight="1">
      <c r="A14" s="60"/>
      <c r="B14" s="61"/>
      <c r="C14" s="61"/>
      <c r="D14" s="62">
        <f>SUM(D12:D13)</f>
        <v>325</v>
      </c>
      <c r="E14" s="62">
        <f>SUM(E12:E13)</f>
        <v>32</v>
      </c>
      <c r="F14" s="62">
        <f>SUM(D12:D13)-SUM(E12:E13)</f>
        <v>293</v>
      </c>
      <c r="G14" s="11">
        <v>990</v>
      </c>
      <c r="H14" s="63">
        <f>G14*F14</f>
        <v>290070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>SUM(P11:P13)</f>
        <v>4134620</v>
      </c>
      <c r="P14" s="382"/>
    </row>
    <row r="15" spans="1:16" ht="15.75" customHeight="1">
      <c r="A15" s="69" t="s">
        <v>118</v>
      </c>
      <c r="B15" s="16">
        <v>70080</v>
      </c>
      <c r="C15" s="4">
        <f>B15</f>
        <v>70080</v>
      </c>
      <c r="D15" s="41">
        <f t="shared" ref="D15:D16" si="6">C15-B15</f>
        <v>0</v>
      </c>
      <c r="E15" s="4"/>
      <c r="F15" s="67"/>
      <c r="G15" s="67"/>
      <c r="H15" s="70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3546516</v>
      </c>
      <c r="P15" s="384"/>
    </row>
    <row r="16" spans="1:16" ht="15.75" customHeight="1" thickBot="1">
      <c r="A16" s="40">
        <v>2</v>
      </c>
      <c r="B16" s="15">
        <v>98301</v>
      </c>
      <c r="C16" s="3">
        <f>B16</f>
        <v>98301</v>
      </c>
      <c r="D16" s="41">
        <f t="shared" si="6"/>
        <v>0</v>
      </c>
      <c r="E16" s="3"/>
      <c r="F16" s="41"/>
      <c r="G16" s="41"/>
      <c r="H16" s="42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>O14-O15</f>
        <v>588104</v>
      </c>
      <c r="P16" s="377"/>
    </row>
    <row r="17" spans="1:16" ht="15.75" customHeight="1" thickBot="1">
      <c r="A17" s="85"/>
      <c r="B17" s="86"/>
      <c r="C17" s="86"/>
      <c r="D17" s="87">
        <f>SUM(D15:D16)</f>
        <v>0</v>
      </c>
      <c r="E17" s="87">
        <f>SUM(E15:E16)</f>
        <v>0</v>
      </c>
      <c r="F17" s="87">
        <f>SUM(D15:D16)-SUM(E15:E16)</f>
        <v>0</v>
      </c>
      <c r="G17" s="12"/>
      <c r="H17" s="88">
        <f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945281</v>
      </c>
      <c r="C18" s="3">
        <f>B18</f>
        <v>945281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945281</v>
      </c>
      <c r="K18" s="8">
        <f t="shared" ref="K18:K25" si="10">J18</f>
        <v>945281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913278</v>
      </c>
      <c r="C19" s="3">
        <f t="shared" ref="C19:C25" si="12">B19</f>
        <v>913278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913278</v>
      </c>
      <c r="K19" s="3">
        <f t="shared" si="10"/>
        <v>913278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1363469</v>
      </c>
      <c r="C20" s="3">
        <f t="shared" si="12"/>
        <v>1363469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1363469</v>
      </c>
      <c r="K20" s="3">
        <f t="shared" si="10"/>
        <v>1363469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1149584</v>
      </c>
      <c r="C21" s="3">
        <f t="shared" si="12"/>
        <v>1149584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1149584</v>
      </c>
      <c r="K21" s="3">
        <f t="shared" si="10"/>
        <v>1149584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1214846</v>
      </c>
      <c r="C22" s="3">
        <f t="shared" si="12"/>
        <v>1214846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1214846</v>
      </c>
      <c r="K22" s="3">
        <f t="shared" si="10"/>
        <v>1214846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1040351</v>
      </c>
      <c r="C23" s="3">
        <f t="shared" si="12"/>
        <v>1040351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1040351</v>
      </c>
      <c r="K23" s="3">
        <f t="shared" si="10"/>
        <v>1040351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f t="shared" si="12"/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1146741</v>
      </c>
      <c r="C25" s="3">
        <f t="shared" si="12"/>
        <v>1146741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1146741</v>
      </c>
      <c r="K25" s="3">
        <f t="shared" si="10"/>
        <v>1146741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305900</v>
      </c>
      <c r="C27" s="4">
        <f>B27</f>
        <v>305900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305900</v>
      </c>
      <c r="K27" s="4">
        <f>J27</f>
        <v>305900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255784</v>
      </c>
      <c r="C28" s="4">
        <f>B28</f>
        <v>255784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255784</v>
      </c>
      <c r="K28" s="3">
        <f>J28</f>
        <v>255784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>C15</f>
        <v>70080</v>
      </c>
      <c r="C30" s="4">
        <f>B30</f>
        <v>70080</v>
      </c>
      <c r="D30" s="41">
        <f t="shared" ref="D30:D31" si="17">C30-B30</f>
        <v>0</v>
      </c>
      <c r="E30" s="4"/>
      <c r="F30" s="67"/>
      <c r="G30" s="67"/>
      <c r="H30" s="68"/>
      <c r="I30" s="69" t="s">
        <v>118</v>
      </c>
      <c r="J30" s="98">
        <f>C30</f>
        <v>70080</v>
      </c>
      <c r="K30" s="4">
        <f>J30</f>
        <v>70080</v>
      </c>
      <c r="L30" s="41">
        <f t="shared" ref="L30:L3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>C16</f>
        <v>98301</v>
      </c>
      <c r="C31" s="4">
        <f>B31</f>
        <v>98301</v>
      </c>
      <c r="D31" s="41">
        <f t="shared" si="17"/>
        <v>0</v>
      </c>
      <c r="E31" s="3"/>
      <c r="F31" s="41"/>
      <c r="G31" s="41"/>
      <c r="H31" s="73"/>
      <c r="I31" s="40">
        <v>2</v>
      </c>
      <c r="J31" s="92">
        <f>C31</f>
        <v>98301</v>
      </c>
      <c r="K31" s="3">
        <f>J31</f>
        <v>98301</v>
      </c>
      <c r="L31" s="41">
        <f t="shared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>SUM(D30:D31)</f>
        <v>0</v>
      </c>
      <c r="E32" s="87">
        <f>SUM(E30:E31)</f>
        <v>0</v>
      </c>
      <c r="F32" s="87">
        <f>SUM(D30:D31)-SUM(E30:E31)</f>
        <v>0</v>
      </c>
      <c r="G32" s="12">
        <v>0</v>
      </c>
      <c r="H32" s="88">
        <f>G32*F32</f>
        <v>0</v>
      </c>
      <c r="I32" s="85"/>
      <c r="J32" s="86"/>
      <c r="K32" s="86"/>
      <c r="L32" s="87">
        <f>SUM(L30:L31)</f>
        <v>0</v>
      </c>
      <c r="M32" s="87">
        <f>SUM(M30:M31)</f>
        <v>0</v>
      </c>
      <c r="N32" s="87">
        <f>SUM(L30:L31)-SUM(M30:M31)</f>
        <v>0</v>
      </c>
      <c r="O32" s="12">
        <v>0</v>
      </c>
      <c r="P32" s="88">
        <f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h4Kb5Ht4N0Gw/WtlZQSNJF7FHA6Akyadjq5VRA5rXtZZyJaf6OOTODH21mLW2y1gdxgYcmBechm3bxl+/QRAOw==" saltValue="FuJgrcfNMdzfypfP+Em09Q==" spinCount="100000" sheet="1" objects="1" scenarios="1"/>
  <mergeCells count="10">
    <mergeCell ref="A33:P33"/>
    <mergeCell ref="O14:P14"/>
    <mergeCell ref="O15:P15"/>
    <mergeCell ref="K10:L10"/>
    <mergeCell ref="I10:J10"/>
    <mergeCell ref="A1:B1"/>
    <mergeCell ref="I1:P1"/>
    <mergeCell ref="I8:I9"/>
    <mergeCell ref="M9:P9"/>
    <mergeCell ref="O16:P16"/>
  </mergeCells>
  <hyperlinks>
    <hyperlink ref="A33" r:id="rId1" xr:uid="{C8536A81-D128-4396-95DD-9D7CC308E782}"/>
  </hyperlinks>
  <pageMargins left="0.7" right="0.7" top="0.75" bottom="0.75" header="0" footer="0"/>
  <pageSetup paperSize="9" scale="5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E57B-FF44-4916-827A-09258F810CE4}">
  <dimension ref="A1:P923"/>
  <sheetViews>
    <sheetView zoomScaleNormal="100" zoomScaleSheetLayoutView="100" zoomScalePageLayoutView="55" workbookViewId="0">
      <pane ySplit="1" topLeftCell="E7" activePane="bottomLeft" state="frozen"/>
      <selection pane="bottomLeft" activeCell="E7" sqref="E7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</v>
      </c>
      <c r="E1" s="30" t="s">
        <v>98</v>
      </c>
      <c r="F1" s="31">
        <v>2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46056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945281</v>
      </c>
      <c r="C3" s="3">
        <f>945281</f>
        <v>945281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27700</v>
      </c>
      <c r="K3" s="5"/>
      <c r="L3" s="155"/>
      <c r="M3" s="6">
        <f>24300</f>
        <v>24300</v>
      </c>
      <c r="N3" s="44">
        <f ca="1">J3+L3-M3</f>
        <v>3400</v>
      </c>
      <c r="O3" s="44">
        <f ca="1">D5+D6+D9+D10+D20+D21+D24+D25+L20+L21+L24+L25</f>
        <v>3364</v>
      </c>
      <c r="P3" s="45">
        <f ca="1">O3-N3</f>
        <v>-36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913278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11500</v>
      </c>
      <c r="K4" s="13"/>
      <c r="L4" s="156"/>
      <c r="M4" s="6">
        <v>10000</v>
      </c>
      <c r="N4" s="47">
        <f t="shared" ref="N4:N7" ca="1" si="1">J4+L4-M4</f>
        <v>1500</v>
      </c>
      <c r="O4" s="47">
        <f ca="1">D3+D4+D7+D8+D22+D23+L22+L23+D18+D19+L18+L19</f>
        <v>1414</v>
      </c>
      <c r="P4" s="48">
        <f ca="1">O4-N4</f>
        <v>-86</v>
      </c>
    </row>
    <row r="5" spans="1:16">
      <c r="A5" s="40">
        <v>3</v>
      </c>
      <c r="B5" s="92" cm="1">
        <f t="array" aca="1" ref="B5" ca="1">INDIRECT($D$1&amp;"!k20")</f>
        <v>1363469</v>
      </c>
      <c r="C5" s="3">
        <v>1365264</v>
      </c>
      <c r="D5" s="41">
        <f t="shared" ca="1" si="0"/>
        <v>1795</v>
      </c>
      <c r="E5" s="3"/>
      <c r="F5" s="41"/>
      <c r="G5" s="41"/>
      <c r="H5" s="42"/>
      <c r="I5" s="49" t="s">
        <v>22</v>
      </c>
      <c r="J5" s="50">
        <f ca="1">SUM(J3:J4)</f>
        <v>39200</v>
      </c>
      <c r="K5" s="50">
        <f t="shared" ref="K5:L5" si="2">SUM(K3:K4)</f>
        <v>0</v>
      </c>
      <c r="L5" s="50">
        <f t="shared" si="2"/>
        <v>0</v>
      </c>
      <c r="M5" s="50">
        <f>M3+M4</f>
        <v>34300</v>
      </c>
      <c r="N5" s="50">
        <f t="shared" ca="1" si="1"/>
        <v>4900</v>
      </c>
      <c r="O5" s="50">
        <f ca="1">SUM(O3:O4)</f>
        <v>4778</v>
      </c>
      <c r="P5" s="51">
        <f ca="1">O5-N5</f>
        <v>-122</v>
      </c>
    </row>
    <row r="6" spans="1:16">
      <c r="A6" s="40">
        <v>4</v>
      </c>
      <c r="B6" s="92" cm="1">
        <f t="array" aca="1" ref="B6" ca="1">INDIRECT($D$1&amp;"!k21")</f>
        <v>1149584</v>
      </c>
      <c r="C6" s="3">
        <v>1149584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25000</v>
      </c>
      <c r="K6" s="5"/>
      <c r="L6" s="99"/>
      <c r="M6" s="6">
        <f>24500</f>
        <v>24500</v>
      </c>
      <c r="N6" s="44">
        <f t="shared" ca="1" si="1"/>
        <v>500</v>
      </c>
      <c r="O6" s="44">
        <f ca="1">D12+D13+D27+D28+L27+L28</f>
        <v>418</v>
      </c>
      <c r="P6" s="45">
        <f t="shared" ref="P6:P7" ca="1" si="3">O6-N6</f>
        <v>-82</v>
      </c>
    </row>
    <row r="7" spans="1:16" ht="15.75" thickBot="1">
      <c r="A7" s="40">
        <v>5</v>
      </c>
      <c r="B7" s="92" cm="1">
        <f t="array" aca="1" ref="B7" ca="1">INDIRECT($D$1&amp;"!k22")</f>
        <v>1214846</v>
      </c>
      <c r="C7" s="3">
        <v>1214846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1040351</v>
      </c>
      <c r="C8" s="3">
        <v>1041765</v>
      </c>
      <c r="D8" s="41">
        <f t="shared" ca="1" si="0"/>
        <v>1414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v>1012522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1146741</v>
      </c>
      <c r="C10" s="3">
        <v>1148310</v>
      </c>
      <c r="D10" s="41">
        <f t="shared" ca="1" si="0"/>
        <v>1569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4778</v>
      </c>
      <c r="E11" s="62">
        <f t="shared" si="4"/>
        <v>0</v>
      </c>
      <c r="F11" s="62">
        <f ca="1">SUM(D3:D10)-SUM(E3:E10)</f>
        <v>4778</v>
      </c>
      <c r="G11" s="11">
        <v>850</v>
      </c>
      <c r="H11" s="97">
        <f ca="1">G11*F11</f>
        <v>4061300</v>
      </c>
      <c r="I11" s="64" t="str" cm="1">
        <f t="array" aca="1" ref="I11" ca="1">INDIRECT("LODGEMENT"&amp;"!F3")</f>
        <v>GTBank 1</v>
      </c>
      <c r="J11" s="9">
        <v>1344855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4778</v>
      </c>
      <c r="P11" s="68">
        <f ca="1">H11+H26+P26</f>
        <v>4061300</v>
      </c>
    </row>
    <row r="12" spans="1:16" ht="15.75" customHeight="1">
      <c r="A12" s="69" t="s">
        <v>114</v>
      </c>
      <c r="B12" s="98" cm="1">
        <f t="array" aca="1" ref="B12" ca="1">INDIRECT($D$1&amp;"!k27")</f>
        <v>305900</v>
      </c>
      <c r="C12" s="4">
        <v>306025</v>
      </c>
      <c r="D12" s="41">
        <f t="shared" ref="D12:D13" ca="1" si="5">C12-B12</f>
        <v>125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1529910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386</v>
      </c>
      <c r="P12" s="73">
        <f ca="1">H14+H29+P29</f>
        <v>382140</v>
      </c>
    </row>
    <row r="13" spans="1:16" ht="15.75" customHeight="1" thickBot="1">
      <c r="A13" s="40">
        <v>2</v>
      </c>
      <c r="B13" s="98" cm="1">
        <f t="array" aca="1" ref="B13" ca="1">INDIRECT($D$1&amp;"!k28")</f>
        <v>255784</v>
      </c>
      <c r="C13" s="4">
        <v>256077</v>
      </c>
      <c r="D13" s="41">
        <f t="shared" ca="1" si="5"/>
        <v>293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GTBank 3</v>
      </c>
      <c r="J13" s="9">
        <v>1415940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418</v>
      </c>
      <c r="E14" s="62">
        <f>SUM(E12:E13)</f>
        <v>32</v>
      </c>
      <c r="F14" s="62">
        <f ca="1">SUM(D12:D13)-SUM(E12:E13)</f>
        <v>386</v>
      </c>
      <c r="G14" s="11">
        <v>990</v>
      </c>
      <c r="H14" s="97">
        <f ca="1">G14*F14</f>
        <v>382140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4443440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4290705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152735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945281</v>
      </c>
      <c r="C18" s="3">
        <f>B18</f>
        <v>945281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945281</v>
      </c>
      <c r="K18" s="8">
        <f t="shared" ref="K18:K25" si="10">J18</f>
        <v>945281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913278</v>
      </c>
      <c r="C19" s="3">
        <f t="shared" ref="C19:C25" si="12">B19</f>
        <v>913278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913278</v>
      </c>
      <c r="K19" s="3">
        <f t="shared" si="10"/>
        <v>913278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1365264</v>
      </c>
      <c r="C20" s="3">
        <f t="shared" si="12"/>
        <v>1365264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1365264</v>
      </c>
      <c r="K20" s="3">
        <f t="shared" si="10"/>
        <v>1365264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1149584</v>
      </c>
      <c r="C21" s="3">
        <f t="shared" si="12"/>
        <v>1149584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1149584</v>
      </c>
      <c r="K21" s="3">
        <f t="shared" si="10"/>
        <v>1149584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1214846</v>
      </c>
      <c r="C22" s="3">
        <f t="shared" si="12"/>
        <v>1214846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1214846</v>
      </c>
      <c r="K22" s="3">
        <f t="shared" si="10"/>
        <v>1214846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1041765</v>
      </c>
      <c r="C23" s="3">
        <f t="shared" si="12"/>
        <v>1041765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1041765</v>
      </c>
      <c r="K23" s="3">
        <f t="shared" si="10"/>
        <v>1041765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f t="shared" si="12"/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1148310</v>
      </c>
      <c r="C25" s="3">
        <f t="shared" si="12"/>
        <v>1148310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1148310</v>
      </c>
      <c r="K25" s="3">
        <f t="shared" si="10"/>
        <v>1148310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306025</v>
      </c>
      <c r="C27" s="4">
        <f>B27</f>
        <v>306025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306025</v>
      </c>
      <c r="K27" s="4">
        <f>J27</f>
        <v>306025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256077</v>
      </c>
      <c r="C28" s="4">
        <f>B28</f>
        <v>256077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256077</v>
      </c>
      <c r="K28" s="3">
        <f>J28</f>
        <v>256077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tGPlrjIB4xIA4JywvnKD/4I6NWhl3Tx8o/LzWTF2AutQbs1NDxr0KUhMEO76qFVuzfFQPlRJTlGKJGkGpscbQ==" saltValue="iY7lauCkppOh7fLM/uMsIQ==" spinCount="100000" sheet="1" objects="1" scenarios="1"/>
  <mergeCells count="10">
    <mergeCell ref="A33:P33"/>
    <mergeCell ref="O14:P14"/>
    <mergeCell ref="O15:P15"/>
    <mergeCell ref="I8:I9"/>
    <mergeCell ref="M9:P9"/>
    <mergeCell ref="A1:B1"/>
    <mergeCell ref="I1:P1"/>
    <mergeCell ref="I10:J10"/>
    <mergeCell ref="K10:L10"/>
    <mergeCell ref="O16:P16"/>
  </mergeCells>
  <hyperlinks>
    <hyperlink ref="A33" r:id="rId1" xr:uid="{0F65E4EB-3C3E-4844-B7ED-E1B952139932}"/>
  </hyperlinks>
  <pageMargins left="0.7" right="0.7" top="0.75" bottom="0.75" header="0" footer="0"/>
  <pageSetup paperSize="9" scale="5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F4D1-299A-4895-82AF-B964803779B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C3" sqref="C3:C10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</v>
      </c>
      <c r="E1" s="30" t="s">
        <v>98</v>
      </c>
      <c r="F1" s="31">
        <v>3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46084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945281</v>
      </c>
      <c r="C3" s="3">
        <f>945479</f>
        <v>945479</v>
      </c>
      <c r="D3" s="41">
        <f t="shared" ref="D3:D10" ca="1" si="0">C3-B3</f>
        <v>198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24300</v>
      </c>
      <c r="K3" s="5"/>
      <c r="L3" s="155"/>
      <c r="M3" s="6">
        <f>21400</f>
        <v>21400</v>
      </c>
      <c r="N3" s="44">
        <f ca="1">J3+L3-M3</f>
        <v>2900</v>
      </c>
      <c r="O3" s="44">
        <f ca="1">D5+D6+D9+D10+D20+D21+D24+D25+L20+L21+L24+L25</f>
        <v>2945</v>
      </c>
      <c r="P3" s="45">
        <f ca="1">O3-N3</f>
        <v>45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913278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10000</v>
      </c>
      <c r="K4" s="13"/>
      <c r="L4" s="156"/>
      <c r="M4" s="6">
        <f>8800</f>
        <v>8800</v>
      </c>
      <c r="N4" s="47">
        <f t="shared" ref="N4:N7" ca="1" si="1">J4+L4-M4</f>
        <v>1200</v>
      </c>
      <c r="O4" s="47">
        <f ca="1">D3+D4+D7+D8+D22+D23+L22+L23+D18+D19+L18+L19</f>
        <v>1297</v>
      </c>
      <c r="P4" s="48">
        <f ca="1">O4-N4</f>
        <v>97</v>
      </c>
    </row>
    <row r="5" spans="1:16">
      <c r="A5" s="40">
        <v>3</v>
      </c>
      <c r="B5" s="92" cm="1">
        <f t="array" aca="1" ref="B5" ca="1">INDIRECT($D$1&amp;"!k20")</f>
        <v>1365264</v>
      </c>
      <c r="C5" s="3">
        <f>1365359</f>
        <v>1365359</v>
      </c>
      <c r="D5" s="41">
        <f t="shared" ca="1" si="0"/>
        <v>95</v>
      </c>
      <c r="E5" s="3"/>
      <c r="F5" s="41"/>
      <c r="G5" s="41"/>
      <c r="H5" s="42"/>
      <c r="I5" s="49" t="s">
        <v>22</v>
      </c>
      <c r="J5" s="50">
        <f ca="1">SUM(J3:J4)</f>
        <v>34300</v>
      </c>
      <c r="K5" s="50">
        <f t="shared" ref="K5:L5" si="2">SUM(K3:K4)</f>
        <v>0</v>
      </c>
      <c r="L5" s="50">
        <f t="shared" si="2"/>
        <v>0</v>
      </c>
      <c r="M5" s="50">
        <f>M3+M4</f>
        <v>30200</v>
      </c>
      <c r="N5" s="50">
        <f t="shared" ca="1" si="1"/>
        <v>4100</v>
      </c>
      <c r="O5" s="50">
        <f ca="1">SUM(O3:O4)</f>
        <v>4242</v>
      </c>
      <c r="P5" s="51">
        <f ca="1">O5-N5</f>
        <v>142</v>
      </c>
    </row>
    <row r="6" spans="1:16">
      <c r="A6" s="40">
        <v>4</v>
      </c>
      <c r="B6" s="92" cm="1">
        <f t="array" aca="1" ref="B6" ca="1">INDIRECT($D$1&amp;"!k21")</f>
        <v>1149584</v>
      </c>
      <c r="C6" s="3">
        <f>1149584</f>
        <v>1149584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24500</v>
      </c>
      <c r="K6" s="5"/>
      <c r="L6" s="99"/>
      <c r="M6" s="6">
        <f>24300</f>
        <v>24300</v>
      </c>
      <c r="N6" s="44">
        <f t="shared" ca="1" si="1"/>
        <v>200</v>
      </c>
      <c r="O6" s="44">
        <f ca="1">D12+D13+D27+D28+L27+L28</f>
        <v>239</v>
      </c>
      <c r="P6" s="45">
        <f t="shared" ref="P6:P7" ca="1" si="3">O6-N6</f>
        <v>39</v>
      </c>
    </row>
    <row r="7" spans="1:16" ht="15.75" thickBot="1">
      <c r="A7" s="40">
        <v>5</v>
      </c>
      <c r="B7" s="92" cm="1">
        <f t="array" aca="1" ref="B7" ca="1">INDIRECT($D$1&amp;"!k22")</f>
        <v>1214846</v>
      </c>
      <c r="C7" s="3">
        <f t="shared" ref="C4:C10" ca="1" si="4">B7</f>
        <v>1214846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1041765</v>
      </c>
      <c r="C8" s="3">
        <f t="shared" ca="1" si="4"/>
        <v>1041765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f t="shared" ca="1" si="4"/>
        <v>1012522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1148310</v>
      </c>
      <c r="C10" s="3">
        <f>1148333</f>
        <v>1148333</v>
      </c>
      <c r="D10" s="41">
        <f t="shared" ca="1" si="0"/>
        <v>23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316</v>
      </c>
      <c r="E11" s="62">
        <f t="shared" si="5"/>
        <v>0</v>
      </c>
      <c r="F11" s="62">
        <f ca="1">SUM(D3:D10)-SUM(E3:E10)</f>
        <v>316</v>
      </c>
      <c r="G11" s="11">
        <v>850</v>
      </c>
      <c r="H11" s="97">
        <f ca="1">G11*F11</f>
        <v>268600</v>
      </c>
      <c r="I11" s="64" t="str" cm="1">
        <f t="array" aca="1" ref="I11" ca="1">INDIRECT("LODGEMENT"&amp;"!F3")</f>
        <v>GTBank 1</v>
      </c>
      <c r="J11" s="9">
        <v>1182858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4242</v>
      </c>
      <c r="P11" s="68">
        <f ca="1">H11+H26+P26</f>
        <v>3998300</v>
      </c>
    </row>
    <row r="12" spans="1:16" ht="15.75" customHeight="1">
      <c r="A12" s="69" t="s">
        <v>114</v>
      </c>
      <c r="B12" s="98" cm="1">
        <f t="array" aca="1" ref="B12" ca="1">INDIRECT($D$1&amp;"!k27")</f>
        <v>306025</v>
      </c>
      <c r="C12" s="4">
        <f>306057</f>
        <v>306057</v>
      </c>
      <c r="D12" s="41">
        <f t="shared" ref="D12:D13" ca="1" si="6">C12-B12</f>
        <v>32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1626441</v>
      </c>
      <c r="K12" s="64" t="s">
        <v>115</v>
      </c>
      <c r="L12" s="9">
        <v>33</v>
      </c>
      <c r="M12" s="71" t="s">
        <v>8</v>
      </c>
      <c r="N12" s="72">
        <f>E14+E29+M29-L12-L13</f>
        <v>0</v>
      </c>
      <c r="O12" s="41">
        <f ca="1">F14+F29+N29</f>
        <v>206</v>
      </c>
      <c r="P12" s="73">
        <f ca="1">H14+H29+P29</f>
        <v>214200</v>
      </c>
    </row>
    <row r="13" spans="1:16" ht="15.75" customHeight="1" thickBot="1">
      <c r="A13" s="40">
        <v>2</v>
      </c>
      <c r="B13" s="98" cm="1">
        <f t="array" aca="1" ref="B13" ca="1">INDIRECT($D$1&amp;"!k28")</f>
        <v>256077</v>
      </c>
      <c r="C13" s="4">
        <v>256080</v>
      </c>
      <c r="D13" s="41">
        <f t="shared" ca="1" si="6"/>
        <v>3</v>
      </c>
      <c r="E13" s="3"/>
      <c r="F13" s="41"/>
      <c r="G13" s="41"/>
      <c r="H13" s="73"/>
      <c r="I13" s="64" t="str" cm="1">
        <f t="array" aca="1" ref="I13" ca="1">INDIRECT("LODGEMENT"&amp;"!H3")</f>
        <v>GTBank 3</v>
      </c>
      <c r="J13" s="9">
        <v>1214600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35</v>
      </c>
      <c r="E14" s="62">
        <f>SUM(E12:E13)</f>
        <v>0</v>
      </c>
      <c r="F14" s="62">
        <f ca="1">SUM(D12:D13)-SUM(E12:E13)</f>
        <v>35</v>
      </c>
      <c r="G14" s="11">
        <v>990</v>
      </c>
      <c r="H14" s="97">
        <f ca="1">G14*F14</f>
        <v>34650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4212500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4023899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188601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945479</v>
      </c>
      <c r="C18" s="3">
        <f>946578</f>
        <v>946578</v>
      </c>
      <c r="D18" s="41">
        <f t="shared" ref="D18:D25" si="9">C18-B18</f>
        <v>1099</v>
      </c>
      <c r="E18" s="3"/>
      <c r="F18" s="41"/>
      <c r="G18" s="41"/>
      <c r="H18" s="73"/>
      <c r="I18" s="93" t="s">
        <v>20</v>
      </c>
      <c r="J18" s="94">
        <f t="shared" ref="J18:J25" si="10">C18</f>
        <v>946578</v>
      </c>
      <c r="K18" s="8">
        <f t="shared" ref="K18:K25" si="11">J18</f>
        <v>946578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8"/>
        <v>913278</v>
      </c>
      <c r="C19" s="3">
        <f>913278</f>
        <v>913278</v>
      </c>
      <c r="D19" s="41">
        <f t="shared" si="9"/>
        <v>0</v>
      </c>
      <c r="E19" s="3"/>
      <c r="F19" s="41"/>
      <c r="G19" s="41"/>
      <c r="H19" s="73"/>
      <c r="I19" s="40">
        <v>2</v>
      </c>
      <c r="J19" s="92">
        <f t="shared" si="10"/>
        <v>913278</v>
      </c>
      <c r="K19" s="3">
        <f t="shared" si="11"/>
        <v>913278</v>
      </c>
      <c r="L19" s="41">
        <f t="shared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1365359</v>
      </c>
      <c r="C20" s="3">
        <f>1366894</f>
        <v>1366894</v>
      </c>
      <c r="D20" s="41">
        <f t="shared" si="9"/>
        <v>1535</v>
      </c>
      <c r="E20" s="3"/>
      <c r="F20" s="41"/>
      <c r="G20" s="41"/>
      <c r="H20" s="73"/>
      <c r="I20" s="40">
        <v>3</v>
      </c>
      <c r="J20" s="92">
        <f t="shared" si="10"/>
        <v>1366894</v>
      </c>
      <c r="K20" s="3">
        <f t="shared" si="11"/>
        <v>1366894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8"/>
        <v>1149584</v>
      </c>
      <c r="C21" s="3">
        <f>1149584</f>
        <v>1149584</v>
      </c>
      <c r="D21" s="41">
        <f t="shared" si="9"/>
        <v>0</v>
      </c>
      <c r="E21" s="3"/>
      <c r="F21" s="41"/>
      <c r="G21" s="41"/>
      <c r="H21" s="73"/>
      <c r="I21" s="40">
        <v>4</v>
      </c>
      <c r="J21" s="92">
        <f t="shared" si="10"/>
        <v>1149584</v>
      </c>
      <c r="K21" s="3">
        <f t="shared" si="11"/>
        <v>1149584</v>
      </c>
      <c r="L21" s="41">
        <f t="shared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1214846</v>
      </c>
      <c r="C22" s="3">
        <f>1214846</f>
        <v>1214846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si="10"/>
        <v>1214846</v>
      </c>
      <c r="K22" s="3">
        <f t="shared" si="11"/>
        <v>1214846</v>
      </c>
      <c r="L22" s="41">
        <f t="shared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1041765</v>
      </c>
      <c r="C23" s="3">
        <f>1041765</f>
        <v>1041765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si="10"/>
        <v>1041765</v>
      </c>
      <c r="K23" s="3">
        <f t="shared" si="11"/>
        <v>1041765</v>
      </c>
      <c r="L23" s="41">
        <f t="shared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1012522</v>
      </c>
      <c r="C24" s="3">
        <f>1012522</f>
        <v>1012522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si="10"/>
        <v>1012522</v>
      </c>
      <c r="K24" s="3">
        <f t="shared" si="11"/>
        <v>1012522</v>
      </c>
      <c r="L24" s="41">
        <f t="shared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1148333</v>
      </c>
      <c r="C25" s="3">
        <f>1149625</f>
        <v>1149625</v>
      </c>
      <c r="D25" s="41">
        <f t="shared" si="9"/>
        <v>1292</v>
      </c>
      <c r="E25" s="3"/>
      <c r="F25" s="41"/>
      <c r="G25" s="41"/>
      <c r="H25" s="73"/>
      <c r="I25" s="40">
        <v>8</v>
      </c>
      <c r="J25" s="92">
        <f t="shared" si="10"/>
        <v>1149625</v>
      </c>
      <c r="K25" s="3">
        <f t="shared" si="11"/>
        <v>1149625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3">SUM(D18:D25)</f>
        <v>3926</v>
      </c>
      <c r="E26" s="62">
        <f t="shared" si="13"/>
        <v>0</v>
      </c>
      <c r="F26" s="62">
        <f ca="1">SUM(D18:D25)-SUM(E18:E25)</f>
        <v>3926</v>
      </c>
      <c r="G26" s="11">
        <v>950</v>
      </c>
      <c r="H26" s="97">
        <f ca="1">G26*F26</f>
        <v>3729700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306057</v>
      </c>
      <c r="C27" s="4">
        <f>306121</f>
        <v>306121</v>
      </c>
      <c r="D27" s="41">
        <f t="shared" ref="D27:D28" si="15">C27-B27</f>
        <v>64</v>
      </c>
      <c r="E27" s="4"/>
      <c r="F27" s="67"/>
      <c r="G27" s="67"/>
      <c r="H27" s="68"/>
      <c r="I27" s="69" t="s">
        <v>114</v>
      </c>
      <c r="J27" s="98">
        <f>C27</f>
        <v>306121</v>
      </c>
      <c r="K27" s="4">
        <f>J27</f>
        <v>306121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256080</v>
      </c>
      <c r="C28" s="4">
        <f>256220</f>
        <v>256220</v>
      </c>
      <c r="D28" s="41">
        <f t="shared" si="15"/>
        <v>140</v>
      </c>
      <c r="E28" s="3">
        <v>33</v>
      </c>
      <c r="F28" s="41"/>
      <c r="G28" s="41"/>
      <c r="H28" s="73"/>
      <c r="I28" s="40">
        <v>2</v>
      </c>
      <c r="J28" s="92">
        <f>C28</f>
        <v>256220</v>
      </c>
      <c r="K28" s="3">
        <f>J28</f>
        <v>256220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204</v>
      </c>
      <c r="E29" s="62">
        <f>SUM(E27:E28)</f>
        <v>33</v>
      </c>
      <c r="F29" s="62">
        <f>SUM(D27:D28)-SUM(E27:E28)</f>
        <v>171</v>
      </c>
      <c r="G29" s="11">
        <v>1050</v>
      </c>
      <c r="H29" s="97">
        <f>G29*F29</f>
        <v>179550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maoJ0/P2/RmP66qlTgtUhwXnkEDVb2kjtGAZQBHblX0QQcnT6J/8EFW8hfP89RU4NI/540dPaNOVqnmYrzIBDQ==" saltValue="tPGsp9yoFDa03UvQM+/bu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EA3B7301-5360-467E-94DB-F789F373BEBC}"/>
  </hyperlinks>
  <pageMargins left="0.7" right="0.7" top="0.75" bottom="0.75" header="0" footer="0"/>
  <pageSetup paperSize="9" scale="5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3093-7F96-4B95-9F3B-E191D402B32B}">
  <dimension ref="A1:P923"/>
  <sheetViews>
    <sheetView zoomScaleNormal="100" zoomScaleSheetLayoutView="100" zoomScalePageLayoutView="55" workbookViewId="0">
      <pane ySplit="1" topLeftCell="J2" activePane="bottomLeft" state="frozen"/>
      <selection pane="bottomLeft" activeCell="C3" sqref="C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3</v>
      </c>
      <c r="E1" s="30" t="s">
        <v>98</v>
      </c>
      <c r="F1" s="31">
        <v>4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46115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946578</v>
      </c>
      <c r="C3" s="3">
        <f>946603</f>
        <v>946603</v>
      </c>
      <c r="D3" s="41">
        <f t="shared" ref="D3:D10" ca="1" si="0">C3-B3</f>
        <v>25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21400</v>
      </c>
      <c r="K3" s="5"/>
      <c r="L3" s="155"/>
      <c r="M3" s="6">
        <v>18450</v>
      </c>
      <c r="N3" s="44">
        <f ca="1">J3+L3-M3</f>
        <v>2950</v>
      </c>
      <c r="O3" s="44">
        <f ca="1">D5+D6+D9+D10+D20+D21+D24+D25+L20+L21+L24+L25</f>
        <v>3072</v>
      </c>
      <c r="P3" s="45">
        <f ca="1">O3-N3</f>
        <v>122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913278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8800</v>
      </c>
      <c r="K4" s="13"/>
      <c r="L4" s="156"/>
      <c r="M4" s="6">
        <v>7000</v>
      </c>
      <c r="N4" s="47">
        <f t="shared" ref="N4:N7" ca="1" si="1">J4+L4-M4</f>
        <v>1800</v>
      </c>
      <c r="O4" s="47">
        <f ca="1">D3+D4+D7+D8+D22+D23+L22+L23+D18+D19+L18+L19</f>
        <v>1773</v>
      </c>
      <c r="P4" s="48">
        <f ca="1">O4-N4</f>
        <v>-27</v>
      </c>
    </row>
    <row r="5" spans="1:16">
      <c r="A5" s="40">
        <v>3</v>
      </c>
      <c r="B5" s="92" cm="1">
        <f t="array" aca="1" ref="B5" ca="1">INDIRECT($D$1&amp;"!k20")</f>
        <v>1366894</v>
      </c>
      <c r="C5" s="3">
        <v>1368756</v>
      </c>
      <c r="D5" s="41">
        <f t="shared" ca="1" si="0"/>
        <v>1862</v>
      </c>
      <c r="E5" s="3"/>
      <c r="F5" s="41"/>
      <c r="G5" s="41"/>
      <c r="H5" s="42"/>
      <c r="I5" s="49" t="s">
        <v>22</v>
      </c>
      <c r="J5" s="50">
        <f ca="1">SUM(J3:J4)</f>
        <v>30200</v>
      </c>
      <c r="K5" s="50">
        <f t="shared" ref="K5:L5" si="2">SUM(K3:K4)</f>
        <v>0</v>
      </c>
      <c r="L5" s="50">
        <f t="shared" si="2"/>
        <v>0</v>
      </c>
      <c r="M5" s="50">
        <f>M3+M4</f>
        <v>25450</v>
      </c>
      <c r="N5" s="50">
        <f t="shared" ca="1" si="1"/>
        <v>4750</v>
      </c>
      <c r="O5" s="50">
        <f ca="1">SUM(O3:O4)</f>
        <v>4845</v>
      </c>
      <c r="P5" s="51">
        <f ca="1">O5-N5</f>
        <v>95</v>
      </c>
    </row>
    <row r="6" spans="1:16">
      <c r="A6" s="40">
        <v>4</v>
      </c>
      <c r="B6" s="92" cm="1">
        <f t="array" aca="1" ref="B6" ca="1">INDIRECT($D$1&amp;"!k21")</f>
        <v>1149584</v>
      </c>
      <c r="C6" s="3">
        <v>1149584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24300</v>
      </c>
      <c r="K6" s="5"/>
      <c r="L6" s="99"/>
      <c r="M6" s="6">
        <v>24000</v>
      </c>
      <c r="N6" s="44">
        <f t="shared" ca="1" si="1"/>
        <v>300</v>
      </c>
      <c r="O6" s="44">
        <f ca="1">D12+D13+D27+D28+L27+L28</f>
        <v>295</v>
      </c>
      <c r="P6" s="45">
        <f t="shared" ref="P6:P7" ca="1" si="3">O6-N6</f>
        <v>-5</v>
      </c>
    </row>
    <row r="7" spans="1:16" ht="15.75" thickBot="1">
      <c r="A7" s="40">
        <v>5</v>
      </c>
      <c r="B7" s="92" cm="1">
        <f t="array" aca="1" ref="B7" ca="1">INDIRECT($D$1&amp;"!k22")</f>
        <v>1214846</v>
      </c>
      <c r="C7" s="3">
        <v>1214936</v>
      </c>
      <c r="D7" s="41">
        <f t="shared" ca="1" si="0"/>
        <v>90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1041765</v>
      </c>
      <c r="C8" s="3">
        <v>1043423</v>
      </c>
      <c r="D8" s="41">
        <f t="shared" ca="1" si="0"/>
        <v>1658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v>1012522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1149625</v>
      </c>
      <c r="C10" s="3">
        <v>1150835</v>
      </c>
      <c r="D10" s="41">
        <f t="shared" ca="1" si="0"/>
        <v>1210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4845</v>
      </c>
      <c r="E11" s="62">
        <f t="shared" si="4"/>
        <v>0</v>
      </c>
      <c r="F11" s="62">
        <f ca="1">SUM(D3:D10)-SUM(E3:E10)</f>
        <v>4845</v>
      </c>
      <c r="G11" s="11">
        <v>950</v>
      </c>
      <c r="H11" s="97">
        <f ca="1">G11*F11</f>
        <v>4602750</v>
      </c>
      <c r="I11" s="64" t="str" cm="1">
        <f t="array" aca="1" ref="I11" ca="1">INDIRECT("LODGEMENT"&amp;"!F3")</f>
        <v>GTBank 1</v>
      </c>
      <c r="J11" s="9">
        <v>2137691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4845</v>
      </c>
      <c r="P11" s="68">
        <f ca="1">H11+H26+P26</f>
        <v>4602750</v>
      </c>
    </row>
    <row r="12" spans="1:16" ht="15.75" customHeight="1">
      <c r="A12" s="69" t="s">
        <v>114</v>
      </c>
      <c r="B12" s="98" cm="1">
        <f t="array" aca="1" ref="B12" ca="1">INDIRECT($D$1&amp;"!k27")</f>
        <v>306121</v>
      </c>
      <c r="C12" s="4">
        <v>306286</v>
      </c>
      <c r="D12" s="41">
        <f t="shared" ref="D12:D13" ca="1" si="5">C12-B12</f>
        <v>165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1248838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263</v>
      </c>
      <c r="P12" s="73">
        <f ca="1">H14+H29+P29</f>
        <v>276150</v>
      </c>
    </row>
    <row r="13" spans="1:16" ht="15.75" customHeight="1" thickBot="1">
      <c r="A13" s="40">
        <v>2</v>
      </c>
      <c r="B13" s="98" cm="1">
        <f t="array" aca="1" ref="B13" ca="1">INDIRECT($D$1&amp;"!k28")</f>
        <v>256220</v>
      </c>
      <c r="C13" s="4">
        <v>256350</v>
      </c>
      <c r="D13" s="41">
        <f t="shared" ca="1" si="5"/>
        <v>130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GTBank 3</v>
      </c>
      <c r="J13" s="9">
        <v>1293287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295</v>
      </c>
      <c r="E14" s="62">
        <f>SUM(E12:E13)</f>
        <v>32</v>
      </c>
      <c r="F14" s="62">
        <f ca="1">SUM(D12:D13)-SUM(E12:E13)</f>
        <v>263</v>
      </c>
      <c r="G14" s="11">
        <v>1050</v>
      </c>
      <c r="H14" s="97">
        <f ca="1">G14*F14</f>
        <v>276150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4878900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4679816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199084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946603</v>
      </c>
      <c r="C18" s="3">
        <f>B18</f>
        <v>946603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946603</v>
      </c>
      <c r="K18" s="8">
        <f t="shared" ref="K18:K25" si="10">J18</f>
        <v>946603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913278</v>
      </c>
      <c r="C19" s="3">
        <f t="shared" ref="C19:C25" si="12">B19</f>
        <v>913278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913278</v>
      </c>
      <c r="K19" s="3">
        <f t="shared" si="10"/>
        <v>913278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1368756</v>
      </c>
      <c r="C20" s="3">
        <f t="shared" si="12"/>
        <v>1368756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1368756</v>
      </c>
      <c r="K20" s="3">
        <f t="shared" si="10"/>
        <v>1368756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1149584</v>
      </c>
      <c r="C21" s="3">
        <f t="shared" si="12"/>
        <v>1149584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1149584</v>
      </c>
      <c r="K21" s="3">
        <f t="shared" si="10"/>
        <v>1149584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1214936</v>
      </c>
      <c r="C22" s="3">
        <f t="shared" si="12"/>
        <v>1214936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1214936</v>
      </c>
      <c r="K22" s="3">
        <f t="shared" si="10"/>
        <v>1214936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1043423</v>
      </c>
      <c r="C23" s="3">
        <f t="shared" si="12"/>
        <v>1043423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1043423</v>
      </c>
      <c r="K23" s="3">
        <f t="shared" si="10"/>
        <v>1043423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f t="shared" si="12"/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1150835</v>
      </c>
      <c r="C25" s="3">
        <f t="shared" si="12"/>
        <v>1150835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1150835</v>
      </c>
      <c r="K25" s="3">
        <f t="shared" si="10"/>
        <v>1150835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306286</v>
      </c>
      <c r="C27" s="4">
        <f>B27</f>
        <v>306286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306286</v>
      </c>
      <c r="K27" s="4">
        <f>J27</f>
        <v>306286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256350</v>
      </c>
      <c r="C28" s="4">
        <f>B28</f>
        <v>256350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256350</v>
      </c>
      <c r="K28" s="3">
        <f>J28</f>
        <v>256350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53zgtRr7GErvDVz+oD8/r2qE2jqnUMo2iIIZJ9TPvialMqDIrXWQBmkW/Wd8PGvin4X2+eDi7YHlc2Ii4ITeaw==" saltValue="NqVQeImKgBhb6o9BKGEY/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0B274E79-3AB3-4DBF-8A03-25E0E6928D65}"/>
  </hyperlinks>
  <pageMargins left="0.7" right="0.7" top="0.75" bottom="0.75" header="0" footer="0"/>
  <pageSetup paperSize="9" scale="5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D4EF-36DD-444D-B86D-7EF6E2844818}">
  <dimension ref="A1:P923"/>
  <sheetViews>
    <sheetView zoomScaleNormal="100" zoomScaleSheetLayoutView="100" zoomScalePageLayoutView="55" workbookViewId="0">
      <pane ySplit="1" topLeftCell="K9" activePane="bottomLeft" state="frozen"/>
      <selection pane="bottomLeft" activeCell="E8" sqref="E8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4</v>
      </c>
      <c r="E1" s="30" t="s">
        <v>98</v>
      </c>
      <c r="F1" s="31">
        <v>5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46145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946603</v>
      </c>
      <c r="C3" s="3">
        <f>946603</f>
        <v>946603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18450</v>
      </c>
      <c r="K3" s="5"/>
      <c r="L3" s="155"/>
      <c r="M3" s="6">
        <v>15300</v>
      </c>
      <c r="N3" s="44">
        <f ca="1">J3+L3-M3</f>
        <v>3150</v>
      </c>
      <c r="O3" s="44">
        <f ca="1">D5+D6+D9+D10+D20+D21+D24+D25+L20+L21+L24+L25</f>
        <v>3263</v>
      </c>
      <c r="P3" s="45">
        <f ca="1">O3-N3</f>
        <v>113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913278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7000</v>
      </c>
      <c r="K4" s="13"/>
      <c r="L4" s="156"/>
      <c r="M4" s="6">
        <v>5750</v>
      </c>
      <c r="N4" s="47">
        <f t="shared" ref="N4:N7" ca="1" si="1">J4+L4-M4</f>
        <v>1250</v>
      </c>
      <c r="O4" s="47">
        <f ca="1">D3+D4+D7+D8+D22+D23+L22+L23+D18+D19+L18+L19</f>
        <v>1244</v>
      </c>
      <c r="P4" s="48">
        <f ca="1">O4-N4</f>
        <v>-6</v>
      </c>
    </row>
    <row r="5" spans="1:16">
      <c r="A5" s="40">
        <v>3</v>
      </c>
      <c r="B5" s="92" cm="1">
        <f t="array" aca="1" ref="B5" ca="1">INDIRECT($D$1&amp;"!k20")</f>
        <v>1368756</v>
      </c>
      <c r="C5" s="3">
        <v>1369581</v>
      </c>
      <c r="D5" s="41">
        <f t="shared" ca="1" si="0"/>
        <v>825</v>
      </c>
      <c r="E5" s="3"/>
      <c r="F5" s="41"/>
      <c r="G5" s="41"/>
      <c r="H5" s="42"/>
      <c r="I5" s="49" t="s">
        <v>22</v>
      </c>
      <c r="J5" s="50">
        <f ca="1">SUM(J3:J4)</f>
        <v>25450</v>
      </c>
      <c r="K5" s="50">
        <f t="shared" ref="K5:L5" si="2">SUM(K3:K4)</f>
        <v>0</v>
      </c>
      <c r="L5" s="50">
        <f t="shared" si="2"/>
        <v>0</v>
      </c>
      <c r="M5" s="50">
        <f>M3+M4</f>
        <v>21050</v>
      </c>
      <c r="N5" s="50">
        <f t="shared" ca="1" si="1"/>
        <v>4400</v>
      </c>
      <c r="O5" s="50">
        <f ca="1">SUM(O3:O4)</f>
        <v>4507</v>
      </c>
      <c r="P5" s="51">
        <f ca="1">O5-N5</f>
        <v>107</v>
      </c>
    </row>
    <row r="6" spans="1:16">
      <c r="A6" s="40">
        <v>4</v>
      </c>
      <c r="B6" s="92" cm="1">
        <f t="array" aca="1" ref="B6" ca="1">INDIRECT($D$1&amp;"!k21")</f>
        <v>1149584</v>
      </c>
      <c r="C6" s="3">
        <v>1150751</v>
      </c>
      <c r="D6" s="41">
        <f t="shared" ca="1" si="0"/>
        <v>1167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24000</v>
      </c>
      <c r="K6" s="5"/>
      <c r="L6" s="99"/>
      <c r="M6" s="6">
        <v>23700</v>
      </c>
      <c r="N6" s="44">
        <f t="shared" ca="1" si="1"/>
        <v>300</v>
      </c>
      <c r="O6" s="44">
        <f ca="1">D12+D13+D27+D28+L27+L28</f>
        <v>404</v>
      </c>
      <c r="P6" s="45">
        <f t="shared" ref="P6:P7" ca="1" si="3">O6-N6</f>
        <v>104</v>
      </c>
    </row>
    <row r="7" spans="1:16" ht="15.75" thickBot="1">
      <c r="A7" s="40">
        <v>5</v>
      </c>
      <c r="B7" s="92" cm="1">
        <f t="array" aca="1" ref="B7" ca="1">INDIRECT($D$1&amp;"!k22")</f>
        <v>1214936</v>
      </c>
      <c r="C7" s="3">
        <v>1215271</v>
      </c>
      <c r="D7" s="41">
        <f t="shared" ca="1" si="0"/>
        <v>335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1043423</v>
      </c>
      <c r="C8" s="3">
        <v>1044332</v>
      </c>
      <c r="D8" s="41">
        <f t="shared" ca="1" si="0"/>
        <v>909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v>1012522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1150835</v>
      </c>
      <c r="C10" s="3">
        <v>1152106</v>
      </c>
      <c r="D10" s="41">
        <f t="shared" ca="1" si="0"/>
        <v>1271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4507</v>
      </c>
      <c r="E11" s="62">
        <f t="shared" si="4"/>
        <v>0</v>
      </c>
      <c r="F11" s="62">
        <f ca="1">SUM(D3:D10)-SUM(E3:E10)</f>
        <v>4507</v>
      </c>
      <c r="G11" s="11">
        <v>950</v>
      </c>
      <c r="H11" s="97">
        <f ca="1">G11*F11</f>
        <v>4281650</v>
      </c>
      <c r="I11" s="64" t="str" cm="1">
        <f t="array" aca="1" ref="I11" ca="1">INDIRECT("LODGEMENT"&amp;"!F3")</f>
        <v>GTBank 1</v>
      </c>
      <c r="J11" s="9">
        <v>831197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4507</v>
      </c>
      <c r="P11" s="68">
        <f ca="1">H11+H26+P26</f>
        <v>4281650</v>
      </c>
    </row>
    <row r="12" spans="1:16" ht="15.75" customHeight="1">
      <c r="A12" s="69" t="s">
        <v>114</v>
      </c>
      <c r="B12" s="98" cm="1">
        <f t="array" aca="1" ref="B12" ca="1">INDIRECT($D$1&amp;"!k27")</f>
        <v>306286</v>
      </c>
      <c r="C12" s="4">
        <f ca="1">B12</f>
        <v>306286</v>
      </c>
      <c r="D12" s="41">
        <f t="shared" ref="D12:D13" ca="1" si="5">C12-B12</f>
        <v>0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1117574</v>
      </c>
      <c r="K12" s="64" t="s">
        <v>115</v>
      </c>
      <c r="L12" s="9">
        <v>32</v>
      </c>
      <c r="M12" s="71" t="s">
        <v>8</v>
      </c>
      <c r="N12" s="72">
        <f>E14+E29+M29-L12-L13</f>
        <v>0</v>
      </c>
      <c r="O12" s="41">
        <f ca="1">F14+F29+N29</f>
        <v>372</v>
      </c>
      <c r="P12" s="73">
        <f ca="1">H14+H29+P29</f>
        <v>413220</v>
      </c>
    </row>
    <row r="13" spans="1:16" ht="15.75" customHeight="1" thickBot="1">
      <c r="A13" s="40">
        <v>2</v>
      </c>
      <c r="B13" s="98" cm="1">
        <f t="array" aca="1" ref="B13" ca="1">INDIRECT($D$1&amp;"!k28")</f>
        <v>256350</v>
      </c>
      <c r="C13" s="4">
        <v>256575</v>
      </c>
      <c r="D13" s="41">
        <f t="shared" ca="1" si="5"/>
        <v>225</v>
      </c>
      <c r="E13" s="3">
        <v>27</v>
      </c>
      <c r="F13" s="41"/>
      <c r="G13" s="41"/>
      <c r="H13" s="73"/>
      <c r="I13" s="64" t="str" cm="1">
        <f t="array" aca="1" ref="I13" ca="1">INDIRECT("LODGEMENT"&amp;"!H3")</f>
        <v>GTBank 3</v>
      </c>
      <c r="J13" s="9">
        <v>1717020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225</v>
      </c>
      <c r="E14" s="62">
        <f>SUM(E12:E13)</f>
        <v>27</v>
      </c>
      <c r="F14" s="62">
        <f ca="1">SUM(D12:D13)-SUM(E12:E13)</f>
        <v>198</v>
      </c>
      <c r="G14" s="11">
        <v>1050</v>
      </c>
      <c r="H14" s="97">
        <f ca="1">G14*F14</f>
        <v>207900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4694870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3665791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1029079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946603</v>
      </c>
      <c r="C18" s="3">
        <f>B18</f>
        <v>946603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946603</v>
      </c>
      <c r="K18" s="8">
        <f t="shared" ref="K18:K25" si="10">J18</f>
        <v>946603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913278</v>
      </c>
      <c r="C19" s="3">
        <f t="shared" ref="C19:C25" si="12">B19</f>
        <v>913278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913278</v>
      </c>
      <c r="K19" s="3">
        <f t="shared" si="10"/>
        <v>913278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1369581</v>
      </c>
      <c r="C20" s="3">
        <f t="shared" si="12"/>
        <v>1369581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1369581</v>
      </c>
      <c r="K20" s="3">
        <f t="shared" si="10"/>
        <v>1369581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1150751</v>
      </c>
      <c r="C21" s="3">
        <f t="shared" si="12"/>
        <v>1150751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1150751</v>
      </c>
      <c r="K21" s="3">
        <f t="shared" si="10"/>
        <v>1150751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f t="shared" si="12"/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1152106</v>
      </c>
      <c r="C25" s="3">
        <f t="shared" si="12"/>
        <v>1152106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1152106</v>
      </c>
      <c r="K25" s="3">
        <f t="shared" si="10"/>
        <v>1152106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 ca="1">C12</f>
        <v>306286</v>
      </c>
      <c r="C27" s="4">
        <v>306298</v>
      </c>
      <c r="D27" s="41">
        <f t="shared" ref="D27:D28" ca="1" si="15">C27-B27</f>
        <v>12</v>
      </c>
      <c r="E27" s="4"/>
      <c r="F27" s="67"/>
      <c r="G27" s="67"/>
      <c r="H27" s="68"/>
      <c r="I27" s="69" t="s">
        <v>114</v>
      </c>
      <c r="J27" s="98">
        <f>C27</f>
        <v>306298</v>
      </c>
      <c r="K27" s="4">
        <f>J27</f>
        <v>306298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256575</v>
      </c>
      <c r="C28" s="4">
        <v>256742</v>
      </c>
      <c r="D28" s="41">
        <f t="shared" si="15"/>
        <v>167</v>
      </c>
      <c r="E28" s="3">
        <v>5</v>
      </c>
      <c r="F28" s="41"/>
      <c r="G28" s="41"/>
      <c r="H28" s="73"/>
      <c r="I28" s="40">
        <v>2</v>
      </c>
      <c r="J28" s="92">
        <f>C28</f>
        <v>256742</v>
      </c>
      <c r="K28" s="3">
        <f>J28</f>
        <v>256742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179</v>
      </c>
      <c r="E29" s="62">
        <f>SUM(E27:E28)</f>
        <v>5</v>
      </c>
      <c r="F29" s="62">
        <f ca="1">SUM(D27:D28)-SUM(E27:E28)</f>
        <v>174</v>
      </c>
      <c r="G29" s="11">
        <v>1180</v>
      </c>
      <c r="H29" s="97">
        <f ca="1">G29*F29</f>
        <v>205320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NO+++OcRxCu4/yd1VOdihUn12kFGOaAHRedW6Lu2R/SZxs1EHwJOmnHjtQ0Qj77q6UAT8/du9Bk/wYNZi1UqoA==" saltValue="jPLdjppPUkYkzUXCuPTdc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47F3B1B-5BC9-40DD-8412-B50624561AFE}"/>
  </hyperlinks>
  <pageMargins left="0.7" right="0.7" top="0.75" bottom="0.75" header="0" footer="0"/>
  <pageSetup paperSize="9" scale="5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78A0-D370-4784-A245-6E58F7FF1021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9" sqref="F29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3.28515625" style="39" customWidth="1"/>
    <col min="3" max="3" width="14.8554687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5</v>
      </c>
      <c r="E1" s="30" t="s">
        <v>98</v>
      </c>
      <c r="F1" s="31">
        <v>6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46176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946603</v>
      </c>
      <c r="C3" s="3">
        <v>947628</v>
      </c>
      <c r="D3" s="41">
        <f t="shared" ref="D3:D10" ca="1" si="0">C3-B3</f>
        <v>1025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15300</v>
      </c>
      <c r="K3" s="5"/>
      <c r="L3" s="155"/>
      <c r="M3" s="6">
        <f>10800</f>
        <v>10800</v>
      </c>
      <c r="N3" s="44">
        <f ca="1">J3+L3-M3</f>
        <v>4500</v>
      </c>
      <c r="O3" s="44">
        <f ca="1">D5+D6+D9+D10+D20+D21+D24+D25+L20+L21+L24+L25</f>
        <v>4517</v>
      </c>
      <c r="P3" s="45">
        <f ca="1">O3-N3</f>
        <v>17</v>
      </c>
    </row>
    <row r="4" spans="1:16">
      <c r="A4" s="40">
        <v>2</v>
      </c>
      <c r="B4" s="92" cm="1">
        <f t="array" aca="1" ref="B4" ca="1">INDIRECT($D$1&amp;"!k19")</f>
        <v>913278</v>
      </c>
      <c r="C4" s="3">
        <v>913374</v>
      </c>
      <c r="D4" s="41">
        <f t="shared" ca="1" si="0"/>
        <v>96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5750</v>
      </c>
      <c r="K4" s="13"/>
      <c r="L4" s="156"/>
      <c r="M4" s="6">
        <f>4450</f>
        <v>4450</v>
      </c>
      <c r="N4" s="47">
        <f t="shared" ref="N4:N7" ca="1" si="1">J4+L4-M4</f>
        <v>1300</v>
      </c>
      <c r="O4" s="47">
        <f ca="1">D3+D4+D7+D8+D22+D23+L22+L23+D18+D19+L18+L19</f>
        <v>1241</v>
      </c>
      <c r="P4" s="48">
        <f ca="1">O4-N4</f>
        <v>-59</v>
      </c>
    </row>
    <row r="5" spans="1:16">
      <c r="A5" s="40">
        <v>3</v>
      </c>
      <c r="B5" s="92" cm="1">
        <f t="array" aca="1" ref="B5" ca="1">INDIRECT($D$1&amp;"!k20")</f>
        <v>1369581</v>
      </c>
      <c r="C5" s="3">
        <v>1370607</v>
      </c>
      <c r="D5" s="41">
        <f t="shared" ca="1" si="0"/>
        <v>1026</v>
      </c>
      <c r="E5" s="3"/>
      <c r="F5" s="41"/>
      <c r="G5" s="41"/>
      <c r="H5" s="42"/>
      <c r="I5" s="49" t="s">
        <v>22</v>
      </c>
      <c r="J5" s="50">
        <f ca="1">SUM(J3:J4)</f>
        <v>21050</v>
      </c>
      <c r="K5" s="50">
        <f t="shared" ref="K5:L5" si="2">SUM(K3:K4)</f>
        <v>0</v>
      </c>
      <c r="L5" s="50">
        <f t="shared" si="2"/>
        <v>0</v>
      </c>
      <c r="M5" s="50">
        <f>M3+M4</f>
        <v>15250</v>
      </c>
      <c r="N5" s="50">
        <f t="shared" ca="1" si="1"/>
        <v>5800</v>
      </c>
      <c r="O5" s="50">
        <f ca="1">SUM(O3:O4)</f>
        <v>5758</v>
      </c>
      <c r="P5" s="51">
        <f ca="1">O5-N5</f>
        <v>-42</v>
      </c>
    </row>
    <row r="6" spans="1:16">
      <c r="A6" s="40">
        <v>4</v>
      </c>
      <c r="B6" s="92" cm="1">
        <f t="array" aca="1" ref="B6" ca="1">INDIRECT($D$1&amp;"!k21")</f>
        <v>1150751</v>
      </c>
      <c r="C6" s="3">
        <v>1151178</v>
      </c>
      <c r="D6" s="41">
        <f t="shared" ca="1" si="0"/>
        <v>427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23700</v>
      </c>
      <c r="K6" s="5"/>
      <c r="L6" s="99"/>
      <c r="M6" s="6">
        <f>23100</f>
        <v>23100</v>
      </c>
      <c r="N6" s="44">
        <f t="shared" ca="1" si="1"/>
        <v>600</v>
      </c>
      <c r="O6" s="44">
        <f ca="1">D12+D13+D27+D28+L27+L28</f>
        <v>493</v>
      </c>
      <c r="P6" s="45">
        <f t="shared" ref="P6:P7" ca="1" si="3">O6-N6</f>
        <v>-107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3">
        <v>1012522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1152106</v>
      </c>
      <c r="C10" s="3">
        <v>1153635</v>
      </c>
      <c r="D10" s="41">
        <f t="shared" ca="1" si="0"/>
        <v>1529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4103</v>
      </c>
      <c r="E11" s="62">
        <f t="shared" si="4"/>
        <v>0</v>
      </c>
      <c r="F11" s="62">
        <f ca="1">SUM(D3:D10)-SUM(E3:E10)</f>
        <v>4103</v>
      </c>
      <c r="G11" s="11">
        <v>950</v>
      </c>
      <c r="H11" s="97">
        <f ca="1">G11*F11</f>
        <v>3897850</v>
      </c>
      <c r="I11" s="64" t="str" cm="1">
        <f t="array" aca="1" ref="I11" ca="1">INDIRECT("LODGEMENT"&amp;"!F3")</f>
        <v>GTBank 1</v>
      </c>
      <c r="J11" s="9">
        <v>2010654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5758</v>
      </c>
      <c r="P11" s="68">
        <f ca="1">H11+H26+P26</f>
        <v>5594225</v>
      </c>
    </row>
    <row r="12" spans="1:16" ht="15.75" customHeight="1">
      <c r="A12" s="69" t="s">
        <v>114</v>
      </c>
      <c r="B12" s="98" cm="1">
        <f t="array" aca="1" ref="B12" ca="1">INDIRECT($D$1&amp;"!k27")</f>
        <v>306298</v>
      </c>
      <c r="C12" s="4">
        <v>306333</v>
      </c>
      <c r="D12" s="41">
        <f t="shared" ref="D12:D13" ca="1" si="5">C12-B12</f>
        <v>35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1519664</v>
      </c>
      <c r="K12" s="64" t="s">
        <v>115</v>
      </c>
      <c r="L12" s="9">
        <v>32</v>
      </c>
      <c r="M12" s="71" t="s">
        <v>8</v>
      </c>
      <c r="N12" s="72">
        <f>E14+E29+M29-L12-L13</f>
        <v>0</v>
      </c>
      <c r="O12" s="41">
        <f ca="1">F14+F29+N29</f>
        <v>461</v>
      </c>
      <c r="P12" s="73">
        <f ca="1">H14+H29+P29</f>
        <v>623300</v>
      </c>
    </row>
    <row r="13" spans="1:16" ht="15.75" customHeight="1" thickBot="1">
      <c r="A13" s="40">
        <v>2</v>
      </c>
      <c r="B13" s="98" cm="1">
        <f t="array" aca="1" ref="B13" ca="1">INDIRECT($D$1&amp;"!k28")</f>
        <v>256742</v>
      </c>
      <c r="C13" s="4">
        <v>256900</v>
      </c>
      <c r="D13" s="41">
        <f t="shared" ca="1" si="5"/>
        <v>158</v>
      </c>
      <c r="E13" s="3">
        <v>25</v>
      </c>
      <c r="F13" s="41"/>
      <c r="G13" s="41"/>
      <c r="H13" s="73"/>
      <c r="I13" s="64" t="str" cm="1">
        <f t="array" aca="1" ref="I13" ca="1">INDIRECT("LODGEMENT"&amp;"!H3")</f>
        <v>GTBank 3</v>
      </c>
      <c r="J13" s="9">
        <v>1700622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193</v>
      </c>
      <c r="E14" s="62">
        <f>SUM(E12:E13)</f>
        <v>25</v>
      </c>
      <c r="F14" s="62">
        <f ca="1">SUM(D12:D13)-SUM(E12:E13)</f>
        <v>168</v>
      </c>
      <c r="G14" s="11">
        <v>1200</v>
      </c>
      <c r="H14" s="97">
        <f ca="1">G14*F14</f>
        <v>201600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6217525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5230940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986585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947628</v>
      </c>
      <c r="C18" s="3">
        <f>947748</f>
        <v>947748</v>
      </c>
      <c r="D18" s="41">
        <f t="shared" ref="D18:D25" si="8">C18-B18</f>
        <v>120</v>
      </c>
      <c r="E18" s="3"/>
      <c r="F18" s="41"/>
      <c r="G18" s="41"/>
      <c r="H18" s="73"/>
      <c r="I18" s="93" t="s">
        <v>20</v>
      </c>
      <c r="J18" s="94">
        <f t="shared" ref="J18:J25" si="9">C18</f>
        <v>947748</v>
      </c>
      <c r="K18" s="8">
        <f t="shared" ref="K18:K25" si="10">J18</f>
        <v>947748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913374</v>
      </c>
      <c r="C19" s="3">
        <f>913374</f>
        <v>913374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913374</v>
      </c>
      <c r="K19" s="3">
        <f t="shared" si="10"/>
        <v>913374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1370607</v>
      </c>
      <c r="C20" s="3">
        <f>1371332</f>
        <v>1371332</v>
      </c>
      <c r="D20" s="41">
        <f t="shared" si="8"/>
        <v>725</v>
      </c>
      <c r="E20" s="3"/>
      <c r="F20" s="41"/>
      <c r="G20" s="41"/>
      <c r="H20" s="73"/>
      <c r="I20" s="40">
        <v>3</v>
      </c>
      <c r="J20" s="92">
        <f t="shared" si="9"/>
        <v>1371332</v>
      </c>
      <c r="K20" s="3">
        <f t="shared" si="10"/>
        <v>1371332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1151178</v>
      </c>
      <c r="C21" s="3">
        <f>1151178</f>
        <v>1151178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1151178</v>
      </c>
      <c r="K21" s="3">
        <f t="shared" si="10"/>
        <v>1151178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ref="C19:C25" si="12">B22</f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>1044332</f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1012522</v>
      </c>
      <c r="C24" s="3">
        <v>1012522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1012522</v>
      </c>
      <c r="K24" s="3">
        <f t="shared" si="10"/>
        <v>1012522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1153635</v>
      </c>
      <c r="C25" s="3">
        <f>1154445</f>
        <v>1154445</v>
      </c>
      <c r="D25" s="41">
        <f t="shared" si="8"/>
        <v>810</v>
      </c>
      <c r="E25" s="3"/>
      <c r="F25" s="41"/>
      <c r="G25" s="41"/>
      <c r="H25" s="73"/>
      <c r="I25" s="40">
        <v>8</v>
      </c>
      <c r="J25" s="92">
        <f t="shared" si="9"/>
        <v>1154445</v>
      </c>
      <c r="K25" s="3">
        <f t="shared" si="10"/>
        <v>1154445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1655</v>
      </c>
      <c r="E26" s="62">
        <f t="shared" si="13"/>
        <v>0</v>
      </c>
      <c r="F26" s="62">
        <f>SUM(D18:D25)-SUM(E18:E25)</f>
        <v>1655</v>
      </c>
      <c r="G26" s="11">
        <v>1025</v>
      </c>
      <c r="H26" s="97">
        <f>G26*F26</f>
        <v>1696375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306333</v>
      </c>
      <c r="C27" s="4">
        <v>306359</v>
      </c>
      <c r="D27" s="41">
        <f t="shared" ref="D27:D28" si="15">C27-B27</f>
        <v>26</v>
      </c>
      <c r="E27" s="4"/>
      <c r="F27" s="67"/>
      <c r="G27" s="67"/>
      <c r="H27" s="68"/>
      <c r="I27" s="69" t="s">
        <v>114</v>
      </c>
      <c r="J27" s="98">
        <f>C27</f>
        <v>306359</v>
      </c>
      <c r="K27" s="4">
        <v>306590</v>
      </c>
      <c r="L27" s="41">
        <f t="shared" ref="L27:L28" si="16">K27-J27</f>
        <v>231</v>
      </c>
      <c r="M27" s="4">
        <v>7</v>
      </c>
      <c r="N27" s="67"/>
      <c r="O27" s="67"/>
      <c r="P27" s="68"/>
    </row>
    <row r="28" spans="1:16" ht="15.75" customHeight="1">
      <c r="A28" s="40">
        <v>2</v>
      </c>
      <c r="B28" s="92">
        <f>C13</f>
        <v>256900</v>
      </c>
      <c r="C28" s="4">
        <v>256937</v>
      </c>
      <c r="D28" s="41">
        <f t="shared" si="15"/>
        <v>37</v>
      </c>
      <c r="E28" s="3"/>
      <c r="F28" s="41"/>
      <c r="G28" s="41"/>
      <c r="H28" s="73"/>
      <c r="I28" s="40">
        <v>2</v>
      </c>
      <c r="J28" s="92">
        <f>C28</f>
        <v>256937</v>
      </c>
      <c r="K28" s="3">
        <v>256943</v>
      </c>
      <c r="L28" s="41">
        <f t="shared" si="16"/>
        <v>6</v>
      </c>
      <c r="M28" s="3">
        <v>0</v>
      </c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63</v>
      </c>
      <c r="E29" s="62">
        <f>SUM(E27:E28)</f>
        <v>0</v>
      </c>
      <c r="F29" s="62">
        <f>SUM(D27:D28)-SUM(E27:E28)</f>
        <v>63</v>
      </c>
      <c r="G29" s="11">
        <v>1400</v>
      </c>
      <c r="H29" s="97">
        <f>G29*F29</f>
        <v>88200</v>
      </c>
      <c r="I29" s="60"/>
      <c r="J29" s="61"/>
      <c r="K29" s="61"/>
      <c r="L29" s="62">
        <f>SUM(L27:L28)</f>
        <v>237</v>
      </c>
      <c r="M29" s="62">
        <f>SUM(M27:M28)</f>
        <v>7</v>
      </c>
      <c r="N29" s="62">
        <f>SUM(L27:L28)-SUM(M27:M28)</f>
        <v>230</v>
      </c>
      <c r="O29" s="11">
        <v>1450</v>
      </c>
      <c r="P29" s="97">
        <f>O29*N29</f>
        <v>333500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CVvM4I/DEwYrNwqDu/F4NeaPXr6YFCS7ciEdIrFGhXRubIsWpseL6d+eBKMWnV9l0dA2JBvkvm8o9xwJ9fTurQ==" saltValue="ADurzUsdGjtk5VXAZepZ0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C4BA026A-C0F5-465F-ACDC-4FD082F49EA7}"/>
  </hyperlinks>
  <pageMargins left="0.7" right="0.7" top="0.75" bottom="0.75" header="0" footer="0"/>
  <pageSetup paperSize="9" scale="5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CF5F-5B02-4BE1-AA94-1E871D4C70E2}">
  <dimension ref="A1:P916"/>
  <sheetViews>
    <sheetView zoomScaleNormal="100" zoomScaleSheetLayoutView="100" zoomScalePageLayoutView="55" workbookViewId="0">
      <pane ySplit="1" topLeftCell="A10" activePane="bottomLeft" state="frozen"/>
      <selection pane="bottomLeft" activeCell="O24" sqref="O22:O24"/>
      <selection activeCell="N22" sqref="N22"/>
    </sheetView>
  </sheetViews>
  <sheetFormatPr defaultColWidth="14.42578125" defaultRowHeight="15" customHeight="1"/>
  <cols>
    <col min="1" max="1" width="9.5703125" style="39" bestFit="1" customWidth="1"/>
    <col min="2" max="2" width="11.5703125" style="39" customWidth="1"/>
    <col min="3" max="3" width="11.28515625" style="39" customWidth="1"/>
    <col min="4" max="4" width="10.85546875" style="39" customWidth="1"/>
    <col min="5" max="5" width="10.7109375" style="39" customWidth="1"/>
    <col min="6" max="6" width="10.5703125" style="39" customWidth="1"/>
    <col min="7" max="7" width="10.7109375" style="39" customWidth="1"/>
    <col min="8" max="8" width="11.42578125" style="39" bestFit="1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6</v>
      </c>
      <c r="E1" s="30" t="s">
        <v>98</v>
      </c>
      <c r="F1" s="31">
        <v>7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46206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947748</v>
      </c>
      <c r="C3" s="294">
        <v>948707</v>
      </c>
      <c r="D3" s="41">
        <f t="shared" ref="D3:D10" ca="1" si="0">C3-B3</f>
        <v>959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10800</v>
      </c>
      <c r="K3" s="5"/>
      <c r="L3" s="155"/>
      <c r="M3" s="6">
        <v>7900</v>
      </c>
      <c r="N3" s="44">
        <f ca="1">J3+L3-M3</f>
        <v>2900</v>
      </c>
      <c r="O3" s="44">
        <f ca="1">D5+D6+D9+D10+D20+D21+D24+D25+L20+L21+L24+L25</f>
        <v>2894</v>
      </c>
      <c r="P3" s="45">
        <f ca="1">O3-N3</f>
        <v>-6</v>
      </c>
    </row>
    <row r="4" spans="1:16">
      <c r="A4" s="40">
        <v>2</v>
      </c>
      <c r="B4" s="92" cm="1">
        <f t="array" aca="1" ref="B4" ca="1">INDIRECT($D$1&amp;"!k19")</f>
        <v>913374</v>
      </c>
      <c r="C4" s="295"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4450</v>
      </c>
      <c r="K4" s="13"/>
      <c r="L4" s="156"/>
      <c r="M4" s="6">
        <v>2800</v>
      </c>
      <c r="N4" s="47">
        <f t="shared" ref="N4:N7" ca="1" si="1">J4+L4-M4</f>
        <v>1650</v>
      </c>
      <c r="O4" s="47">
        <f ca="1">D3+D4+D7+D8+D22+D23+L22+L23+D18+D19+L18+L19</f>
        <v>1666</v>
      </c>
      <c r="P4" s="48">
        <f ca="1">O4-N4</f>
        <v>16</v>
      </c>
    </row>
    <row r="5" spans="1:16">
      <c r="A5" s="40">
        <v>3</v>
      </c>
      <c r="B5" s="92" cm="1">
        <f t="array" aca="1" ref="B5" ca="1">INDIRECT($D$1&amp;"!k20")</f>
        <v>1371332</v>
      </c>
      <c r="C5" s="295">
        <v>1372215</v>
      </c>
      <c r="D5" s="41">
        <f t="shared" ca="1" si="0"/>
        <v>883</v>
      </c>
      <c r="E5" s="3"/>
      <c r="F5" s="41"/>
      <c r="G5" s="41"/>
      <c r="H5" s="42"/>
      <c r="I5" s="49" t="s">
        <v>22</v>
      </c>
      <c r="J5" s="50">
        <f ca="1">SUM(J3:J4)</f>
        <v>15250</v>
      </c>
      <c r="K5" s="50">
        <f t="shared" ref="K5:L5" si="2">SUM(K3:K4)</f>
        <v>0</v>
      </c>
      <c r="L5" s="50">
        <f t="shared" si="2"/>
        <v>0</v>
      </c>
      <c r="M5" s="50">
        <f>M3+M4</f>
        <v>10700</v>
      </c>
      <c r="N5" s="50">
        <f t="shared" ca="1" si="1"/>
        <v>4550</v>
      </c>
      <c r="O5" s="50">
        <f ca="1">SUM(O3:O4)+D42+L42</f>
        <v>4560</v>
      </c>
      <c r="P5" s="51">
        <f ca="1">O5-N5</f>
        <v>10</v>
      </c>
    </row>
    <row r="6" spans="1:16">
      <c r="A6" s="40">
        <v>4</v>
      </c>
      <c r="B6" s="92" cm="1">
        <f t="array" aca="1" ref="B6" ca="1">INDIRECT($D$1&amp;"!k21")</f>
        <v>1151178</v>
      </c>
      <c r="C6" s="295"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23100</v>
      </c>
      <c r="K6" s="5"/>
      <c r="L6" s="99"/>
      <c r="M6" s="6">
        <v>22600</v>
      </c>
      <c r="N6" s="44">
        <f t="shared" ca="1" si="1"/>
        <v>500</v>
      </c>
      <c r="O6" s="44">
        <f ca="1">D12+D13+D27+D28+L27+L28</f>
        <v>579</v>
      </c>
      <c r="P6" s="45">
        <f t="shared" ref="P6:P7" ca="1" si="3">O6-N6</f>
        <v>79</v>
      </c>
    </row>
    <row r="7" spans="1:16">
      <c r="A7" s="40">
        <v>5</v>
      </c>
      <c r="B7" s="92" cm="1">
        <f t="array" aca="1" ref="B7" ca="1">INDIRECT($D$1&amp;"!k22")</f>
        <v>1215271</v>
      </c>
      <c r="C7" s="295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295"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1012522</v>
      </c>
      <c r="C9" s="295">
        <v>1012523</v>
      </c>
      <c r="D9" s="41">
        <f t="shared" ca="1" si="0"/>
        <v>1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1154445</v>
      </c>
      <c r="C10" s="295">
        <v>1155521</v>
      </c>
      <c r="D10" s="41">
        <f t="shared" ca="1" si="0"/>
        <v>1076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2919</v>
      </c>
      <c r="E11" s="62">
        <f t="shared" si="4"/>
        <v>0</v>
      </c>
      <c r="F11" s="62">
        <f ca="1">SUM(D3:D10)-SUM(E3:E10)</f>
        <v>2919</v>
      </c>
      <c r="G11" s="11">
        <v>1050</v>
      </c>
      <c r="H11" s="97">
        <f ca="1">G11*F11</f>
        <v>3064950</v>
      </c>
      <c r="I11" s="64" t="str" cm="1">
        <f t="array" aca="1" ref="I11" ca="1">INDIRECT("LODGEMENT"&amp;"!F3")</f>
        <v>GTBank 1</v>
      </c>
      <c r="J11" s="9">
        <v>2526460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F11+F26+N26+D42+L42</f>
        <v>4560</v>
      </c>
      <c r="P11" s="68">
        <f ca="1">H11+H26+P26</f>
        <v>4840512</v>
      </c>
    </row>
    <row r="12" spans="1:16" ht="15.75" customHeight="1">
      <c r="A12" s="69" t="s">
        <v>114</v>
      </c>
      <c r="B12" s="98" cm="1">
        <f t="array" aca="1" ref="B12" ca="1">INDIRECT($D$1&amp;"!k27")</f>
        <v>306590</v>
      </c>
      <c r="C12" s="295">
        <v>306754</v>
      </c>
      <c r="D12" s="41">
        <f t="shared" ref="D12:D13" ca="1" si="5">C12-B12</f>
        <v>164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1703798</v>
      </c>
      <c r="K12" s="64" t="s">
        <v>115</v>
      </c>
      <c r="L12" s="9">
        <f>E14</f>
        <v>40</v>
      </c>
      <c r="M12" s="71" t="s">
        <v>8</v>
      </c>
      <c r="N12" s="72">
        <f>E14+E29+M29-L12-L13</f>
        <v>0</v>
      </c>
      <c r="O12" s="41">
        <f ca="1">F14+F29+N29</f>
        <v>539</v>
      </c>
      <c r="P12" s="73">
        <f ca="1">H14+H29+P29</f>
        <v>781550</v>
      </c>
    </row>
    <row r="13" spans="1:16" ht="15.75" customHeight="1" thickBot="1">
      <c r="A13" s="40">
        <v>2</v>
      </c>
      <c r="B13" s="98" cm="1">
        <f t="array" aca="1" ref="B13" ca="1">INDIRECT($D$1&amp;"!k28")</f>
        <v>256943</v>
      </c>
      <c r="C13" s="295">
        <v>257358</v>
      </c>
      <c r="D13" s="41">
        <f t="shared" ca="1" si="5"/>
        <v>415</v>
      </c>
      <c r="E13" s="3">
        <v>40</v>
      </c>
      <c r="F13" s="41"/>
      <c r="G13" s="41"/>
      <c r="H13" s="73"/>
      <c r="I13" s="64" t="str" cm="1">
        <f t="array" aca="1" ref="I13" ca="1">INDIRECT("LODGEMENT"&amp;"!H3")</f>
        <v>GTBank 3</v>
      </c>
      <c r="J13" s="9">
        <v>749800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579</v>
      </c>
      <c r="E14" s="62">
        <f>SUM(E12:E13)</f>
        <v>40</v>
      </c>
      <c r="F14" s="62">
        <f ca="1">SUM(D12:D13)-SUM(E12:E13)</f>
        <v>539</v>
      </c>
      <c r="G14" s="11">
        <v>1450</v>
      </c>
      <c r="H14" s="97">
        <f ca="1">G14*F14</f>
        <v>781550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H11+H26+P26+H42+P42+H14</f>
        <v>5622062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4980058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642004</v>
      </c>
      <c r="P16" s="377"/>
    </row>
    <row r="17" spans="1:16" ht="15.75" customHeigh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948707</v>
      </c>
      <c r="C18" s="296">
        <v>949414</v>
      </c>
      <c r="D18" s="41">
        <f t="shared" ref="D18:D25" si="8">C18-B18</f>
        <v>707</v>
      </c>
      <c r="E18" s="3"/>
      <c r="F18" s="41"/>
      <c r="G18" s="41"/>
      <c r="H18" s="73"/>
      <c r="I18" s="93" t="s">
        <v>20</v>
      </c>
      <c r="J18" s="94">
        <f t="shared" ref="J18:J25" si="9">C18</f>
        <v>949414</v>
      </c>
      <c r="K18" s="296">
        <v>949414</v>
      </c>
      <c r="L18" s="95">
        <f t="shared" ref="L18:L25" si="10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913374</v>
      </c>
      <c r="C19" s="295">
        <v>913374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913374</v>
      </c>
      <c r="K19" s="295">
        <v>913374</v>
      </c>
      <c r="L19" s="41">
        <f t="shared" si="10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1372215</v>
      </c>
      <c r="C20" s="295">
        <v>1372731</v>
      </c>
      <c r="D20" s="41">
        <f t="shared" si="8"/>
        <v>516</v>
      </c>
      <c r="E20" s="3"/>
      <c r="F20" s="41"/>
      <c r="G20" s="41"/>
      <c r="H20" s="73"/>
      <c r="I20" s="40">
        <v>3</v>
      </c>
      <c r="J20" s="92">
        <f t="shared" si="9"/>
        <v>1372731</v>
      </c>
      <c r="K20" s="295">
        <v>1372731</v>
      </c>
      <c r="L20" s="41">
        <f t="shared" si="10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1151178</v>
      </c>
      <c r="C21" s="295">
        <v>1151178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1151178</v>
      </c>
      <c r="K21" s="295">
        <v>1151178</v>
      </c>
      <c r="L21" s="41">
        <f t="shared" si="10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295"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295">
        <v>1215271</v>
      </c>
      <c r="L22" s="41">
        <f t="shared" si="10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295"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295">
        <v>1044332</v>
      </c>
      <c r="L23" s="41">
        <f t="shared" si="10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1012523</v>
      </c>
      <c r="C24" s="295">
        <v>1012567</v>
      </c>
      <c r="D24" s="41">
        <f t="shared" si="8"/>
        <v>44</v>
      </c>
      <c r="E24" s="3"/>
      <c r="F24" s="41"/>
      <c r="G24" s="41"/>
      <c r="H24" s="73"/>
      <c r="I24" s="40">
        <v>7</v>
      </c>
      <c r="J24" s="92">
        <f t="shared" si="9"/>
        <v>1012567</v>
      </c>
      <c r="K24" s="295">
        <v>1012567</v>
      </c>
      <c r="L24" s="41">
        <f t="shared" si="10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1155521</v>
      </c>
      <c r="C25" s="295">
        <v>1155895</v>
      </c>
      <c r="D25" s="41">
        <f t="shared" si="8"/>
        <v>374</v>
      </c>
      <c r="E25" s="3"/>
      <c r="F25" s="41"/>
      <c r="G25" s="41"/>
      <c r="H25" s="73"/>
      <c r="I25" s="40">
        <v>8</v>
      </c>
      <c r="J25" s="92">
        <f t="shared" si="9"/>
        <v>1155895</v>
      </c>
      <c r="K25" s="295">
        <v>1155895</v>
      </c>
      <c r="L25" s="41">
        <f t="shared" si="10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1">SUM(D18:D25)</f>
        <v>1641</v>
      </c>
      <c r="E26" s="62">
        <f t="shared" si="11"/>
        <v>0</v>
      </c>
      <c r="F26" s="62">
        <f>SUM(D18:D25)-SUM(E18:E25)</f>
        <v>1641</v>
      </c>
      <c r="G26" s="11">
        <v>1082</v>
      </c>
      <c r="H26" s="97">
        <f>G26*F26</f>
        <v>1775562</v>
      </c>
      <c r="I26" s="60"/>
      <c r="J26" s="61"/>
      <c r="K26" s="61"/>
      <c r="L26" s="62">
        <f t="shared" ref="L26:M26" si="12">SUM(L18:L25)</f>
        <v>0</v>
      </c>
      <c r="M26" s="62">
        <f t="shared" si="12"/>
        <v>0</v>
      </c>
      <c r="N26" s="62">
        <f>SUM(L18:L25)-SUM(M18:M25)</f>
        <v>0</v>
      </c>
      <c r="O26" s="11">
        <v>1025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306754</v>
      </c>
      <c r="C27" s="4">
        <f>B27</f>
        <v>306754</v>
      </c>
      <c r="D27" s="41">
        <f t="shared" ref="D27:D28" si="13">C27-B27</f>
        <v>0</v>
      </c>
      <c r="E27" s="4"/>
      <c r="F27" s="67"/>
      <c r="G27" s="67"/>
      <c r="H27" s="68"/>
      <c r="I27" s="69" t="s">
        <v>114</v>
      </c>
      <c r="J27" s="98">
        <f>C27</f>
        <v>306754</v>
      </c>
      <c r="K27" s="4">
        <f>J27</f>
        <v>306754</v>
      </c>
      <c r="L27" s="41">
        <f t="shared" ref="L27:L28" si="14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257358</v>
      </c>
      <c r="C28" s="4">
        <f>B28</f>
        <v>257358</v>
      </c>
      <c r="D28" s="41">
        <f t="shared" si="13"/>
        <v>0</v>
      </c>
      <c r="E28" s="3"/>
      <c r="F28" s="41"/>
      <c r="G28" s="41"/>
      <c r="H28" s="73"/>
      <c r="I28" s="40">
        <v>2</v>
      </c>
      <c r="J28" s="92">
        <f>C28</f>
        <v>257358</v>
      </c>
      <c r="K28" s="3">
        <f>J28</f>
        <v>257358</v>
      </c>
      <c r="L28" s="41">
        <f t="shared" si="14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5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6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5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6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>
      <c r="A34" s="93" t="s">
        <v>20</v>
      </c>
      <c r="B34" s="94">
        <f>K18</f>
        <v>949414</v>
      </c>
      <c r="C34" s="296">
        <v>949414</v>
      </c>
      <c r="D34" s="95">
        <f t="shared" ref="D34:D41" si="17">C34-B34</f>
        <v>0</v>
      </c>
      <c r="E34" s="8"/>
      <c r="F34" s="95"/>
      <c r="G34" s="95"/>
      <c r="H34" s="96"/>
      <c r="I34" s="93" t="s">
        <v>20</v>
      </c>
      <c r="J34" s="94">
        <f>C34</f>
        <v>949414</v>
      </c>
      <c r="K34" s="296">
        <v>949414</v>
      </c>
      <c r="L34" s="95">
        <f t="shared" ref="L34:L41" si="18">K34-J34</f>
        <v>0</v>
      </c>
      <c r="M34" s="8"/>
      <c r="N34" s="95"/>
      <c r="O34" s="95"/>
      <c r="P34" s="96"/>
    </row>
    <row r="35" spans="1:16" ht="15.75" customHeight="1">
      <c r="A35" s="40">
        <v>2</v>
      </c>
      <c r="B35" s="92">
        <f>K19</f>
        <v>913374</v>
      </c>
      <c r="C35" s="295">
        <v>913374</v>
      </c>
      <c r="D35" s="41">
        <f t="shared" si="17"/>
        <v>0</v>
      </c>
      <c r="E35" s="3"/>
      <c r="F35" s="41"/>
      <c r="G35" s="41"/>
      <c r="H35" s="73"/>
      <c r="I35" s="40">
        <v>2</v>
      </c>
      <c r="J35" s="92">
        <f>C35</f>
        <v>913374</v>
      </c>
      <c r="K35" s="295">
        <v>913374</v>
      </c>
      <c r="L35" s="41">
        <f t="shared" si="18"/>
        <v>0</v>
      </c>
      <c r="M35" s="3"/>
      <c r="N35" s="41"/>
      <c r="O35" s="41"/>
      <c r="P35" s="73"/>
    </row>
    <row r="36" spans="1:16" ht="15.75" customHeight="1">
      <c r="A36" s="40">
        <v>3</v>
      </c>
      <c r="B36" s="92">
        <f t="shared" ref="B36:B41" si="19">K20</f>
        <v>1372731</v>
      </c>
      <c r="C36" s="295">
        <v>1372731</v>
      </c>
      <c r="D36" s="41">
        <f t="shared" si="17"/>
        <v>0</v>
      </c>
      <c r="E36" s="3"/>
      <c r="F36" s="41"/>
      <c r="G36" s="41"/>
      <c r="H36" s="73"/>
      <c r="I36" s="40">
        <v>3</v>
      </c>
      <c r="J36" s="92">
        <f t="shared" ref="J36:J41" si="20">C36</f>
        <v>1372731</v>
      </c>
      <c r="K36" s="295">
        <v>1372731</v>
      </c>
      <c r="L36" s="41">
        <f t="shared" si="18"/>
        <v>0</v>
      </c>
      <c r="M36" s="3"/>
      <c r="N36" s="41"/>
      <c r="O36" s="41"/>
      <c r="P36" s="73"/>
    </row>
    <row r="37" spans="1:16" ht="15.75" customHeight="1">
      <c r="A37" s="40">
        <v>4</v>
      </c>
      <c r="B37" s="92">
        <f t="shared" si="19"/>
        <v>1151178</v>
      </c>
      <c r="C37" s="295">
        <v>1151178</v>
      </c>
      <c r="D37" s="41">
        <f t="shared" si="17"/>
        <v>0</v>
      </c>
      <c r="E37" s="3"/>
      <c r="F37" s="41"/>
      <c r="G37" s="41"/>
      <c r="H37" s="73"/>
      <c r="I37" s="40">
        <v>4</v>
      </c>
      <c r="J37" s="92">
        <f t="shared" si="20"/>
        <v>1151178</v>
      </c>
      <c r="K37" s="295">
        <v>1151178</v>
      </c>
      <c r="L37" s="41">
        <f t="shared" si="18"/>
        <v>0</v>
      </c>
      <c r="M37" s="3"/>
      <c r="N37" s="41"/>
      <c r="O37" s="41"/>
      <c r="P37" s="73"/>
    </row>
    <row r="38" spans="1:16" ht="15.75" customHeight="1">
      <c r="A38" s="40">
        <v>5</v>
      </c>
      <c r="B38" s="92">
        <f t="shared" si="19"/>
        <v>1215271</v>
      </c>
      <c r="C38" s="295">
        <v>1215271</v>
      </c>
      <c r="D38" s="41">
        <f t="shared" si="17"/>
        <v>0</v>
      </c>
      <c r="E38" s="3"/>
      <c r="F38" s="41"/>
      <c r="G38" s="41"/>
      <c r="H38" s="73"/>
      <c r="I38" s="40">
        <v>5</v>
      </c>
      <c r="J38" s="92">
        <f t="shared" si="20"/>
        <v>1215271</v>
      </c>
      <c r="K38" s="295">
        <v>1215271</v>
      </c>
      <c r="L38" s="41">
        <f t="shared" si="18"/>
        <v>0</v>
      </c>
      <c r="M38" s="3"/>
      <c r="N38" s="41"/>
      <c r="O38" s="41"/>
      <c r="P38" s="73"/>
    </row>
    <row r="39" spans="1:16" ht="15.75" customHeight="1">
      <c r="A39" s="40">
        <v>6</v>
      </c>
      <c r="B39" s="92">
        <f t="shared" si="19"/>
        <v>1044332</v>
      </c>
      <c r="C39" s="295">
        <v>1044332</v>
      </c>
      <c r="D39" s="41">
        <f t="shared" si="17"/>
        <v>0</v>
      </c>
      <c r="E39" s="3"/>
      <c r="F39" s="41"/>
      <c r="G39" s="41"/>
      <c r="H39" s="73"/>
      <c r="I39" s="40">
        <v>6</v>
      </c>
      <c r="J39" s="92">
        <f t="shared" si="20"/>
        <v>1044332</v>
      </c>
      <c r="K39" s="295">
        <v>1044332</v>
      </c>
      <c r="L39" s="41">
        <f t="shared" si="18"/>
        <v>0</v>
      </c>
      <c r="M39" s="3"/>
      <c r="N39" s="41"/>
      <c r="O39" s="41"/>
      <c r="P39" s="73"/>
    </row>
    <row r="40" spans="1:16" ht="15.75" customHeight="1">
      <c r="A40" s="40">
        <v>7</v>
      </c>
      <c r="B40" s="92">
        <f t="shared" si="19"/>
        <v>1012567</v>
      </c>
      <c r="C40" s="295">
        <v>1012567</v>
      </c>
      <c r="D40" s="41">
        <f t="shared" si="17"/>
        <v>0</v>
      </c>
      <c r="E40" s="3"/>
      <c r="F40" s="41"/>
      <c r="G40" s="41"/>
      <c r="H40" s="73"/>
      <c r="I40" s="40">
        <v>7</v>
      </c>
      <c r="J40" s="92">
        <f t="shared" si="20"/>
        <v>1012567</v>
      </c>
      <c r="K40" s="295">
        <v>1012567</v>
      </c>
      <c r="L40" s="41">
        <f t="shared" si="18"/>
        <v>0</v>
      </c>
      <c r="M40" s="3"/>
      <c r="N40" s="41"/>
      <c r="O40" s="41"/>
      <c r="P40" s="73"/>
    </row>
    <row r="41" spans="1:16" ht="15.75" customHeight="1">
      <c r="A41" s="40">
        <v>8</v>
      </c>
      <c r="B41" s="92">
        <f t="shared" si="19"/>
        <v>1155895</v>
      </c>
      <c r="C41" s="295">
        <v>1155895</v>
      </c>
      <c r="D41" s="41">
        <f t="shared" si="17"/>
        <v>0</v>
      </c>
      <c r="E41" s="3"/>
      <c r="F41" s="41"/>
      <c r="G41" s="41"/>
      <c r="H41" s="73"/>
      <c r="I41" s="40">
        <v>8</v>
      </c>
      <c r="J41" s="92">
        <f t="shared" si="20"/>
        <v>1155895</v>
      </c>
      <c r="K41" s="295">
        <v>1155895</v>
      </c>
      <c r="L41" s="41">
        <f t="shared" si="18"/>
        <v>0</v>
      </c>
      <c r="M41" s="3"/>
      <c r="N41" s="41"/>
      <c r="O41" s="41"/>
      <c r="P41" s="73"/>
    </row>
    <row r="42" spans="1:16" ht="15.75" customHeight="1">
      <c r="A42" s="60"/>
      <c r="B42" s="61"/>
      <c r="C42" s="61"/>
      <c r="D42" s="62">
        <f t="shared" ref="D42:E42" si="21">SUM(D34:D41)</f>
        <v>0</v>
      </c>
      <c r="E42" s="62">
        <f t="shared" si="21"/>
        <v>0</v>
      </c>
      <c r="F42" s="62">
        <f>SUM(D34:D41)-SUM(E34:E41)</f>
        <v>0</v>
      </c>
      <c r="G42" s="11">
        <v>1050</v>
      </c>
      <c r="H42" s="97">
        <f>G42*F42</f>
        <v>0</v>
      </c>
      <c r="I42" s="60"/>
      <c r="J42" s="61"/>
      <c r="K42" s="61"/>
      <c r="L42" s="62">
        <f t="shared" ref="L42:M42" si="22">SUM(L34:L41)</f>
        <v>0</v>
      </c>
      <c r="M42" s="62">
        <f t="shared" si="22"/>
        <v>0</v>
      </c>
      <c r="N42" s="62">
        <f>SUM(L34:L41)-SUM(M34:M41)</f>
        <v>0</v>
      </c>
      <c r="O42" s="11">
        <v>1082</v>
      </c>
      <c r="P42" s="97">
        <f>O42*N42</f>
        <v>0</v>
      </c>
    </row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</sheetData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9BA2DC8-A46D-4CED-8C64-B10C6C56C71C}"/>
  </hyperlinks>
  <pageMargins left="0.7" right="0.7" top="0.75" bottom="0.75" header="0" footer="0"/>
  <pageSetup paperSize="9" scale="5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C7E2-25EE-4B6C-8A49-C552AD4D90F2}">
  <dimension ref="A1:P923"/>
  <sheetViews>
    <sheetView zoomScaleNormal="100" zoomScaleSheetLayoutView="100" zoomScalePageLayoutView="55" workbookViewId="0">
      <pane ySplit="1" topLeftCell="B9" activePane="bottomLeft" state="frozen"/>
      <selection pane="bottomLeft" activeCell="B9" sqref="B9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3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7</v>
      </c>
      <c r="E1" s="30" t="s">
        <v>98</v>
      </c>
      <c r="F1" s="31">
        <v>8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46237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949414</v>
      </c>
      <c r="C3" s="3">
        <v>950764</v>
      </c>
      <c r="D3" s="41">
        <f t="shared" ref="D3:D10" ca="1" si="0">C3-B3</f>
        <v>1350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7900</v>
      </c>
      <c r="K3" s="5"/>
      <c r="L3" s="155"/>
      <c r="M3" s="6">
        <f>5500</f>
        <v>5500</v>
      </c>
      <c r="N3" s="44">
        <f ca="1">J3+L3-M3</f>
        <v>2400</v>
      </c>
      <c r="O3" s="44">
        <f ca="1">D5+D6+D9+D10+D20+D21+D24+D25+L20+L21+L24+L25</f>
        <v>2465</v>
      </c>
      <c r="P3" s="45">
        <f ca="1">O3-N3</f>
        <v>65</v>
      </c>
    </row>
    <row r="4" spans="1:16">
      <c r="A4" s="40">
        <v>2</v>
      </c>
      <c r="B4" s="92" cm="1">
        <f t="array" aca="1" ref="B4" ca="1">INDIRECT($D$1&amp;"!k19")</f>
        <v>913374</v>
      </c>
      <c r="C4" s="3"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2800</v>
      </c>
      <c r="K4" s="13"/>
      <c r="L4" s="156"/>
      <c r="M4" s="6">
        <v>1500</v>
      </c>
      <c r="N4" s="47">
        <f t="shared" ref="N4:N7" ca="1" si="1">J4+L4-M4</f>
        <v>1300</v>
      </c>
      <c r="O4" s="47">
        <f ca="1">D3+D4+D7+D8+D22+D23+L22+L23+D18+D19+L18+L19</f>
        <v>1350</v>
      </c>
      <c r="P4" s="48">
        <f ca="1">O4-N4</f>
        <v>50</v>
      </c>
    </row>
    <row r="5" spans="1:16">
      <c r="A5" s="40">
        <v>3</v>
      </c>
      <c r="B5" s="92" cm="1">
        <f t="array" aca="1" ref="B5" ca="1">INDIRECT($D$1&amp;"!k20")</f>
        <v>1372731</v>
      </c>
      <c r="C5" s="3">
        <v>1373749</v>
      </c>
      <c r="D5" s="41">
        <f t="shared" ca="1" si="0"/>
        <v>1018</v>
      </c>
      <c r="E5" s="3"/>
      <c r="F5" s="41"/>
      <c r="G5" s="41"/>
      <c r="H5" s="42"/>
      <c r="I5" s="49" t="s">
        <v>22</v>
      </c>
      <c r="J5" s="50">
        <f ca="1">SUM(J3:J4)</f>
        <v>10700</v>
      </c>
      <c r="K5" s="50">
        <f t="shared" ref="K5:L5" si="2">SUM(K3:K4)</f>
        <v>0</v>
      </c>
      <c r="L5" s="50">
        <f t="shared" si="2"/>
        <v>0</v>
      </c>
      <c r="M5" s="50">
        <f>M3+M4</f>
        <v>7000</v>
      </c>
      <c r="N5" s="50">
        <f t="shared" ca="1" si="1"/>
        <v>3700</v>
      </c>
      <c r="O5" s="50">
        <f ca="1">SUM(O3:O4)</f>
        <v>3815</v>
      </c>
      <c r="P5" s="51">
        <f ca="1">O5-N5</f>
        <v>115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22600</v>
      </c>
      <c r="K6" s="5"/>
      <c r="L6" s="99"/>
      <c r="M6" s="6">
        <f>22500</f>
        <v>22500</v>
      </c>
      <c r="N6" s="44">
        <f t="shared" ca="1" si="1"/>
        <v>100</v>
      </c>
      <c r="O6" s="44">
        <f ca="1">D12+D13+D27+D28+L27+L28</f>
        <v>136</v>
      </c>
      <c r="P6" s="45">
        <f t="shared" ref="P6:P7" ca="1" si="3">O6-N6</f>
        <v>36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ref="C4:C10" ca="1" si="4">B9</f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1155895</v>
      </c>
      <c r="C10" s="3">
        <f>1157342</f>
        <v>1157342</v>
      </c>
      <c r="D10" s="41">
        <f t="shared" ca="1" si="0"/>
        <v>1447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3815</v>
      </c>
      <c r="E11" s="62">
        <f t="shared" si="5"/>
        <v>0</v>
      </c>
      <c r="F11" s="62">
        <f ca="1">SUM(D3:D10)-SUM(E3:E10)</f>
        <v>3815</v>
      </c>
      <c r="G11" s="11">
        <v>1082</v>
      </c>
      <c r="H11" s="97">
        <f ca="1">G11*F11</f>
        <v>4127830</v>
      </c>
      <c r="I11" s="64" t="str" cm="1">
        <f t="array" aca="1" ref="I11" ca="1">INDIRECT("LODGEMENT"&amp;"!F3")</f>
        <v>GTBank 1</v>
      </c>
      <c r="J11" s="9">
        <v>2171982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3815</v>
      </c>
      <c r="P11" s="68">
        <f ca="1">H11+H26+P26</f>
        <v>4127830</v>
      </c>
    </row>
    <row r="12" spans="1:16" ht="15.75" customHeight="1">
      <c r="A12" s="69" t="s">
        <v>114</v>
      </c>
      <c r="B12" s="98" cm="1">
        <f t="array" aca="1" ref="B12" ca="1">INDIRECT($D$1&amp;"!k27")</f>
        <v>306754</v>
      </c>
      <c r="C12" s="4">
        <f>306759</f>
        <v>306759</v>
      </c>
      <c r="D12" s="41">
        <f t="shared" ref="D12:D13" ca="1" si="6">C12-B12</f>
        <v>5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1876291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104</v>
      </c>
      <c r="P12" s="73">
        <f ca="1">H14+H29+P29</f>
        <v>150800</v>
      </c>
    </row>
    <row r="13" spans="1:16" ht="15.75" customHeight="1" thickBot="1">
      <c r="A13" s="40">
        <v>2</v>
      </c>
      <c r="B13" s="98" cm="1">
        <f t="array" aca="1" ref="B13" ca="1">INDIRECT($D$1&amp;"!k28")</f>
        <v>257358</v>
      </c>
      <c r="C13" s="4">
        <f>257489</f>
        <v>257489</v>
      </c>
      <c r="D13" s="41">
        <f t="shared" ca="1" si="6"/>
        <v>131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136</v>
      </c>
      <c r="E14" s="62">
        <f>SUM(E12:E13)</f>
        <v>32</v>
      </c>
      <c r="F14" s="62">
        <f ca="1">SUM(D12:D13)-SUM(E12:E13)</f>
        <v>104</v>
      </c>
      <c r="G14" s="11">
        <v>1450</v>
      </c>
      <c r="H14" s="97">
        <f ca="1">G14*F14</f>
        <v>150800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4278630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4048273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230357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950764</v>
      </c>
      <c r="C18" s="3">
        <f>B18</f>
        <v>950764</v>
      </c>
      <c r="D18" s="41">
        <f t="shared" ref="D18:D25" si="9">C18-B18</f>
        <v>0</v>
      </c>
      <c r="E18" s="3"/>
      <c r="F18" s="41"/>
      <c r="G18" s="41"/>
      <c r="H18" s="73"/>
      <c r="I18" s="93" t="s">
        <v>20</v>
      </c>
      <c r="J18" s="94">
        <f t="shared" ref="J18:J25" si="10">C18</f>
        <v>950764</v>
      </c>
      <c r="K18" s="8">
        <f t="shared" ref="K18:K25" si="11">J18</f>
        <v>950764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8"/>
        <v>913374</v>
      </c>
      <c r="C19" s="3">
        <f t="shared" ref="C19:C25" si="13">B19</f>
        <v>913374</v>
      </c>
      <c r="D19" s="41">
        <f t="shared" si="9"/>
        <v>0</v>
      </c>
      <c r="E19" s="3"/>
      <c r="F19" s="41"/>
      <c r="G19" s="41"/>
      <c r="H19" s="73"/>
      <c r="I19" s="40">
        <v>2</v>
      </c>
      <c r="J19" s="92">
        <f t="shared" si="10"/>
        <v>913374</v>
      </c>
      <c r="K19" s="3">
        <f t="shared" si="11"/>
        <v>913374</v>
      </c>
      <c r="L19" s="41">
        <f t="shared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1373749</v>
      </c>
      <c r="C20" s="3">
        <f t="shared" si="13"/>
        <v>1373749</v>
      </c>
      <c r="D20" s="41">
        <f t="shared" si="9"/>
        <v>0</v>
      </c>
      <c r="E20" s="3"/>
      <c r="F20" s="41"/>
      <c r="G20" s="41"/>
      <c r="H20" s="73"/>
      <c r="I20" s="40">
        <v>3</v>
      </c>
      <c r="J20" s="92">
        <f t="shared" si="10"/>
        <v>1373749</v>
      </c>
      <c r="K20" s="3">
        <f t="shared" si="11"/>
        <v>1373749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8"/>
        <v>1151178</v>
      </c>
      <c r="C21" s="3">
        <f t="shared" si="13"/>
        <v>1151178</v>
      </c>
      <c r="D21" s="41">
        <f t="shared" si="9"/>
        <v>0</v>
      </c>
      <c r="E21" s="3"/>
      <c r="F21" s="41"/>
      <c r="G21" s="41"/>
      <c r="H21" s="73"/>
      <c r="I21" s="40">
        <v>4</v>
      </c>
      <c r="J21" s="92">
        <f t="shared" si="10"/>
        <v>1151178</v>
      </c>
      <c r="K21" s="3">
        <f t="shared" si="11"/>
        <v>1151178</v>
      </c>
      <c r="L21" s="41">
        <f t="shared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8"/>
        <v>1215271</v>
      </c>
      <c r="C22" s="3">
        <f t="shared" si="13"/>
        <v>1215271</v>
      </c>
      <c r="D22" s="41">
        <f t="shared" si="9"/>
        <v>0</v>
      </c>
      <c r="E22" s="3"/>
      <c r="F22" s="41"/>
      <c r="G22" s="41"/>
      <c r="H22" s="73"/>
      <c r="I22" s="40">
        <v>5</v>
      </c>
      <c r="J22" s="92">
        <f t="shared" si="10"/>
        <v>1215271</v>
      </c>
      <c r="K22" s="3">
        <f t="shared" si="11"/>
        <v>1215271</v>
      </c>
      <c r="L22" s="41">
        <f t="shared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8"/>
        <v>1044332</v>
      </c>
      <c r="C23" s="3">
        <f t="shared" si="13"/>
        <v>1044332</v>
      </c>
      <c r="D23" s="41">
        <f t="shared" si="9"/>
        <v>0</v>
      </c>
      <c r="E23" s="3"/>
      <c r="F23" s="41"/>
      <c r="G23" s="41"/>
      <c r="H23" s="73"/>
      <c r="I23" s="40">
        <v>6</v>
      </c>
      <c r="J23" s="92">
        <f t="shared" si="10"/>
        <v>1044332</v>
      </c>
      <c r="K23" s="3">
        <f t="shared" si="11"/>
        <v>1044332</v>
      </c>
      <c r="L23" s="41">
        <f t="shared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f t="shared" ca="1" si="13"/>
        <v>1012567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1012567</v>
      </c>
      <c r="K24" s="3">
        <f t="shared" ca="1" si="11"/>
        <v>1012567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1157342</v>
      </c>
      <c r="C25" s="3">
        <f t="shared" si="13"/>
        <v>1157342</v>
      </c>
      <c r="D25" s="41">
        <f t="shared" si="9"/>
        <v>0</v>
      </c>
      <c r="E25" s="3"/>
      <c r="F25" s="41"/>
      <c r="G25" s="41"/>
      <c r="H25" s="73"/>
      <c r="I25" s="40">
        <v>8</v>
      </c>
      <c r="J25" s="92">
        <f t="shared" si="10"/>
        <v>1157342</v>
      </c>
      <c r="K25" s="3">
        <f t="shared" si="11"/>
        <v>1157342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>C12</f>
        <v>306759</v>
      </c>
      <c r="C27" s="4">
        <f>B27</f>
        <v>306759</v>
      </c>
      <c r="D27" s="41">
        <f t="shared" ref="D27:D28" si="16">C27-B27</f>
        <v>0</v>
      </c>
      <c r="E27" s="4"/>
      <c r="F27" s="67"/>
      <c r="G27" s="67"/>
      <c r="H27" s="68"/>
      <c r="I27" s="69" t="s">
        <v>114</v>
      </c>
      <c r="J27" s="98">
        <f>C27</f>
        <v>306759</v>
      </c>
      <c r="K27" s="4">
        <f>J27</f>
        <v>306759</v>
      </c>
      <c r="L27" s="41">
        <f t="shared" ref="L27:L28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257489</v>
      </c>
      <c r="C28" s="4">
        <f>B28</f>
        <v>257489</v>
      </c>
      <c r="D28" s="41">
        <f t="shared" si="16"/>
        <v>0</v>
      </c>
      <c r="E28" s="3"/>
      <c r="F28" s="41"/>
      <c r="G28" s="41"/>
      <c r="H28" s="73"/>
      <c r="I28" s="40">
        <v>2</v>
      </c>
      <c r="J28" s="92">
        <f>C28</f>
        <v>257489</v>
      </c>
      <c r="K28" s="3">
        <f>J28</f>
        <v>257489</v>
      </c>
      <c r="L28" s="41">
        <f t="shared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GYRy+sS6gvR9OOcrFxD8cuYs0HlI/gKOsXzxAUGPdEZwnTqHrRx0vJWT8W368jN9GbOnHFKVnKVRlo9tcrV9w==" saltValue="d9sc/vvBdv2M5V+WNmBIT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1C1D6B06-414F-4D45-8C1A-450C5AEE1B34}"/>
  </hyperlinks>
  <pageMargins left="0.7" right="0.7" top="0.75" bottom="0.75" header="0" footer="0"/>
  <pageSetup paperSize="9" scale="5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A47C-1636-43E7-9273-B50DAA57633E}">
  <dimension ref="A1:P923"/>
  <sheetViews>
    <sheetView zoomScaleNormal="100" zoomScaleSheetLayoutView="100" zoomScalePageLayoutView="55" workbookViewId="0">
      <pane ySplit="1" topLeftCell="A11" activePane="bottomLeft" state="frozen"/>
      <selection pane="bottomLeft" activeCell="E23" sqref="E21:E2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8</v>
      </c>
      <c r="E1" s="30" t="s">
        <v>98</v>
      </c>
      <c r="F1" s="31">
        <v>9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46268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950764</v>
      </c>
      <c r="C3" s="3">
        <v>951114</v>
      </c>
      <c r="D3" s="41">
        <f t="shared" ref="D3:D10" ca="1" si="0">C3-B3</f>
        <v>350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5500</v>
      </c>
      <c r="K3" s="5">
        <v>30000</v>
      </c>
      <c r="L3" s="155">
        <v>29700</v>
      </c>
      <c r="M3" s="6">
        <f>3200+30000-300</f>
        <v>32900</v>
      </c>
      <c r="N3" s="44">
        <f ca="1">J3+L3-M3</f>
        <v>2300</v>
      </c>
      <c r="O3" s="44">
        <f ca="1">D5+D6+D9+D10+D20+D21+D24+D25+L20+L21+L24+L25</f>
        <v>2396</v>
      </c>
      <c r="P3" s="45">
        <f ca="1">O3-N3</f>
        <v>96</v>
      </c>
    </row>
    <row r="4" spans="1:16">
      <c r="A4" s="40">
        <v>2</v>
      </c>
      <c r="B4" s="92" cm="1">
        <f t="array" aca="1" ref="B4" ca="1">INDIRECT($D$1&amp;"!k19")</f>
        <v>913374</v>
      </c>
      <c r="C4" s="3">
        <f t="shared" ref="C4:C10" ca="1" si="1">B4</f>
        <v>913374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1500</v>
      </c>
      <c r="K4" s="13">
        <v>15000</v>
      </c>
      <c r="L4" s="156">
        <v>14900</v>
      </c>
      <c r="M4" s="6">
        <v>15300</v>
      </c>
      <c r="N4" s="47">
        <f t="shared" ref="N4:N7" ca="1" si="2">J4+L4-M4</f>
        <v>1100</v>
      </c>
      <c r="O4" s="47">
        <f ca="1">D3+D4+D7+D8+D22+D23+L22+L23+D18+D19+L18+L19</f>
        <v>1050</v>
      </c>
      <c r="P4" s="48">
        <f ca="1">O4-N4</f>
        <v>-50</v>
      </c>
    </row>
    <row r="5" spans="1:16">
      <c r="A5" s="40">
        <v>3</v>
      </c>
      <c r="B5" s="92" cm="1">
        <f t="array" aca="1" ref="B5" ca="1">INDIRECT($D$1&amp;"!k20")</f>
        <v>1373749</v>
      </c>
      <c r="C5" s="3">
        <v>1374128</v>
      </c>
      <c r="D5" s="41">
        <f t="shared" ca="1" si="0"/>
        <v>379</v>
      </c>
      <c r="E5" s="3"/>
      <c r="F5" s="41"/>
      <c r="G5" s="41"/>
      <c r="H5" s="42"/>
      <c r="I5" s="49" t="s">
        <v>22</v>
      </c>
      <c r="J5" s="50">
        <f ca="1">SUM(J3:J4)</f>
        <v>7000</v>
      </c>
      <c r="K5" s="50">
        <f t="shared" ref="K5:L5" si="3">SUM(K3:K4)</f>
        <v>45000</v>
      </c>
      <c r="L5" s="50">
        <f t="shared" si="3"/>
        <v>44600</v>
      </c>
      <c r="M5" s="50">
        <f>M3+M4</f>
        <v>48200</v>
      </c>
      <c r="N5" s="50">
        <f t="shared" ca="1" si="2"/>
        <v>3400</v>
      </c>
      <c r="O5" s="50">
        <f ca="1">SUM(O3:O4)</f>
        <v>3446</v>
      </c>
      <c r="P5" s="51">
        <f ca="1">O5-N5</f>
        <v>46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22500</v>
      </c>
      <c r="K6" s="5"/>
      <c r="L6" s="99"/>
      <c r="M6" s="6">
        <v>22300</v>
      </c>
      <c r="N6" s="44">
        <f t="shared" ca="1" si="2"/>
        <v>200</v>
      </c>
      <c r="O6" s="44">
        <f ca="1">D12+D13+D27+D28+L27+L28</f>
        <v>208</v>
      </c>
      <c r="P6" s="45">
        <f t="shared" ref="P6:P7" ca="1" si="4">O6-N6</f>
        <v>8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1012567</v>
      </c>
      <c r="C9" s="3">
        <f t="shared" ca="1" si="1"/>
        <v>1012567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1157342</v>
      </c>
      <c r="C10" s="3">
        <v>1157743</v>
      </c>
      <c r="D10" s="41">
        <f t="shared" ca="1" si="0"/>
        <v>401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1130</v>
      </c>
      <c r="E11" s="62">
        <f t="shared" si="5"/>
        <v>0</v>
      </c>
      <c r="F11" s="62">
        <f ca="1">SUM(D3:D10)-SUM(E3:E10)</f>
        <v>1130</v>
      </c>
      <c r="G11" s="11">
        <v>1082</v>
      </c>
      <c r="H11" s="97">
        <f ca="1">G11*F11</f>
        <v>1222660</v>
      </c>
      <c r="I11" s="64" t="str" cm="1">
        <f t="array" aca="1" ref="I11" ca="1">INDIRECT("LODGEMENT"&amp;"!F3")</f>
        <v>GTBank 1</v>
      </c>
      <c r="J11" s="9">
        <v>1456311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3446</v>
      </c>
      <c r="P11" s="68">
        <f ca="1">H11+H26+P26</f>
        <v>4094500</v>
      </c>
    </row>
    <row r="12" spans="1:16" ht="15.75" customHeight="1">
      <c r="A12" s="69" t="s">
        <v>114</v>
      </c>
      <c r="B12" s="98" cm="1">
        <f t="array" aca="1" ref="B12" ca="1">INDIRECT($D$1&amp;"!k27")</f>
        <v>306759</v>
      </c>
      <c r="C12" s="4">
        <f>306842</f>
        <v>306842</v>
      </c>
      <c r="D12" s="41">
        <f t="shared" ref="D12:D13" ca="1" si="6">C12-B12</f>
        <v>83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2388865</v>
      </c>
      <c r="K12" s="64" t="s">
        <v>115</v>
      </c>
      <c r="L12" s="9">
        <v>32</v>
      </c>
      <c r="M12" s="71" t="s">
        <v>8</v>
      </c>
      <c r="N12" s="72">
        <f>E14+E29+M29-L12-L13</f>
        <v>0</v>
      </c>
      <c r="O12" s="41">
        <f ca="1">F14+F29+N29</f>
        <v>176</v>
      </c>
      <c r="P12" s="73">
        <f ca="1">H14+H29+P29</f>
        <v>276750</v>
      </c>
    </row>
    <row r="13" spans="1:16" ht="15.75" customHeight="1" thickBot="1">
      <c r="A13" s="40">
        <v>2</v>
      </c>
      <c r="B13" s="98" cm="1">
        <f t="array" aca="1" ref="B13" ca="1">INDIRECT($D$1&amp;"!k28")</f>
        <v>257489</v>
      </c>
      <c r="C13" s="4">
        <v>257533</v>
      </c>
      <c r="D13" s="41">
        <f t="shared" ca="1" si="6"/>
        <v>44</v>
      </c>
      <c r="E13" s="3">
        <v>13</v>
      </c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127</v>
      </c>
      <c r="E14" s="62">
        <f>SUM(E12:E13)</f>
        <v>13</v>
      </c>
      <c r="F14" s="62">
        <f ca="1">SUM(D12:D13)-SUM(E12:E13)</f>
        <v>114</v>
      </c>
      <c r="G14" s="11">
        <v>1465</v>
      </c>
      <c r="H14" s="97">
        <f ca="1">G14*F14</f>
        <v>167010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4371250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3845176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526074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>
        <v>1450</v>
      </c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951114</v>
      </c>
      <c r="C18" s="3">
        <v>951635</v>
      </c>
      <c r="D18" s="41">
        <f t="shared" ref="D18:D25" si="9">C18-B18</f>
        <v>521</v>
      </c>
      <c r="E18" s="3"/>
      <c r="F18" s="41"/>
      <c r="G18" s="41"/>
      <c r="H18" s="73"/>
      <c r="I18" s="93" t="s">
        <v>20</v>
      </c>
      <c r="J18" s="94">
        <f t="shared" ref="J18:J25" si="10">C18</f>
        <v>951635</v>
      </c>
      <c r="K18" s="8">
        <f t="shared" ref="K18:K25" si="11">J18</f>
        <v>951635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913374</v>
      </c>
      <c r="C19" s="3">
        <v>913553</v>
      </c>
      <c r="D19" s="41">
        <f t="shared" ca="1" si="9"/>
        <v>179</v>
      </c>
      <c r="E19" s="3"/>
      <c r="F19" s="41"/>
      <c r="G19" s="41"/>
      <c r="H19" s="73"/>
      <c r="I19" s="40">
        <v>2</v>
      </c>
      <c r="J19" s="92">
        <f t="shared" si="10"/>
        <v>913553</v>
      </c>
      <c r="K19" s="3">
        <f t="shared" si="11"/>
        <v>913553</v>
      </c>
      <c r="L19" s="41">
        <f t="shared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1374128</v>
      </c>
      <c r="C20" s="3">
        <v>1374694</v>
      </c>
      <c r="D20" s="41">
        <f t="shared" si="9"/>
        <v>566</v>
      </c>
      <c r="E20" s="3"/>
      <c r="F20" s="41"/>
      <c r="G20" s="41"/>
      <c r="H20" s="73"/>
      <c r="I20" s="40">
        <v>3</v>
      </c>
      <c r="J20" s="92">
        <f t="shared" si="10"/>
        <v>1374694</v>
      </c>
      <c r="K20" s="3">
        <f t="shared" si="11"/>
        <v>1374694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si="10"/>
        <v>1151178</v>
      </c>
      <c r="K21" s="3">
        <f t="shared" si="11"/>
        <v>1151178</v>
      </c>
      <c r="L21" s="41">
        <f t="shared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8"/>
        <v>1215271</v>
      </c>
      <c r="C22" s="3">
        <v>1215271</v>
      </c>
      <c r="D22" s="41">
        <f t="shared" si="9"/>
        <v>0</v>
      </c>
      <c r="E22" s="3"/>
      <c r="F22" s="41"/>
      <c r="G22" s="41"/>
      <c r="H22" s="73"/>
      <c r="I22" s="40">
        <v>5</v>
      </c>
      <c r="J22" s="92">
        <f t="shared" si="10"/>
        <v>1215271</v>
      </c>
      <c r="K22" s="3">
        <f t="shared" si="11"/>
        <v>1215271</v>
      </c>
      <c r="L22" s="41">
        <f t="shared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si="10"/>
        <v>1044332</v>
      </c>
      <c r="K23" s="3">
        <f t="shared" si="11"/>
        <v>1044332</v>
      </c>
      <c r="L23" s="41">
        <f t="shared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1012567</v>
      </c>
      <c r="C24" s="3">
        <v>1012655</v>
      </c>
      <c r="D24" s="41">
        <f t="shared" ca="1" si="9"/>
        <v>88</v>
      </c>
      <c r="E24" s="3"/>
      <c r="F24" s="41"/>
      <c r="G24" s="41"/>
      <c r="H24" s="73"/>
      <c r="I24" s="40">
        <v>7</v>
      </c>
      <c r="J24" s="92">
        <f t="shared" si="10"/>
        <v>1012655</v>
      </c>
      <c r="K24" s="3">
        <f t="shared" si="11"/>
        <v>1012655</v>
      </c>
      <c r="L24" s="41">
        <f t="shared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1157743</v>
      </c>
      <c r="C25" s="3">
        <v>1158705</v>
      </c>
      <c r="D25" s="41">
        <f t="shared" si="9"/>
        <v>962</v>
      </c>
      <c r="E25" s="3"/>
      <c r="F25" s="41"/>
      <c r="G25" s="41"/>
      <c r="H25" s="73"/>
      <c r="I25" s="40">
        <v>8</v>
      </c>
      <c r="J25" s="92">
        <f t="shared" si="10"/>
        <v>1158705</v>
      </c>
      <c r="K25" s="3">
        <f t="shared" si="11"/>
        <v>1158705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3">SUM(D18:D25)</f>
        <v>2316</v>
      </c>
      <c r="E26" s="62">
        <f t="shared" si="13"/>
        <v>0</v>
      </c>
      <c r="F26" s="62">
        <f ca="1">SUM(D18:D25)-SUM(E18:E25)</f>
        <v>2316</v>
      </c>
      <c r="G26" s="11">
        <v>1240</v>
      </c>
      <c r="H26" s="97">
        <f ca="1">G26*F26</f>
        <v>2871840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306842</v>
      </c>
      <c r="C27" s="4">
        <v>306875</v>
      </c>
      <c r="D27" s="41">
        <f t="shared" ref="D27:D28" si="15">C27-B27</f>
        <v>33</v>
      </c>
      <c r="E27" s="4">
        <v>19</v>
      </c>
      <c r="F27" s="67"/>
      <c r="G27" s="67"/>
      <c r="H27" s="68"/>
      <c r="I27" s="69" t="s">
        <v>114</v>
      </c>
      <c r="J27" s="98">
        <f>C27</f>
        <v>306875</v>
      </c>
      <c r="K27" s="4">
        <f>J27</f>
        <v>306875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257533</v>
      </c>
      <c r="C28" s="4">
        <v>257581</v>
      </c>
      <c r="D28" s="41">
        <f t="shared" si="15"/>
        <v>48</v>
      </c>
      <c r="E28" s="3"/>
      <c r="F28" s="41"/>
      <c r="G28" s="41"/>
      <c r="H28" s="73"/>
      <c r="I28" s="40">
        <v>2</v>
      </c>
      <c r="J28" s="92">
        <f>C28</f>
        <v>257581</v>
      </c>
      <c r="K28" s="3">
        <f>J28</f>
        <v>257581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81</v>
      </c>
      <c r="E29" s="62">
        <f>SUM(E27:E28)</f>
        <v>19</v>
      </c>
      <c r="F29" s="62">
        <f>SUM(D27:D28)-SUM(E27:E28)</f>
        <v>62</v>
      </c>
      <c r="G29" s="11">
        <v>1770</v>
      </c>
      <c r="H29" s="97">
        <f>G29*F29</f>
        <v>109740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/nQhtFmKAUeMCyeBItpNYa0q/s1CrMR5+K2AAO3IyUicc3Vk8HYwL5AXQ2bIk2PKeqtokhM6xYgIJDVUr7WrZA==" saltValue="1VRxA80S6eq7KFNhZwnJ+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509700D1-01EB-4580-BC67-20B420C6B75B}"/>
  </hyperlinks>
  <pageMargins left="0.7" right="0.7" top="0.75" bottom="0.75" header="0" footer="0"/>
  <pageSetup paperSize="9" scale="5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614A-0806-4FCA-9D46-AB0EC6A3C21D}">
  <dimension ref="A1:P923"/>
  <sheetViews>
    <sheetView zoomScaleNormal="100" zoomScaleSheetLayoutView="100" zoomScalePageLayoutView="55" workbookViewId="0">
      <pane ySplit="1" topLeftCell="A10" activePane="bottomLeft" state="frozen"/>
      <selection pane="bottomLeft" activeCell="C12" sqref="C12:C20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9</v>
      </c>
      <c r="E1" s="30" t="s">
        <v>98</v>
      </c>
      <c r="F1" s="31">
        <v>10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46298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951635</v>
      </c>
      <c r="C3" s="3">
        <f>951806</f>
        <v>951806</v>
      </c>
      <c r="D3" s="41">
        <f t="shared" ref="D3:D10" ca="1" si="0">C3-B3</f>
        <v>171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32900</v>
      </c>
      <c r="K3" s="5"/>
      <c r="L3" s="155"/>
      <c r="M3" s="6">
        <f>29900</f>
        <v>29900</v>
      </c>
      <c r="N3" s="44">
        <f ca="1">J3+L3-M3</f>
        <v>3000</v>
      </c>
      <c r="O3" s="44">
        <f ca="1">D5+D6+D9+D10+D20+D21+D24+D25+L20+L21+L24+L25</f>
        <v>2897</v>
      </c>
      <c r="P3" s="45">
        <f ca="1">O3-N3</f>
        <v>-103</v>
      </c>
    </row>
    <row r="4" spans="1:16">
      <c r="A4" s="40">
        <v>2</v>
      </c>
      <c r="B4" s="92" cm="1">
        <f t="array" aca="1" ref="B4" ca="1">INDIRECT($D$1&amp;"!k19")</f>
        <v>913553</v>
      </c>
      <c r="C4" s="3">
        <f t="shared" ref="C4:C10" ca="1" si="1">B4</f>
        <v>913553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15300</v>
      </c>
      <c r="K4" s="13"/>
      <c r="L4" s="156"/>
      <c r="M4" s="6">
        <f>14000</f>
        <v>14000</v>
      </c>
      <c r="N4" s="47">
        <f t="shared" ref="N4:N7" ca="1" si="2">J4+L4-M4</f>
        <v>1300</v>
      </c>
      <c r="O4" s="47">
        <f ca="1">D3+D4+D7+D8+D22+D23+L22+L23+D18+D19+L18+L19</f>
        <v>1334</v>
      </c>
      <c r="P4" s="48">
        <f ca="1">O4-N4</f>
        <v>34</v>
      </c>
    </row>
    <row r="5" spans="1:16">
      <c r="A5" s="40">
        <v>3</v>
      </c>
      <c r="B5" s="92" cm="1">
        <f t="array" aca="1" ref="B5" ca="1">INDIRECT($D$1&amp;"!k20")</f>
        <v>1374694</v>
      </c>
      <c r="C5" s="3">
        <v>1374786</v>
      </c>
      <c r="D5" s="41">
        <f t="shared" ca="1" si="0"/>
        <v>92</v>
      </c>
      <c r="E5" s="3"/>
      <c r="F5" s="41"/>
      <c r="G5" s="41"/>
      <c r="H5" s="42"/>
      <c r="I5" s="49" t="s">
        <v>22</v>
      </c>
      <c r="J5" s="50">
        <f ca="1">SUM(J3:J4)</f>
        <v>48200</v>
      </c>
      <c r="K5" s="50">
        <f t="shared" ref="K5:L5" si="3">SUM(K3:K4)</f>
        <v>0</v>
      </c>
      <c r="L5" s="50">
        <f t="shared" si="3"/>
        <v>0</v>
      </c>
      <c r="M5" s="50">
        <f>M3+M4</f>
        <v>43900</v>
      </c>
      <c r="N5" s="50">
        <f t="shared" ca="1" si="2"/>
        <v>4300</v>
      </c>
      <c r="O5" s="50">
        <f ca="1">SUM(O3:O4)</f>
        <v>4231</v>
      </c>
      <c r="P5" s="51">
        <f ca="1">O5-N5</f>
        <v>-69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22300</v>
      </c>
      <c r="K6" s="5"/>
      <c r="L6" s="99"/>
      <c r="M6" s="6">
        <v>21900</v>
      </c>
      <c r="N6" s="44">
        <f t="shared" ca="1" si="2"/>
        <v>400</v>
      </c>
      <c r="O6" s="44">
        <f ca="1">D12+D13+D27+D28+L27+L28</f>
        <v>337</v>
      </c>
      <c r="P6" s="45">
        <f t="shared" ref="P6:P7" ca="1" si="4">O6-N6</f>
        <v>-63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1012655</v>
      </c>
      <c r="C9" s="3">
        <f t="shared" ca="1" si="1"/>
        <v>1012655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1158705</v>
      </c>
      <c r="C10" s="3">
        <f>1158890</f>
        <v>1158890</v>
      </c>
      <c r="D10" s="41">
        <f t="shared" ca="1" si="0"/>
        <v>185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448</v>
      </c>
      <c r="E11" s="62">
        <f t="shared" si="5"/>
        <v>0</v>
      </c>
      <c r="F11" s="62">
        <f ca="1">SUM(D3:D10)-SUM(E3:E10)</f>
        <v>448</v>
      </c>
      <c r="G11" s="11">
        <v>1240</v>
      </c>
      <c r="H11" s="97">
        <f ca="1">G11*F11</f>
        <v>555520</v>
      </c>
      <c r="I11" s="64" t="str" cm="1">
        <f t="array" aca="1" ref="I11" ca="1">INDIRECT("LODGEMENT"&amp;"!F3")</f>
        <v>GTBank 1</v>
      </c>
      <c r="J11" s="9">
        <v>3569487</v>
      </c>
      <c r="K11" s="64" t="s">
        <v>113</v>
      </c>
      <c r="L11" s="9">
        <v>50</v>
      </c>
      <c r="M11" s="65" t="s">
        <v>7</v>
      </c>
      <c r="N11" s="66">
        <f>E11+E26+M26-L11-L14-L15-L16</f>
        <v>0</v>
      </c>
      <c r="O11" s="67">
        <f ca="1">F11+F26+N26</f>
        <v>4181</v>
      </c>
      <c r="P11" s="68">
        <f ca="1">H11+H26+P26</f>
        <v>5408420</v>
      </c>
    </row>
    <row r="12" spans="1:16" ht="15.75" customHeight="1">
      <c r="A12" s="69" t="s">
        <v>114</v>
      </c>
      <c r="B12" s="98" cm="1">
        <f t="array" aca="1" ref="B12" ca="1">INDIRECT($D$1&amp;"!k27")</f>
        <v>306875</v>
      </c>
      <c r="C12" s="4">
        <v>307028</v>
      </c>
      <c r="D12" s="41">
        <f t="shared" ref="D12:D13" ca="1" si="6">C12-B12</f>
        <v>153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2142360</v>
      </c>
      <c r="K12" s="64" t="s">
        <v>115</v>
      </c>
      <c r="L12" s="9">
        <f>E14</f>
        <v>42</v>
      </c>
      <c r="M12" s="71" t="s">
        <v>8</v>
      </c>
      <c r="N12" s="72">
        <f>E14+E29+M29-L12-L13</f>
        <v>0</v>
      </c>
      <c r="O12" s="41">
        <f ca="1">F14+F29+N29</f>
        <v>295</v>
      </c>
      <c r="P12" s="73">
        <f ca="1">H14+H29+P29</f>
        <v>522150</v>
      </c>
    </row>
    <row r="13" spans="1:16" ht="15.75" customHeight="1" thickBot="1">
      <c r="A13" s="40">
        <v>2</v>
      </c>
      <c r="B13" s="98" cm="1">
        <f t="array" aca="1" ref="B13" ca="1">INDIRECT($D$1&amp;"!k28")</f>
        <v>257581</v>
      </c>
      <c r="C13" s="4">
        <v>257765</v>
      </c>
      <c r="D13" s="41">
        <f t="shared" ca="1" si="6"/>
        <v>184</v>
      </c>
      <c r="E13" s="3">
        <v>42</v>
      </c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337</v>
      </c>
      <c r="E14" s="62">
        <f>SUM(E12:E13)</f>
        <v>42</v>
      </c>
      <c r="F14" s="62">
        <f ca="1">SUM(D12:D13)-SUM(E12:E13)</f>
        <v>295</v>
      </c>
      <c r="G14" s="11">
        <v>1770</v>
      </c>
      <c r="H14" s="97">
        <f ca="1">G14*F14</f>
        <v>522150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5930570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5711847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218723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951806</v>
      </c>
      <c r="C18" s="3">
        <f>952969</f>
        <v>952969</v>
      </c>
      <c r="D18" s="41">
        <f t="shared" ref="D18:D25" si="9">C18-B18</f>
        <v>1163</v>
      </c>
      <c r="E18" s="3"/>
      <c r="F18" s="41"/>
      <c r="G18" s="41"/>
      <c r="H18" s="73"/>
      <c r="I18" s="93" t="s">
        <v>20</v>
      </c>
      <c r="J18" s="94">
        <f t="shared" ref="J18:J25" si="10">C18</f>
        <v>952969</v>
      </c>
      <c r="K18" s="8">
        <f t="shared" ref="K18:K25" si="11">J18</f>
        <v>952969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913553</v>
      </c>
      <c r="C19" s="3">
        <f ca="1">B19</f>
        <v>913553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913553</v>
      </c>
      <c r="K19" s="3">
        <f t="shared" ca="1" si="11"/>
        <v>913553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1374786</v>
      </c>
      <c r="C20" s="3">
        <f>1376235</f>
        <v>1376235</v>
      </c>
      <c r="D20" s="41">
        <f t="shared" si="9"/>
        <v>1449</v>
      </c>
      <c r="E20" s="3">
        <v>50</v>
      </c>
      <c r="F20" s="41"/>
      <c r="G20" s="41"/>
      <c r="H20" s="73"/>
      <c r="I20" s="40">
        <v>3</v>
      </c>
      <c r="J20" s="92">
        <f t="shared" si="10"/>
        <v>1376235</v>
      </c>
      <c r="K20" s="3">
        <f t="shared" si="11"/>
        <v>1376235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ref="C19:C25" ca="1" si="13">B21</f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1012655</v>
      </c>
      <c r="C24" s="3">
        <f t="shared" ca="1" si="13"/>
        <v>1012655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1012655</v>
      </c>
      <c r="K24" s="3">
        <f t="shared" ca="1" si="11"/>
        <v>1012655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1158890</v>
      </c>
      <c r="C25" s="3">
        <f>1160061</f>
        <v>1160061</v>
      </c>
      <c r="D25" s="41">
        <f t="shared" si="9"/>
        <v>1171</v>
      </c>
      <c r="E25" s="3"/>
      <c r="F25" s="41"/>
      <c r="G25" s="41"/>
      <c r="H25" s="73"/>
      <c r="I25" s="40">
        <v>8</v>
      </c>
      <c r="J25" s="92">
        <f t="shared" si="10"/>
        <v>1160061</v>
      </c>
      <c r="K25" s="3">
        <f t="shared" si="11"/>
        <v>1160061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3783</v>
      </c>
      <c r="E26" s="62">
        <f t="shared" si="14"/>
        <v>50</v>
      </c>
      <c r="F26" s="62">
        <f ca="1">SUM(D18:D25)-SUM(E18:E25)</f>
        <v>3733</v>
      </c>
      <c r="G26" s="11">
        <v>1300</v>
      </c>
      <c r="H26" s="97">
        <f ca="1">G26*F26</f>
        <v>4852900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>C12</f>
        <v>307028</v>
      </c>
      <c r="C27" s="4">
        <f>307028</f>
        <v>307028</v>
      </c>
      <c r="D27" s="41">
        <f t="shared" ref="D27:D28" si="16">C27-B27</f>
        <v>0</v>
      </c>
      <c r="E27" s="4"/>
      <c r="F27" s="67"/>
      <c r="G27" s="67"/>
      <c r="H27" s="68"/>
      <c r="I27" s="69" t="s">
        <v>114</v>
      </c>
      <c r="J27" s="98">
        <f>C27</f>
        <v>307028</v>
      </c>
      <c r="K27" s="4">
        <f>J27</f>
        <v>307028</v>
      </c>
      <c r="L27" s="41">
        <f t="shared" ref="L27:L28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257765</v>
      </c>
      <c r="C28" s="4">
        <f>257765</f>
        <v>257765</v>
      </c>
      <c r="D28" s="41">
        <f t="shared" si="16"/>
        <v>0</v>
      </c>
      <c r="E28" s="3"/>
      <c r="F28" s="41"/>
      <c r="G28" s="41"/>
      <c r="H28" s="73"/>
      <c r="I28" s="40">
        <v>2</v>
      </c>
      <c r="J28" s="92">
        <f>C28</f>
        <v>257765</v>
      </c>
      <c r="K28" s="3">
        <f>J28</f>
        <v>257765</v>
      </c>
      <c r="L28" s="41">
        <f t="shared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2nZ6fyTF78SY51wuI3pkuoHMlhYANo6B8Nlx2VJ0fejXQMK2A113pcMBOuxiu88GV0bctWzCH6N+zEZT0J8r4Q==" saltValue="2zuwKUUTR2HE1uMLU8e7v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52C223A5-9B0B-4C88-B985-3D66FAB00136}"/>
  </hyperlinks>
  <pageMargins left="0.7" right="0.7" top="0.75" bottom="0.75" header="0" footer="0"/>
  <pageSetup paperSize="9" scale="5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E7B1-9B86-4648-B8D5-10E4231C1A2F}">
  <dimension ref="A1:P923"/>
  <sheetViews>
    <sheetView zoomScaleNormal="100" zoomScaleSheetLayoutView="100" zoomScalePageLayoutView="55" workbookViewId="0">
      <pane ySplit="1" topLeftCell="D2" activePane="bottomLeft" state="frozen"/>
      <selection pane="bottomLeft" activeCell="T23" sqref="E4:T2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10</v>
      </c>
      <c r="E1" s="30" t="s">
        <v>98</v>
      </c>
      <c r="F1" s="31">
        <v>11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46329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952969</v>
      </c>
      <c r="C3" s="3">
        <f>953410</f>
        <v>953410</v>
      </c>
      <c r="D3" s="41">
        <f t="shared" ref="D3:D10" ca="1" si="0">C3-B3</f>
        <v>441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29900</v>
      </c>
      <c r="K3" s="5"/>
      <c r="L3" s="155"/>
      <c r="M3" s="6">
        <v>27300</v>
      </c>
      <c r="N3" s="44">
        <f ca="1">J3+L3-M3</f>
        <v>2600</v>
      </c>
      <c r="O3" s="44">
        <f ca="1">D5+D6+D9+D10+D20+D21+D24+D25+L20+L21+L24+L25</f>
        <v>2668</v>
      </c>
      <c r="P3" s="45">
        <f ca="1">O3-N3</f>
        <v>68</v>
      </c>
    </row>
    <row r="4" spans="1:16">
      <c r="A4" s="40">
        <v>2</v>
      </c>
      <c r="B4" s="92" cm="1">
        <f t="array" aca="1" ref="B4" ca="1">INDIRECT($D$1&amp;"!k19")</f>
        <v>913553</v>
      </c>
      <c r="C4" s="3">
        <f t="shared" ref="C4:C10" ca="1" si="1">B4</f>
        <v>913553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14000</v>
      </c>
      <c r="K4" s="13"/>
      <c r="L4" s="156"/>
      <c r="M4" s="6">
        <v>12750</v>
      </c>
      <c r="N4" s="47">
        <f t="shared" ref="N4:N7" ca="1" si="2">J4+L4-M4</f>
        <v>1250</v>
      </c>
      <c r="O4" s="47">
        <f ca="1">D3+D4+D7+D8+D22+D23+L22+L23+D18+D19+L18+L19</f>
        <v>1149</v>
      </c>
      <c r="P4" s="48">
        <f ca="1">O4-N4</f>
        <v>-101</v>
      </c>
    </row>
    <row r="5" spans="1:16">
      <c r="A5" s="40">
        <v>3</v>
      </c>
      <c r="B5" s="92" cm="1">
        <f t="array" aca="1" ref="B5" ca="1">INDIRECT($D$1&amp;"!k20")</f>
        <v>1376235</v>
      </c>
      <c r="C5" s="3">
        <f>1376667</f>
        <v>1376667</v>
      </c>
      <c r="D5" s="41">
        <f t="shared" ca="1" si="0"/>
        <v>432</v>
      </c>
      <c r="E5" s="3"/>
      <c r="F5" s="41"/>
      <c r="G5" s="41"/>
      <c r="H5" s="42"/>
      <c r="I5" s="49" t="s">
        <v>22</v>
      </c>
      <c r="J5" s="50">
        <f ca="1">SUM(J3:J4)</f>
        <v>43900</v>
      </c>
      <c r="K5" s="50">
        <f t="shared" ref="K5:L5" si="3">SUM(K3:K4)</f>
        <v>0</v>
      </c>
      <c r="L5" s="50">
        <f t="shared" si="3"/>
        <v>0</v>
      </c>
      <c r="M5" s="50">
        <f>M3+M4</f>
        <v>40050</v>
      </c>
      <c r="N5" s="50">
        <f t="shared" ca="1" si="2"/>
        <v>3850</v>
      </c>
      <c r="O5" s="50">
        <f ca="1">SUM(O3:O4)</f>
        <v>3817</v>
      </c>
      <c r="P5" s="51">
        <f ca="1">O5-N5</f>
        <v>-33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 t="shared" ca="1" si="1"/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21900</v>
      </c>
      <c r="K6" s="5"/>
      <c r="L6" s="99"/>
      <c r="M6" s="6">
        <v>21050</v>
      </c>
      <c r="N6" s="44">
        <f t="shared" ca="1" si="2"/>
        <v>850</v>
      </c>
      <c r="O6" s="44">
        <f ca="1">D12+D13+D27+D28+L27+L28</f>
        <v>811</v>
      </c>
      <c r="P6" s="45">
        <f t="shared" ref="P6:P7" ca="1" si="4">O6-N6</f>
        <v>-39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1012655</v>
      </c>
      <c r="C9" s="3">
        <f t="shared" ca="1" si="1"/>
        <v>1012655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1160061</v>
      </c>
      <c r="C10" s="3">
        <f>1160469</f>
        <v>1160469</v>
      </c>
      <c r="D10" s="41">
        <f t="shared" ca="1" si="0"/>
        <v>408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1281</v>
      </c>
      <c r="E11" s="62">
        <f t="shared" si="5"/>
        <v>0</v>
      </c>
      <c r="F11" s="62">
        <f ca="1">SUM(D3:D10)-SUM(E3:E10)</f>
        <v>1281</v>
      </c>
      <c r="G11" s="11">
        <v>1300</v>
      </c>
      <c r="H11" s="97">
        <f ca="1">G11*F11</f>
        <v>1665300</v>
      </c>
      <c r="I11" s="64" t="str" cm="1">
        <f t="array" aca="1" ref="I11" ca="1">INDIRECT("LODGEMENT"&amp;"!F3")</f>
        <v>GTBank 1</v>
      </c>
      <c r="J11" s="9">
        <v>2168584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3817</v>
      </c>
      <c r="P11" s="68">
        <f ca="1">H11+H26+P26</f>
        <v>4708500</v>
      </c>
    </row>
    <row r="12" spans="1:16" ht="15.75" customHeight="1">
      <c r="A12" s="69" t="s">
        <v>114</v>
      </c>
      <c r="B12" s="98" cm="1">
        <f t="array" aca="1" ref="B12" ca="1">INDIRECT($D$1&amp;"!k27")</f>
        <v>307028</v>
      </c>
      <c r="C12" s="4">
        <v>307370</v>
      </c>
      <c r="D12" s="41">
        <f t="shared" ref="D12:D13" ca="1" si="6">C12-B12</f>
        <v>342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3300520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779</v>
      </c>
      <c r="P12" s="73">
        <f ca="1">H14+H29+P29</f>
        <v>1378830</v>
      </c>
    </row>
    <row r="13" spans="1:16" ht="15.75" customHeight="1" thickBot="1">
      <c r="A13" s="40">
        <v>2</v>
      </c>
      <c r="B13" s="98" cm="1">
        <f t="array" aca="1" ref="B13" ca="1">INDIRECT($D$1&amp;"!k28")</f>
        <v>257765</v>
      </c>
      <c r="C13" s="4">
        <v>258234</v>
      </c>
      <c r="D13" s="41">
        <f t="shared" ca="1" si="6"/>
        <v>469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811</v>
      </c>
      <c r="E14" s="62">
        <f>SUM(E12:E13)</f>
        <v>32</v>
      </c>
      <c r="F14" s="62">
        <f ca="1">SUM(D12:D13)-SUM(E12:E13)</f>
        <v>779</v>
      </c>
      <c r="G14" s="11">
        <v>1770</v>
      </c>
      <c r="H14" s="97">
        <f ca="1">G14*F14</f>
        <v>1378830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6087330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5469104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618226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953410</v>
      </c>
      <c r="C18" s="3">
        <v>954118</v>
      </c>
      <c r="D18" s="41">
        <f t="shared" ref="D18:D25" si="9">C18-B18</f>
        <v>708</v>
      </c>
      <c r="E18" s="3"/>
      <c r="F18" s="41"/>
      <c r="G18" s="41"/>
      <c r="H18" s="73"/>
      <c r="I18" s="93" t="s">
        <v>20</v>
      </c>
      <c r="J18" s="94">
        <f t="shared" ref="J18:J25" si="10">C18</f>
        <v>954118</v>
      </c>
      <c r="K18" s="8">
        <f t="shared" ref="K18:K25" si="11">J18</f>
        <v>954118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913553</v>
      </c>
      <c r="C19" s="3">
        <v>913553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si="10"/>
        <v>913553</v>
      </c>
      <c r="K19" s="3">
        <f t="shared" si="11"/>
        <v>913553</v>
      </c>
      <c r="L19" s="41">
        <f t="shared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1376667</v>
      </c>
      <c r="C20" s="3">
        <v>1377660</v>
      </c>
      <c r="D20" s="41">
        <f t="shared" si="9"/>
        <v>993</v>
      </c>
      <c r="E20" s="3"/>
      <c r="F20" s="41"/>
      <c r="G20" s="41"/>
      <c r="H20" s="73"/>
      <c r="I20" s="40">
        <v>3</v>
      </c>
      <c r="J20" s="92">
        <f t="shared" si="10"/>
        <v>1377660</v>
      </c>
      <c r="K20" s="3">
        <f t="shared" si="11"/>
        <v>1377660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1151178</v>
      </c>
      <c r="C21" s="3">
        <f t="shared" ref="C19:C25" ca="1" si="13">B21</f>
        <v>1151178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1151178</v>
      </c>
      <c r="K21" s="3">
        <f t="shared" ca="1" si="11"/>
        <v>1151178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1012655</v>
      </c>
      <c r="C24" s="3">
        <v>1012655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si="10"/>
        <v>1012655</v>
      </c>
      <c r="K24" s="3">
        <f t="shared" si="11"/>
        <v>1012655</v>
      </c>
      <c r="L24" s="41">
        <f t="shared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1160469</v>
      </c>
      <c r="C25" s="3">
        <v>1161304</v>
      </c>
      <c r="D25" s="41">
        <f t="shared" si="9"/>
        <v>835</v>
      </c>
      <c r="E25" s="3"/>
      <c r="F25" s="41"/>
      <c r="G25" s="41"/>
      <c r="H25" s="73"/>
      <c r="I25" s="40">
        <v>8</v>
      </c>
      <c r="J25" s="92">
        <f t="shared" si="10"/>
        <v>1161304</v>
      </c>
      <c r="K25" s="3">
        <f t="shared" si="11"/>
        <v>1161304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2536</v>
      </c>
      <c r="E26" s="62">
        <f t="shared" si="14"/>
        <v>0</v>
      </c>
      <c r="F26" s="62">
        <f ca="1">SUM(D18:D25)-SUM(E18:E25)</f>
        <v>2536</v>
      </c>
      <c r="G26" s="11">
        <v>1200</v>
      </c>
      <c r="H26" s="97">
        <f ca="1">G26*F26</f>
        <v>3043200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>C12</f>
        <v>307370</v>
      </c>
      <c r="C27" s="4">
        <v>307370</v>
      </c>
      <c r="D27" s="41">
        <f t="shared" ref="D27:D28" si="16">C27-B27</f>
        <v>0</v>
      </c>
      <c r="E27" s="4"/>
      <c r="F27" s="67"/>
      <c r="G27" s="67"/>
      <c r="H27" s="68"/>
      <c r="I27" s="69" t="s">
        <v>114</v>
      </c>
      <c r="J27" s="98">
        <f>C27</f>
        <v>307370</v>
      </c>
      <c r="K27" s="4">
        <f>J27</f>
        <v>307370</v>
      </c>
      <c r="L27" s="41">
        <f t="shared" ref="L27:L28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258234</v>
      </c>
      <c r="C28" s="4">
        <v>258234</v>
      </c>
      <c r="D28" s="41">
        <f t="shared" si="16"/>
        <v>0</v>
      </c>
      <c r="E28" s="3"/>
      <c r="F28" s="41"/>
      <c r="G28" s="41"/>
      <c r="H28" s="73"/>
      <c r="I28" s="40">
        <v>2</v>
      </c>
      <c r="J28" s="92">
        <f>C28</f>
        <v>258234</v>
      </c>
      <c r="K28" s="3">
        <f>J28</f>
        <v>258234</v>
      </c>
      <c r="L28" s="41">
        <f t="shared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XaONXHXmJmILEjb2RX5Hvr3PHLn6neH/RVRG/ljTSEb7ZRzAX5QUrgtOln4b6NSX16Lj+HkjMOpOjbfpvAlMfQ==" saltValue="FRkzfz4lg33IG7kys4d5R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46FFB0B2-2F6F-41FF-9B2E-4A82BC3DD7DF}"/>
  </hyperlinks>
  <pageMargins left="0.7" right="0.7" top="0.75" bottom="0.75" header="0" footer="0"/>
  <pageSetup paperSize="9" scale="5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2E91-2C02-4D3B-99DB-6C0BAF35EDD8}">
  <dimension ref="A1:P923"/>
  <sheetViews>
    <sheetView zoomScaleNormal="100" zoomScaleSheetLayoutView="100" zoomScalePageLayoutView="55" workbookViewId="0">
      <pane ySplit="1" topLeftCell="A3" activePane="bottomLeft" state="frozen"/>
      <selection pane="bottomLeft" activeCell="C3" sqref="C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11</v>
      </c>
      <c r="E1" s="30" t="s">
        <v>98</v>
      </c>
      <c r="F1" s="31">
        <v>12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>
        <f ca="1">DATEVALUE(F1&amp;"-"&amp;G1&amp;"-"&amp;H1)</f>
        <v>46359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954118</v>
      </c>
      <c r="C3" s="3">
        <f>955581</f>
        <v>955581</v>
      </c>
      <c r="D3" s="41">
        <f t="shared" ref="D3:D10" ca="1" si="0">C3-B3</f>
        <v>1463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27300</v>
      </c>
      <c r="K3" s="5"/>
      <c r="L3" s="155"/>
      <c r="M3" s="6">
        <f>24400</f>
        <v>24400</v>
      </c>
      <c r="N3" s="44">
        <f ca="1">J3+L3-M3</f>
        <v>2900</v>
      </c>
      <c r="O3" s="44">
        <f ca="1">D5+D6+D9+D10+D20+D21+D24+D25+L20+L21+L24+L25</f>
        <v>2888</v>
      </c>
      <c r="P3" s="45">
        <f ca="1">O3-N3</f>
        <v>-12</v>
      </c>
    </row>
    <row r="4" spans="1:16">
      <c r="A4" s="40">
        <v>2</v>
      </c>
      <c r="B4" s="92" cm="1">
        <f t="array" aca="1" ref="B4" ca="1">INDIRECT($D$1&amp;"!k19")</f>
        <v>913553</v>
      </c>
      <c r="C4" s="3">
        <f>913553</f>
        <v>913553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12750</v>
      </c>
      <c r="K4" s="13"/>
      <c r="L4" s="156"/>
      <c r="M4" s="6">
        <f>11300</f>
        <v>11300</v>
      </c>
      <c r="N4" s="47">
        <f t="shared" ref="N4:N7" ca="1" si="1">J4+L4-M4</f>
        <v>1450</v>
      </c>
      <c r="O4" s="47">
        <f ca="1">D3+D4+D7+D8+D22+D23+L22+L23+D18+D19+L18+L19</f>
        <v>1463</v>
      </c>
      <c r="P4" s="48">
        <f ca="1">O4-N4</f>
        <v>13</v>
      </c>
    </row>
    <row r="5" spans="1:16">
      <c r="A5" s="40">
        <v>3</v>
      </c>
      <c r="B5" s="92" cm="1">
        <f t="array" aca="1" ref="B5" ca="1">INDIRECT($D$1&amp;"!k20")</f>
        <v>1377660</v>
      </c>
      <c r="C5" s="3">
        <f>1379107</f>
        <v>1379107</v>
      </c>
      <c r="D5" s="41">
        <f t="shared" ca="1" si="0"/>
        <v>1447</v>
      </c>
      <c r="E5" s="3"/>
      <c r="F5" s="41"/>
      <c r="G5" s="41"/>
      <c r="H5" s="42"/>
      <c r="I5" s="49" t="s">
        <v>22</v>
      </c>
      <c r="J5" s="50">
        <f ca="1">SUM(J3:J4)</f>
        <v>40050</v>
      </c>
      <c r="K5" s="50">
        <f t="shared" ref="K5:L5" si="2">SUM(K3:K4)</f>
        <v>0</v>
      </c>
      <c r="L5" s="50">
        <f t="shared" si="2"/>
        <v>0</v>
      </c>
      <c r="M5" s="50">
        <f>M3+M4</f>
        <v>35700</v>
      </c>
      <c r="N5" s="50">
        <f t="shared" ca="1" si="1"/>
        <v>4350</v>
      </c>
      <c r="O5" s="50">
        <f ca="1">SUM(O3:O4)</f>
        <v>4351</v>
      </c>
      <c r="P5" s="51">
        <f ca="1">O5-N5</f>
        <v>1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>1151178</f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21050</v>
      </c>
      <c r="K6" s="5"/>
      <c r="L6" s="99"/>
      <c r="M6" s="6">
        <v>20700</v>
      </c>
      <c r="N6" s="44">
        <f t="shared" ca="1" si="1"/>
        <v>350</v>
      </c>
      <c r="O6" s="44">
        <f ca="1">D12+D13+D27+D28+L27+L28</f>
        <v>377</v>
      </c>
      <c r="P6" s="45">
        <f t="shared" ref="P6:P7" ca="1" si="3">O6-N6</f>
        <v>27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>1215271</f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>1044332</f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1012655</v>
      </c>
      <c r="C9" s="3">
        <f>1012655</f>
        <v>1012655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1161304</v>
      </c>
      <c r="C10" s="3">
        <f>1162745</f>
        <v>1162745</v>
      </c>
      <c r="D10" s="41">
        <f t="shared" ca="1" si="0"/>
        <v>1441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4351</v>
      </c>
      <c r="E11" s="62">
        <f t="shared" si="4"/>
        <v>0</v>
      </c>
      <c r="F11" s="62">
        <f ca="1">SUM(D3:D10)-SUM(E3:E10)</f>
        <v>4351</v>
      </c>
      <c r="G11" s="11">
        <v>1200</v>
      </c>
      <c r="H11" s="97">
        <f ca="1">G11*F11</f>
        <v>5221200</v>
      </c>
      <c r="I11" s="64" t="str" cm="1">
        <f t="array" aca="1" ref="I11" ca="1">INDIRECT("LODGEMENT"&amp;"!F3")</f>
        <v>GTBank 1</v>
      </c>
      <c r="J11" s="9">
        <v>1135560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4351</v>
      </c>
      <c r="P11" s="68">
        <f ca="1">H11+H26+P26</f>
        <v>5221200</v>
      </c>
    </row>
    <row r="12" spans="1:16" ht="15.75" customHeight="1">
      <c r="A12" s="69" t="s">
        <v>114</v>
      </c>
      <c r="B12" s="98" cm="1">
        <f t="array" aca="1" ref="B12" ca="1">INDIRECT($D$1&amp;"!k27")</f>
        <v>307370</v>
      </c>
      <c r="C12" s="4">
        <f>307503</f>
        <v>307503</v>
      </c>
      <c r="D12" s="41">
        <f t="shared" ref="D12:D13" ca="1" si="5">C12-B12</f>
        <v>133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4122110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345</v>
      </c>
      <c r="P12" s="73">
        <f ca="1">H14+H29+P29</f>
        <v>610650</v>
      </c>
    </row>
    <row r="13" spans="1:16" ht="15.75" customHeight="1" thickBot="1">
      <c r="A13" s="40">
        <v>2</v>
      </c>
      <c r="B13" s="98" cm="1">
        <f t="array" aca="1" ref="B13" ca="1">INDIRECT($D$1&amp;"!k28")</f>
        <v>258234</v>
      </c>
      <c r="C13" s="4">
        <f>258478</f>
        <v>258478</v>
      </c>
      <c r="D13" s="41">
        <f t="shared" ca="1" si="5"/>
        <v>244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377</v>
      </c>
      <c r="E14" s="62">
        <f>SUM(E12:E13)</f>
        <v>32</v>
      </c>
      <c r="F14" s="62">
        <f ca="1">SUM(D12:D13)-SUM(E12:E13)</f>
        <v>345</v>
      </c>
      <c r="G14" s="11">
        <v>1770</v>
      </c>
      <c r="H14" s="97">
        <f ca="1">G14*F14</f>
        <v>610650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5831850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5257670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574180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955581</v>
      </c>
      <c r="C18" s="3">
        <f>B18</f>
        <v>955581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955581</v>
      </c>
      <c r="K18" s="8">
        <f t="shared" ref="K18:K25" si="10">J18</f>
        <v>955581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913553</v>
      </c>
      <c r="C19" s="3">
        <f t="shared" ref="C19:C25" si="12">B19</f>
        <v>913553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913553</v>
      </c>
      <c r="K19" s="3">
        <f t="shared" si="10"/>
        <v>913553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1379107</v>
      </c>
      <c r="C20" s="3">
        <f t="shared" si="12"/>
        <v>1379107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1379107</v>
      </c>
      <c r="K20" s="3">
        <f t="shared" si="10"/>
        <v>1379107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1151178</v>
      </c>
      <c r="C21" s="3">
        <f t="shared" si="12"/>
        <v>1151178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1151178</v>
      </c>
      <c r="K21" s="3">
        <f t="shared" si="10"/>
        <v>1151178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1012655</v>
      </c>
      <c r="C24" s="3">
        <f t="shared" si="12"/>
        <v>1012655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1012655</v>
      </c>
      <c r="K24" s="3">
        <f t="shared" si="10"/>
        <v>1012655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1162745</v>
      </c>
      <c r="C25" s="3">
        <f t="shared" si="12"/>
        <v>1162745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1162745</v>
      </c>
      <c r="K25" s="3">
        <f t="shared" si="10"/>
        <v>1162745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307503</v>
      </c>
      <c r="C27" s="4">
        <f>B27</f>
        <v>307503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307503</v>
      </c>
      <c r="K27" s="4">
        <f>J27</f>
        <v>307503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258478</v>
      </c>
      <c r="C28" s="4">
        <f>B28</f>
        <v>258478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258478</v>
      </c>
      <c r="K28" s="3">
        <f>J28</f>
        <v>258478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4fUrMTj8/zQ9pxznQd3zZ0YkMLNLFy2MADTLfDr2K7esAYFAYl7gmqc06/SWgEb03t4NCVsiAn2t4neWsnT2EA==" saltValue="AcGbh4L8HbkomzvR3y0q4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E28F90C1-2CE9-4D00-BF7C-C5AC71DF2CEF}"/>
  </hyperlinks>
  <pageMargins left="0.7" right="0.7" top="0.75" bottom="0.75" header="0" footer="0"/>
  <pageSetup paperSize="9" scale="5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B64C-8AF6-465E-813F-614F93B045FE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J13" sqref="J1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12</v>
      </c>
      <c r="E1" s="30" t="s">
        <v>98</v>
      </c>
      <c r="F1" s="31">
        <v>13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955581</v>
      </c>
      <c r="C3" s="3">
        <f>956909</f>
        <v>956909</v>
      </c>
      <c r="D3" s="41">
        <f t="shared" ref="D3:D10" ca="1" si="0">C3-B3</f>
        <v>1328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24400</v>
      </c>
      <c r="K3" s="5"/>
      <c r="L3" s="155"/>
      <c r="M3" s="6">
        <f>22000</f>
        <v>22000</v>
      </c>
      <c r="N3" s="44">
        <f ca="1">J3+L3-M3</f>
        <v>2400</v>
      </c>
      <c r="O3" s="44">
        <f ca="1">D5+D6+D9+D10+D20+D21+D24+D25+L20+L21+L24+L25</f>
        <v>2487</v>
      </c>
      <c r="P3" s="45">
        <f ca="1">O3-N3</f>
        <v>87</v>
      </c>
    </row>
    <row r="4" spans="1:16">
      <c r="A4" s="40">
        <v>2</v>
      </c>
      <c r="B4" s="92" cm="1">
        <f t="array" aca="1" ref="B4" ca="1">INDIRECT($D$1&amp;"!k19")</f>
        <v>913553</v>
      </c>
      <c r="C4" s="3">
        <v>913553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11300</v>
      </c>
      <c r="K4" s="13"/>
      <c r="L4" s="156"/>
      <c r="M4" s="6">
        <f>9950</f>
        <v>9950</v>
      </c>
      <c r="N4" s="47">
        <f t="shared" ref="N4:N7" ca="1" si="1">J4+L4-M4</f>
        <v>1350</v>
      </c>
      <c r="O4" s="47">
        <f ca="1">D3+D4+D7+D8+D22+D23+L22+L23+D18+D19+L18+L19</f>
        <v>1328</v>
      </c>
      <c r="P4" s="48">
        <f ca="1">O4-N4</f>
        <v>-22</v>
      </c>
    </row>
    <row r="5" spans="1:16">
      <c r="A5" s="40">
        <v>3</v>
      </c>
      <c r="B5" s="92" cm="1">
        <f t="array" aca="1" ref="B5" ca="1">INDIRECT($D$1&amp;"!k20")</f>
        <v>1379107</v>
      </c>
      <c r="C5" s="3">
        <v>1380035</v>
      </c>
      <c r="D5" s="41">
        <f t="shared" ca="1" si="0"/>
        <v>928</v>
      </c>
      <c r="E5" s="3"/>
      <c r="F5" s="41"/>
      <c r="G5" s="41"/>
      <c r="H5" s="42"/>
      <c r="I5" s="49" t="s">
        <v>22</v>
      </c>
      <c r="J5" s="50">
        <f ca="1">SUM(J3:J4)</f>
        <v>35700</v>
      </c>
      <c r="K5" s="50">
        <f t="shared" ref="K5:L5" si="2">SUM(K3:K4)</f>
        <v>0</v>
      </c>
      <c r="L5" s="50">
        <f t="shared" si="2"/>
        <v>0</v>
      </c>
      <c r="M5" s="50">
        <f>M3+M4</f>
        <v>31950</v>
      </c>
      <c r="N5" s="50">
        <f t="shared" ca="1" si="1"/>
        <v>3750</v>
      </c>
      <c r="O5" s="50">
        <f ca="1">SUM(O3:O4)</f>
        <v>3815</v>
      </c>
      <c r="P5" s="51">
        <f ca="1">O5-N5</f>
        <v>65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v>1151178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20700</v>
      </c>
      <c r="K6" s="5">
        <v>15000</v>
      </c>
      <c r="L6" s="99">
        <v>15000</v>
      </c>
      <c r="M6" s="6">
        <f>35250</f>
        <v>35250</v>
      </c>
      <c r="N6" s="44">
        <f t="shared" ca="1" si="1"/>
        <v>450</v>
      </c>
      <c r="O6" s="44">
        <f ca="1">D12+D13+D27+D28+L27+L28</f>
        <v>313</v>
      </c>
      <c r="P6" s="45">
        <f t="shared" ref="P6:P7" ca="1" si="3">O6-N6</f>
        <v>-137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1012655</v>
      </c>
      <c r="C9" s="3">
        <v>1012655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1162745</v>
      </c>
      <c r="C10" s="3">
        <v>1164304</v>
      </c>
      <c r="D10" s="41">
        <f t="shared" ca="1" si="0"/>
        <v>1559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3815</v>
      </c>
      <c r="E11" s="62">
        <f t="shared" si="4"/>
        <v>0</v>
      </c>
      <c r="F11" s="62">
        <f ca="1">SUM(D3:D10)-SUM(E3:E10)</f>
        <v>3815</v>
      </c>
      <c r="G11" s="11">
        <v>1200</v>
      </c>
      <c r="H11" s="97">
        <f ca="1">G11*F11</f>
        <v>4578000</v>
      </c>
      <c r="I11" s="64" t="str" cm="1">
        <f t="array" aca="1" ref="I11" ca="1">INDIRECT("LODGEMENT"&amp;"!F3")</f>
        <v>GTBank 1</v>
      </c>
      <c r="J11" s="9">
        <v>3053078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3815</v>
      </c>
      <c r="P11" s="68">
        <f ca="1">H11+H26+P26</f>
        <v>4578000</v>
      </c>
    </row>
    <row r="12" spans="1:16" ht="15.75" customHeight="1">
      <c r="A12" s="69" t="s">
        <v>114</v>
      </c>
      <c r="B12" s="98" cm="1">
        <f t="array" aca="1" ref="B12" ca="1">INDIRECT($D$1&amp;"!k27")</f>
        <v>307503</v>
      </c>
      <c r="C12" s="4">
        <f>307677</f>
        <v>307677</v>
      </c>
      <c r="D12" s="41">
        <f t="shared" ref="D12:D13" ca="1" si="5">C12-B12</f>
        <v>174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1567614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281</v>
      </c>
      <c r="P12" s="73">
        <f ca="1">H14+H29+P29</f>
        <v>477700</v>
      </c>
    </row>
    <row r="13" spans="1:16" ht="15.75" customHeight="1" thickBot="1">
      <c r="A13" s="40">
        <v>2</v>
      </c>
      <c r="B13" s="98" cm="1">
        <f t="array" aca="1" ref="B13" ca="1">INDIRECT($D$1&amp;"!k28")</f>
        <v>258478</v>
      </c>
      <c r="C13" s="4">
        <v>258617</v>
      </c>
      <c r="D13" s="41">
        <f t="shared" ca="1" si="5"/>
        <v>139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313</v>
      </c>
      <c r="E14" s="62">
        <f>SUM(E12:E13)</f>
        <v>32</v>
      </c>
      <c r="F14" s="62">
        <f ca="1">SUM(D12:D13)-SUM(E12:E13)</f>
        <v>281</v>
      </c>
      <c r="G14" s="11">
        <v>1700</v>
      </c>
      <c r="H14" s="97">
        <f ca="1">G14*F14</f>
        <v>477700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5055700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4620692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435008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956909</v>
      </c>
      <c r="C18" s="3">
        <f>B18</f>
        <v>956909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956909</v>
      </c>
      <c r="K18" s="8">
        <f t="shared" ref="K18:K25" si="10">J18</f>
        <v>956909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913553</v>
      </c>
      <c r="C19" s="3">
        <f t="shared" ref="C19:C25" si="12">B19</f>
        <v>913553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913553</v>
      </c>
      <c r="K19" s="3">
        <f t="shared" si="10"/>
        <v>913553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1380035</v>
      </c>
      <c r="C20" s="3">
        <f t="shared" si="12"/>
        <v>1380035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1380035</v>
      </c>
      <c r="K20" s="3">
        <f t="shared" si="10"/>
        <v>1380035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1151178</v>
      </c>
      <c r="C21" s="3">
        <f t="shared" si="12"/>
        <v>1151178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1151178</v>
      </c>
      <c r="K21" s="3">
        <f t="shared" si="10"/>
        <v>1151178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1012655</v>
      </c>
      <c r="C24" s="3">
        <f t="shared" si="12"/>
        <v>1012655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1012655</v>
      </c>
      <c r="K24" s="3">
        <f t="shared" si="10"/>
        <v>1012655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1164304</v>
      </c>
      <c r="C25" s="3">
        <f t="shared" si="12"/>
        <v>1164304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1164304</v>
      </c>
      <c r="K25" s="3">
        <f t="shared" si="10"/>
        <v>1164304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307677</v>
      </c>
      <c r="C27" s="4">
        <f>B27</f>
        <v>307677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307677</v>
      </c>
      <c r="K27" s="4">
        <f>J27</f>
        <v>307677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258617</v>
      </c>
      <c r="C28" s="4">
        <f>B28</f>
        <v>258617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258617</v>
      </c>
      <c r="K28" s="3">
        <f>J28</f>
        <v>258617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AcF9DeR9xqukDxyHkxyGeX/S5lMVYK4PtTV3JTTTNEOMwPsxqshg+G1zuT22bDB22SjL3yRnbKXe/vOxZec0oA==" saltValue="+Oiabgfh5/uQtIBBIVpOy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6838A182-A6A7-4831-9FA1-691545727681}"/>
  </hyperlinks>
  <pageMargins left="0.7" right="0.7" top="0.75" bottom="0.75" header="0" footer="0"/>
  <pageSetup paperSize="9" scale="5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10B9-A6D1-4814-B633-ED0230AB0BEC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J13" sqref="J1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13</v>
      </c>
      <c r="E1" s="30" t="s">
        <v>98</v>
      </c>
      <c r="F1" s="31">
        <v>14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956909</v>
      </c>
      <c r="C3" s="3">
        <f>957344</f>
        <v>957344</v>
      </c>
      <c r="D3" s="41">
        <f t="shared" ref="D3:D10" ca="1" si="0">C3-B3</f>
        <v>435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22000</v>
      </c>
      <c r="K3" s="5"/>
      <c r="L3" s="155"/>
      <c r="M3" s="6">
        <v>19350</v>
      </c>
      <c r="N3" s="44">
        <f ca="1">J3+L3-M3</f>
        <v>2650</v>
      </c>
      <c r="O3" s="44">
        <f ca="1">D5+D6+D9+D10+D20+D21+D24+D25+L20+L21+L24+L25</f>
        <v>2714</v>
      </c>
      <c r="P3" s="45">
        <f ca="1">O3-N3</f>
        <v>64</v>
      </c>
    </row>
    <row r="4" spans="1:16">
      <c r="A4" s="40">
        <v>2</v>
      </c>
      <c r="B4" s="92" cm="1">
        <f t="array" aca="1" ref="B4" ca="1">INDIRECT($D$1&amp;"!k19")</f>
        <v>913553</v>
      </c>
      <c r="C4" s="3">
        <f t="shared" ref="C4:C10" ca="1" si="1">B4</f>
        <v>913553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9950</v>
      </c>
      <c r="K4" s="13"/>
      <c r="L4" s="156"/>
      <c r="M4" s="6">
        <v>8650</v>
      </c>
      <c r="N4" s="47">
        <f t="shared" ref="N4:N7" ca="1" si="2">J4+L4-M4</f>
        <v>1300</v>
      </c>
      <c r="O4" s="47">
        <f ca="1">D3+D4+D7+D8+D22+D23+L22+L23+D18+D19+L18+L19</f>
        <v>1360</v>
      </c>
      <c r="P4" s="48">
        <f ca="1">O4-N4</f>
        <v>60</v>
      </c>
    </row>
    <row r="5" spans="1:16">
      <c r="A5" s="40">
        <v>3</v>
      </c>
      <c r="B5" s="92" cm="1">
        <f t="array" aca="1" ref="B5" ca="1">INDIRECT($D$1&amp;"!k20")</f>
        <v>1380035</v>
      </c>
      <c r="C5" s="3">
        <f>1380042</f>
        <v>1380042</v>
      </c>
      <c r="D5" s="41">
        <f t="shared" ca="1" si="0"/>
        <v>7</v>
      </c>
      <c r="E5" s="3"/>
      <c r="F5" s="41"/>
      <c r="G5" s="41"/>
      <c r="H5" s="42"/>
      <c r="I5" s="49" t="s">
        <v>22</v>
      </c>
      <c r="J5" s="50">
        <f ca="1">SUM(J3:J4)</f>
        <v>31950</v>
      </c>
      <c r="K5" s="50">
        <f t="shared" ref="K5:L5" si="3">SUM(K3:K4)</f>
        <v>0</v>
      </c>
      <c r="L5" s="50">
        <f t="shared" si="3"/>
        <v>0</v>
      </c>
      <c r="M5" s="50">
        <f>M3+M4</f>
        <v>28000</v>
      </c>
      <c r="N5" s="50">
        <f t="shared" ca="1" si="2"/>
        <v>3950</v>
      </c>
      <c r="O5" s="50">
        <f ca="1">SUM(O3:O4)</f>
        <v>4074</v>
      </c>
      <c r="P5" s="51">
        <f ca="1">O5-N5</f>
        <v>124</v>
      </c>
    </row>
    <row r="6" spans="1:16">
      <c r="A6" s="40">
        <v>4</v>
      </c>
      <c r="B6" s="92" cm="1">
        <f t="array" aca="1" ref="B6" ca="1">INDIRECT($D$1&amp;"!k21")</f>
        <v>1151178</v>
      </c>
      <c r="C6" s="3">
        <f>1151655</f>
        <v>1151655</v>
      </c>
      <c r="D6" s="41">
        <f t="shared" ca="1" si="0"/>
        <v>477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35250</v>
      </c>
      <c r="K6" s="5"/>
      <c r="L6" s="99"/>
      <c r="M6" s="6">
        <v>34900</v>
      </c>
      <c r="N6" s="44">
        <f t="shared" ca="1" si="2"/>
        <v>350</v>
      </c>
      <c r="O6" s="44">
        <f ca="1">D12+D13+D27+D28+L27+L28</f>
        <v>321</v>
      </c>
      <c r="P6" s="45">
        <f t="shared" ref="P6:P7" ca="1" si="4">O6-N6</f>
        <v>-29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1012655</v>
      </c>
      <c r="C9" s="3">
        <f t="shared" ca="1" si="1"/>
        <v>1012655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1164304</v>
      </c>
      <c r="C10" s="3">
        <f>1164809</f>
        <v>1164809</v>
      </c>
      <c r="D10" s="41">
        <f t="shared" ca="1" si="0"/>
        <v>505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1424</v>
      </c>
      <c r="E11" s="62">
        <f t="shared" si="5"/>
        <v>0</v>
      </c>
      <c r="F11" s="62">
        <f ca="1">SUM(D3:D10)-SUM(E3:E10)</f>
        <v>1424</v>
      </c>
      <c r="G11" s="11">
        <v>1200</v>
      </c>
      <c r="H11" s="97">
        <f ca="1">G11*F11</f>
        <v>1708800</v>
      </c>
      <c r="I11" s="64" t="str" cm="1">
        <f t="array" aca="1" ref="I11" ca="1">INDIRECT("LODGEMENT"&amp;"!F3")</f>
        <v>GTBank 1</v>
      </c>
      <c r="J11" s="9">
        <v>2003430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4074</v>
      </c>
      <c r="P11" s="68">
        <f ca="1">H11+H26+P26</f>
        <v>5153800</v>
      </c>
    </row>
    <row r="12" spans="1:16" ht="15.75" customHeight="1">
      <c r="A12" s="69" t="s">
        <v>114</v>
      </c>
      <c r="B12" s="98" cm="1">
        <f t="array" aca="1" ref="B12" ca="1">INDIRECT($D$1&amp;"!k27")</f>
        <v>307677</v>
      </c>
      <c r="C12" s="4">
        <f>307781</f>
        <v>307781</v>
      </c>
      <c r="D12" s="41">
        <f t="shared" ref="D12:D13" ca="1" si="6">C12-B12</f>
        <v>104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2263328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289</v>
      </c>
      <c r="P12" s="73">
        <f ca="1">H14+H29+P29</f>
        <v>491300</v>
      </c>
    </row>
    <row r="13" spans="1:16" ht="15.75" customHeight="1" thickBot="1">
      <c r="A13" s="40">
        <v>2</v>
      </c>
      <c r="B13" s="98" cm="1">
        <f t="array" aca="1" ref="B13" ca="1">INDIRECT($D$1&amp;"!k28")</f>
        <v>258617</v>
      </c>
      <c r="C13" s="4">
        <f>258834</f>
        <v>258834</v>
      </c>
      <c r="D13" s="41">
        <f t="shared" ca="1" si="6"/>
        <v>217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321</v>
      </c>
      <c r="E14" s="62">
        <f>SUM(E12:E13)</f>
        <v>32</v>
      </c>
      <c r="F14" s="62">
        <f ca="1">SUM(D12:D13)-SUM(E12:E13)</f>
        <v>289</v>
      </c>
      <c r="G14" s="11">
        <v>1700</v>
      </c>
      <c r="H14" s="97">
        <f ca="1">G14*F14</f>
        <v>491300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5645100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4266758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1378342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8">C3</f>
        <v>957344</v>
      </c>
      <c r="C18" s="3">
        <v>957749</v>
      </c>
      <c r="D18" s="41">
        <f t="shared" ref="D18:D25" si="9">C18-B18</f>
        <v>405</v>
      </c>
      <c r="E18" s="3"/>
      <c r="F18" s="41"/>
      <c r="G18" s="41"/>
      <c r="H18" s="73"/>
      <c r="I18" s="93" t="s">
        <v>20</v>
      </c>
      <c r="J18" s="94">
        <f t="shared" ref="J18:J25" si="10">C18</f>
        <v>957749</v>
      </c>
      <c r="K18" s="8">
        <f t="shared" ref="K18:K25" si="11">J18</f>
        <v>957749</v>
      </c>
      <c r="L18" s="95">
        <f t="shared" ref="L18:L25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913553</v>
      </c>
      <c r="C19" s="3">
        <v>914073</v>
      </c>
      <c r="D19" s="41">
        <f t="shared" ca="1" si="9"/>
        <v>520</v>
      </c>
      <c r="E19" s="3"/>
      <c r="F19" s="41"/>
      <c r="G19" s="41"/>
      <c r="H19" s="73"/>
      <c r="I19" s="40">
        <v>2</v>
      </c>
      <c r="J19" s="92">
        <f t="shared" si="10"/>
        <v>914073</v>
      </c>
      <c r="K19" s="3">
        <f t="shared" si="11"/>
        <v>914073</v>
      </c>
      <c r="L19" s="41">
        <f t="shared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8"/>
        <v>1380042</v>
      </c>
      <c r="C20" s="3">
        <f>1380095</f>
        <v>1380095</v>
      </c>
      <c r="D20" s="41">
        <f t="shared" si="9"/>
        <v>53</v>
      </c>
      <c r="E20" s="3"/>
      <c r="F20" s="41"/>
      <c r="G20" s="41"/>
      <c r="H20" s="73"/>
      <c r="I20" s="40">
        <v>3</v>
      </c>
      <c r="J20" s="92">
        <f t="shared" si="10"/>
        <v>1380095</v>
      </c>
      <c r="K20" s="3">
        <f t="shared" si="11"/>
        <v>1380095</v>
      </c>
      <c r="L20" s="41">
        <f t="shared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8"/>
        <v>1151655</v>
      </c>
      <c r="C21" s="3">
        <f>1152473</f>
        <v>1152473</v>
      </c>
      <c r="D21" s="41">
        <f t="shared" si="9"/>
        <v>818</v>
      </c>
      <c r="E21" s="3"/>
      <c r="F21" s="41"/>
      <c r="G21" s="41"/>
      <c r="H21" s="73"/>
      <c r="I21" s="40">
        <v>4</v>
      </c>
      <c r="J21" s="92">
        <f t="shared" si="10"/>
        <v>1152473</v>
      </c>
      <c r="K21" s="3">
        <f t="shared" si="11"/>
        <v>1152473</v>
      </c>
      <c r="L21" s="41">
        <f t="shared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>1215271</f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si="10"/>
        <v>1215271</v>
      </c>
      <c r="K22" s="3">
        <f t="shared" si="11"/>
        <v>1215271</v>
      </c>
      <c r="L22" s="41">
        <f t="shared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>1044332</f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si="10"/>
        <v>1044332</v>
      </c>
      <c r="K23" s="3">
        <f t="shared" si="11"/>
        <v>1044332</v>
      </c>
      <c r="L23" s="41">
        <f t="shared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1012655</v>
      </c>
      <c r="C24" s="3">
        <f>1012690</f>
        <v>1012690</v>
      </c>
      <c r="D24" s="41">
        <f t="shared" ca="1" si="9"/>
        <v>35</v>
      </c>
      <c r="E24" s="3"/>
      <c r="F24" s="41"/>
      <c r="G24" s="41"/>
      <c r="H24" s="73"/>
      <c r="I24" s="40">
        <v>7</v>
      </c>
      <c r="J24" s="92">
        <f t="shared" si="10"/>
        <v>1012690</v>
      </c>
      <c r="K24" s="3">
        <f t="shared" si="11"/>
        <v>1012690</v>
      </c>
      <c r="L24" s="41">
        <f t="shared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8"/>
        <v>1164809</v>
      </c>
      <c r="C25" s="3">
        <f>1165628</f>
        <v>1165628</v>
      </c>
      <c r="D25" s="41">
        <f t="shared" si="9"/>
        <v>819</v>
      </c>
      <c r="E25" s="3"/>
      <c r="F25" s="41"/>
      <c r="G25" s="41"/>
      <c r="H25" s="73"/>
      <c r="I25" s="40">
        <v>8</v>
      </c>
      <c r="J25" s="92">
        <f t="shared" si="10"/>
        <v>1165628</v>
      </c>
      <c r="K25" s="3">
        <f t="shared" si="11"/>
        <v>1165628</v>
      </c>
      <c r="L25" s="41">
        <f t="shared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3">SUM(D18:D25)</f>
        <v>2650</v>
      </c>
      <c r="E26" s="62">
        <f t="shared" si="13"/>
        <v>0</v>
      </c>
      <c r="F26" s="62">
        <f ca="1">SUM(D18:D25)-SUM(E18:E25)</f>
        <v>2650</v>
      </c>
      <c r="G26" s="11">
        <v>1300</v>
      </c>
      <c r="H26" s="97">
        <f ca="1">G26*F26</f>
        <v>3445000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307781</v>
      </c>
      <c r="C27" s="4">
        <f>B27</f>
        <v>307781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307781</v>
      </c>
      <c r="K27" s="4">
        <f>J27</f>
        <v>307781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258834</v>
      </c>
      <c r="C28" s="4">
        <f>B28</f>
        <v>258834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258834</v>
      </c>
      <c r="K28" s="3">
        <f>J28</f>
        <v>258834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i+der6xyn20t66zXBRPUbQROIfczgYVZjla1SfihlFeRE4CmkZKjDnmTJ+yMR8OrTV60iQF88xzkgxAh4/09A==" saltValue="BLCPeTmNQQMPeQH/s2ZW6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F5E256FC-2958-40AE-9294-4B603E029E3B}"/>
  </hyperlinks>
  <pageMargins left="0.7" right="0.7" top="0.75" bottom="0.75" header="0" footer="0"/>
  <pageSetup paperSize="9" scale="5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1B63-B995-45A3-9057-4BBD63271CAD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O15" sqref="O15:P15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14</v>
      </c>
      <c r="E1" s="30" t="s">
        <v>98</v>
      </c>
      <c r="F1" s="31">
        <v>15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957749</v>
      </c>
      <c r="C3" s="3">
        <f>958999</f>
        <v>958999</v>
      </c>
      <c r="D3" s="41">
        <f t="shared" ref="D3:D10" ca="1" si="0">C3-B3</f>
        <v>1250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19350</v>
      </c>
      <c r="K3" s="5"/>
      <c r="L3" s="155"/>
      <c r="M3" s="6">
        <v>17150</v>
      </c>
      <c r="N3" s="44">
        <f ca="1">J3+L3-M3</f>
        <v>2200</v>
      </c>
      <c r="O3" s="44">
        <f ca="1">D5+D6+D9+D10+D20+D21+D24+D25+L20+L21+L24+L25</f>
        <v>2252</v>
      </c>
      <c r="P3" s="45">
        <f ca="1">O3-N3</f>
        <v>52</v>
      </c>
    </row>
    <row r="4" spans="1:16">
      <c r="A4" s="40">
        <v>2</v>
      </c>
      <c r="B4" s="92" cm="1">
        <f t="array" aca="1" ref="B4" ca="1">INDIRECT($D$1&amp;"!k19")</f>
        <v>914073</v>
      </c>
      <c r="C4" s="3"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8650</v>
      </c>
      <c r="K4" s="13"/>
      <c r="L4" s="156"/>
      <c r="M4" s="6">
        <v>7400.01</v>
      </c>
      <c r="N4" s="47">
        <f t="shared" ref="N4:N7" ca="1" si="1">J4+L4-M4</f>
        <v>1249.9899999999998</v>
      </c>
      <c r="O4" s="47">
        <f ca="1">D3+D4+D7+D8+D22+D23+L22+L23+D18+D19+L18+L19</f>
        <v>1250</v>
      </c>
      <c r="P4" s="48">
        <f ca="1">O4-N4</f>
        <v>1.0000000000218279E-2</v>
      </c>
    </row>
    <row r="5" spans="1:16">
      <c r="A5" s="40">
        <v>3</v>
      </c>
      <c r="B5" s="92" cm="1">
        <f t="array" aca="1" ref="B5" ca="1">INDIRECT($D$1&amp;"!k20")</f>
        <v>1380095</v>
      </c>
      <c r="C5" s="3">
        <v>1380980</v>
      </c>
      <c r="D5" s="41">
        <f t="shared" ca="1" si="0"/>
        <v>885</v>
      </c>
      <c r="E5" s="3"/>
      <c r="F5" s="41"/>
      <c r="G5" s="41"/>
      <c r="H5" s="42"/>
      <c r="I5" s="49" t="s">
        <v>22</v>
      </c>
      <c r="J5" s="50">
        <f ca="1">SUM(J3:J4)</f>
        <v>28000</v>
      </c>
      <c r="K5" s="50">
        <f t="shared" ref="K5:L5" si="2">SUM(K3:K4)</f>
        <v>0</v>
      </c>
      <c r="L5" s="50">
        <f t="shared" si="2"/>
        <v>0</v>
      </c>
      <c r="M5" s="50">
        <f>M3+M4</f>
        <v>24550.010000000002</v>
      </c>
      <c r="N5" s="50">
        <f t="shared" ca="1" si="1"/>
        <v>3449.989999999998</v>
      </c>
      <c r="O5" s="50">
        <f ca="1">SUM(O3:O4)</f>
        <v>3502</v>
      </c>
      <c r="P5" s="51">
        <f ca="1">O5-N5</f>
        <v>52.010000000002037</v>
      </c>
    </row>
    <row r="6" spans="1:16">
      <c r="A6" s="40">
        <v>4</v>
      </c>
      <c r="B6" s="92" cm="1">
        <f t="array" aca="1" ref="B6" ca="1">INDIRECT($D$1&amp;"!k21")</f>
        <v>1152473</v>
      </c>
      <c r="C6" s="3">
        <v>1152475</v>
      </c>
      <c r="D6" s="41">
        <f t="shared" ca="1" si="0"/>
        <v>2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34900</v>
      </c>
      <c r="K6" s="5"/>
      <c r="L6" s="99"/>
      <c r="M6" s="6">
        <f>34600</f>
        <v>34600</v>
      </c>
      <c r="N6" s="44">
        <f t="shared" ca="1" si="1"/>
        <v>300</v>
      </c>
      <c r="O6" s="44">
        <f ca="1">D12+D13+D27+D28+L27+L28</f>
        <v>181</v>
      </c>
      <c r="P6" s="45">
        <f t="shared" ref="P6:P7" ca="1" si="3">O6-N6</f>
        <v>-119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1165628</v>
      </c>
      <c r="C10" s="3">
        <v>1166993</v>
      </c>
      <c r="D10" s="41">
        <f t="shared" ca="1" si="0"/>
        <v>1365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3502</v>
      </c>
      <c r="E11" s="62">
        <f t="shared" si="4"/>
        <v>0</v>
      </c>
      <c r="F11" s="62">
        <f ca="1">SUM(D3:D10)-SUM(E3:E10)</f>
        <v>3502</v>
      </c>
      <c r="G11" s="11">
        <v>1300</v>
      </c>
      <c r="H11" s="97">
        <f ca="1">G11*F11</f>
        <v>4552600</v>
      </c>
      <c r="I11" s="64" t="str" cm="1">
        <f t="array" aca="1" ref="I11" ca="1">INDIRECT("LODGEMENT"&amp;"!F3")</f>
        <v>GTBank 1</v>
      </c>
      <c r="J11" s="9">
        <v>2711327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3502</v>
      </c>
      <c r="P11" s="68">
        <f ca="1">H11+H26+P26</f>
        <v>4552600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v>307781</v>
      </c>
      <c r="D12" s="41">
        <f t="shared" ref="D12:D13" ca="1" si="5">C12-B12</f>
        <v>0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1716700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149</v>
      </c>
      <c r="P12" s="73">
        <f ca="1">H14+H29+P29</f>
        <v>253300</v>
      </c>
    </row>
    <row r="13" spans="1:16" ht="15.75" customHeight="1" thickBot="1">
      <c r="A13" s="40">
        <v>2</v>
      </c>
      <c r="B13" s="98" cm="1">
        <f t="array" aca="1" ref="B13" ca="1">INDIRECT($D$1&amp;"!k28")</f>
        <v>258834</v>
      </c>
      <c r="C13" s="4">
        <v>259015</v>
      </c>
      <c r="D13" s="41">
        <f t="shared" ca="1" si="5"/>
        <v>181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181</v>
      </c>
      <c r="E14" s="62">
        <f>SUM(E12:E13)</f>
        <v>32</v>
      </c>
      <c r="F14" s="62">
        <f ca="1">SUM(D12:D13)-SUM(E12:E13)</f>
        <v>149</v>
      </c>
      <c r="G14" s="11">
        <v>1700</v>
      </c>
      <c r="H14" s="97">
        <f ca="1">G14*F14</f>
        <v>253300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4805900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4428027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377873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958999</v>
      </c>
      <c r="C18" s="3">
        <f>B18</f>
        <v>958999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958999</v>
      </c>
      <c r="K18" s="8">
        <f t="shared" ref="K18:K25" si="10">J18</f>
        <v>958999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914073</v>
      </c>
      <c r="C19" s="3">
        <f t="shared" ref="C19:C25" si="12">B19</f>
        <v>914073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914073</v>
      </c>
      <c r="K19" s="3">
        <f t="shared" si="10"/>
        <v>914073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1380980</v>
      </c>
      <c r="C20" s="3">
        <f t="shared" si="12"/>
        <v>1380980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1380980</v>
      </c>
      <c r="K20" s="3">
        <f t="shared" si="10"/>
        <v>1380980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1152475</v>
      </c>
      <c r="C21" s="3">
        <f t="shared" si="12"/>
        <v>1152475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1152475</v>
      </c>
      <c r="K21" s="3">
        <f t="shared" si="10"/>
        <v>1152475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1012690</v>
      </c>
      <c r="C24" s="3">
        <f t="shared" si="12"/>
        <v>1012690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1012690</v>
      </c>
      <c r="K24" s="3">
        <f t="shared" si="10"/>
        <v>1012690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1166993</v>
      </c>
      <c r="C25" s="3">
        <f t="shared" si="12"/>
        <v>1166993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1166993</v>
      </c>
      <c r="K25" s="3">
        <f t="shared" si="10"/>
        <v>1166993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307781</v>
      </c>
      <c r="C27" s="4">
        <f>B27</f>
        <v>307781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307781</v>
      </c>
      <c r="K27" s="4">
        <f>J27</f>
        <v>307781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259015</v>
      </c>
      <c r="C28" s="4">
        <f>B28</f>
        <v>259015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259015</v>
      </c>
      <c r="K28" s="3">
        <f>J28</f>
        <v>259015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vLKsszeinER00QNgD7As+pX/8W9nZA2CxROKqNsjj0nbvZuI/pvb3zzqpxBJCt6P0187Nelgzn3Q2wS0CC3OA==" saltValue="rqbrAIQoO3cXnZ6jg5FpR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3EE8CD97-E3CA-4015-8FF3-CB0B14BFEF3B}"/>
  </hyperlinks>
  <pageMargins left="0.7" right="0.7" top="0.75" bottom="0.75" header="0" footer="0"/>
  <pageSetup paperSize="9" scale="56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BA2F-F0D3-4530-9AC7-C96ADAC25B48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S12" sqref="S1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15</v>
      </c>
      <c r="E1" s="30" t="s">
        <v>98</v>
      </c>
      <c r="F1" s="31">
        <v>16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958999</v>
      </c>
      <c r="C3" s="3">
        <f>960398</f>
        <v>960398</v>
      </c>
      <c r="D3" s="41">
        <f t="shared" ref="D3:D10" ca="1" si="0">C3-B3</f>
        <v>1399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17150</v>
      </c>
      <c r="K3" s="5"/>
      <c r="L3" s="155"/>
      <c r="M3" s="6">
        <v>14500</v>
      </c>
      <c r="N3" s="44">
        <f ca="1">J3+L3-M3</f>
        <v>2650</v>
      </c>
      <c r="O3" s="44">
        <f ca="1">D5+D6+D9+D10+D20+D21+D24+D25+L20+L21+L24+L25</f>
        <v>2742</v>
      </c>
      <c r="P3" s="45">
        <f ca="1">O3-N3</f>
        <v>92</v>
      </c>
    </row>
    <row r="4" spans="1:16">
      <c r="A4" s="40">
        <v>2</v>
      </c>
      <c r="B4" s="92" cm="1">
        <f t="array" aca="1" ref="B4" ca="1">INDIRECT($D$1&amp;"!k19")</f>
        <v>914073</v>
      </c>
      <c r="C4" s="3"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7400.01</v>
      </c>
      <c r="K4" s="13"/>
      <c r="L4" s="156"/>
      <c r="M4" s="6">
        <v>6000</v>
      </c>
      <c r="N4" s="47">
        <f t="shared" ref="N4:N7" ca="1" si="1">J4+L4-M4</f>
        <v>1400.0100000000002</v>
      </c>
      <c r="O4" s="47">
        <f ca="1">D3+D4+D7+D8+D22+D23+L22+L23+D18+D19+L18+L19</f>
        <v>1399</v>
      </c>
      <c r="P4" s="48">
        <f ca="1">O4-N4</f>
        <v>-1.0100000000002183</v>
      </c>
    </row>
    <row r="5" spans="1:16">
      <c r="A5" s="40">
        <v>3</v>
      </c>
      <c r="B5" s="92" cm="1">
        <f t="array" aca="1" ref="B5" ca="1">INDIRECT($D$1&amp;"!k20")</f>
        <v>1380980</v>
      </c>
      <c r="C5" s="3">
        <v>1382321</v>
      </c>
      <c r="D5" s="41">
        <f t="shared" ca="1" si="0"/>
        <v>1341</v>
      </c>
      <c r="E5" s="3"/>
      <c r="F5" s="41"/>
      <c r="G5" s="41"/>
      <c r="H5" s="42"/>
      <c r="I5" s="49" t="s">
        <v>22</v>
      </c>
      <c r="J5" s="50">
        <f ca="1">SUM(J3:J4)</f>
        <v>24550.010000000002</v>
      </c>
      <c r="K5" s="50">
        <f t="shared" ref="K5:L5" si="2">SUM(K3:K4)</f>
        <v>0</v>
      </c>
      <c r="L5" s="50">
        <f t="shared" si="2"/>
        <v>0</v>
      </c>
      <c r="M5" s="50">
        <f>M3+M4</f>
        <v>20500</v>
      </c>
      <c r="N5" s="50">
        <f t="shared" ca="1" si="1"/>
        <v>4050.010000000002</v>
      </c>
      <c r="O5" s="50">
        <f ca="1">SUM(O3:O4)</f>
        <v>4141</v>
      </c>
      <c r="P5" s="51">
        <f ca="1">O5-N5</f>
        <v>90.989999999997963</v>
      </c>
    </row>
    <row r="6" spans="1:16">
      <c r="A6" s="40">
        <v>4</v>
      </c>
      <c r="B6" s="92" cm="1">
        <f t="array" aca="1" ref="B6" ca="1">INDIRECT($D$1&amp;"!k21")</f>
        <v>1152475</v>
      </c>
      <c r="C6" s="3">
        <v>1152527</v>
      </c>
      <c r="D6" s="41">
        <f t="shared" ca="1" si="0"/>
        <v>52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34600</v>
      </c>
      <c r="K6" s="5"/>
      <c r="L6" s="99"/>
      <c r="M6" s="6">
        <v>34400</v>
      </c>
      <c r="N6" s="44">
        <f t="shared" ca="1" si="1"/>
        <v>200</v>
      </c>
      <c r="O6" s="44">
        <f ca="1">D12+D13+D27+D28+L27+L28</f>
        <v>333</v>
      </c>
      <c r="P6" s="45">
        <f t="shared" ref="P6:P7" ca="1" si="3">O6-N6</f>
        <v>133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1166993</v>
      </c>
      <c r="C10" s="3">
        <v>1168342</v>
      </c>
      <c r="D10" s="41">
        <f t="shared" ca="1" si="0"/>
        <v>1349</v>
      </c>
      <c r="E10" s="3">
        <v>50</v>
      </c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4141</v>
      </c>
      <c r="E11" s="62">
        <f t="shared" si="4"/>
        <v>50</v>
      </c>
      <c r="F11" s="62">
        <f ca="1">SUM(D3:D10)-SUM(E3:E10)</f>
        <v>4091</v>
      </c>
      <c r="G11" s="11">
        <v>1300</v>
      </c>
      <c r="H11" s="97">
        <f ca="1">G11*F11</f>
        <v>5318300</v>
      </c>
      <c r="I11" s="64" t="str" cm="1">
        <f t="array" aca="1" ref="I11" ca="1">INDIRECT("LODGEMENT"&amp;"!F3")</f>
        <v>GTBank 1</v>
      </c>
      <c r="J11" s="9">
        <v>1809876</v>
      </c>
      <c r="K11" s="64" t="s">
        <v>113</v>
      </c>
      <c r="L11" s="9"/>
      <c r="M11" s="65" t="s">
        <v>7</v>
      </c>
      <c r="N11" s="66">
        <f>E11+E26+M26-L11-L14-L15-L16</f>
        <v>0</v>
      </c>
      <c r="O11" s="67">
        <f ca="1">F11+F26+N26</f>
        <v>4091</v>
      </c>
      <c r="P11" s="68">
        <f ca="1">H11+H26+P26</f>
        <v>5318300</v>
      </c>
    </row>
    <row r="12" spans="1:16" ht="15.75" customHeight="1">
      <c r="A12" s="69" t="s">
        <v>114</v>
      </c>
      <c r="B12" s="98" cm="1">
        <f t="array" aca="1" ref="B12" ca="1">INDIRECT($D$1&amp;"!k27")</f>
        <v>307781</v>
      </c>
      <c r="C12" s="4">
        <v>307913</v>
      </c>
      <c r="D12" s="41">
        <f t="shared" ref="D12:D13" ca="1" si="5">C12-B12</f>
        <v>132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3723763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301</v>
      </c>
      <c r="P12" s="73">
        <f ca="1">H14+H29+P29</f>
        <v>502670</v>
      </c>
    </row>
    <row r="13" spans="1:16" ht="15.75" customHeight="1" thickBot="1">
      <c r="A13" s="40">
        <v>2</v>
      </c>
      <c r="B13" s="98" cm="1">
        <f t="array" aca="1" ref="B13" ca="1">INDIRECT($D$1&amp;"!k28")</f>
        <v>259015</v>
      </c>
      <c r="C13" s="4">
        <v>259216</v>
      </c>
      <c r="D13" s="41">
        <f t="shared" ca="1" si="5"/>
        <v>201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333</v>
      </c>
      <c r="E14" s="62">
        <f>SUM(E12:E13)</f>
        <v>32</v>
      </c>
      <c r="F14" s="62">
        <f ca="1">SUM(D12:D13)-SUM(E12:E13)</f>
        <v>301</v>
      </c>
      <c r="G14" s="11">
        <v>1670</v>
      </c>
      <c r="H14" s="97">
        <f ca="1">G14*F14</f>
        <v>502670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>
        <v>50</v>
      </c>
      <c r="M14" s="78"/>
      <c r="N14" s="79" t="s">
        <v>117</v>
      </c>
      <c r="O14" s="381">
        <f ca="1">SUM(P11:P13)</f>
        <v>5820970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5533639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287331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960398</v>
      </c>
      <c r="C18" s="3">
        <f>B18</f>
        <v>960398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960398</v>
      </c>
      <c r="K18" s="8">
        <f t="shared" ref="K18:K25" si="10">J18</f>
        <v>960398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914073</v>
      </c>
      <c r="C19" s="3">
        <f t="shared" ref="C19:C25" si="12">B19</f>
        <v>914073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914073</v>
      </c>
      <c r="K19" s="3">
        <f t="shared" si="10"/>
        <v>914073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1382321</v>
      </c>
      <c r="C20" s="3">
        <f t="shared" si="12"/>
        <v>1382321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1382321</v>
      </c>
      <c r="K20" s="3">
        <f t="shared" si="10"/>
        <v>1382321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1152527</v>
      </c>
      <c r="C21" s="3">
        <f t="shared" si="12"/>
        <v>1152527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1152527</v>
      </c>
      <c r="K21" s="3">
        <f t="shared" si="10"/>
        <v>1152527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1012690</v>
      </c>
      <c r="C24" s="3">
        <f t="shared" si="12"/>
        <v>1012690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1012690</v>
      </c>
      <c r="K24" s="3">
        <f t="shared" si="10"/>
        <v>1012690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1168342</v>
      </c>
      <c r="C25" s="3">
        <f t="shared" si="12"/>
        <v>1168342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1168342</v>
      </c>
      <c r="K25" s="3">
        <f t="shared" si="10"/>
        <v>1168342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307913</v>
      </c>
      <c r="C27" s="4">
        <f>B27</f>
        <v>307913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307913</v>
      </c>
      <c r="K27" s="4">
        <f>J27</f>
        <v>307913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259216</v>
      </c>
      <c r="C28" s="4">
        <f>B28</f>
        <v>259216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259216</v>
      </c>
      <c r="K28" s="3">
        <f>J28</f>
        <v>259216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m14221V7MSMaFFGKLEh3EZECL5M59W1VNaYXYwsNxtxik4CmPSvR6ZGHVp3nbONPUzx/ZdYAyKhG0Ualzz2Hog==" saltValue="T2iu60MV2UWAxDYNjkjvo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5A16EB72-F2AE-4694-981B-831974158EAE}"/>
  </hyperlinks>
  <pageMargins left="0.7" right="0.7" top="0.75" bottom="0.75" header="0" footer="0"/>
  <pageSetup paperSize="9" scale="56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EA49-A128-4354-998F-ECEFF72735E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H12" sqref="H1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16</v>
      </c>
      <c r="E1" s="30" t="s">
        <v>98</v>
      </c>
      <c r="F1" s="31">
        <v>17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960398</v>
      </c>
      <c r="C3" s="3">
        <f>962225</f>
        <v>962225</v>
      </c>
      <c r="D3" s="41">
        <f t="shared" ref="D3:D10" ca="1" si="0">C3-B3</f>
        <v>1827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14500</v>
      </c>
      <c r="K3" s="5"/>
      <c r="L3" s="155"/>
      <c r="M3" s="6">
        <f>12000</f>
        <v>12000</v>
      </c>
      <c r="N3" s="44">
        <f ca="1">J3+L3-M3</f>
        <v>2500</v>
      </c>
      <c r="O3" s="44">
        <f ca="1">D5+D6+D9+D10+D20+D21+D24+D25+L20+L21+L24+L25</f>
        <v>2454</v>
      </c>
      <c r="P3" s="45">
        <f ca="1">O3-N3</f>
        <v>-46</v>
      </c>
    </row>
    <row r="4" spans="1:16">
      <c r="A4" s="40">
        <v>2</v>
      </c>
      <c r="B4" s="92" cm="1">
        <f t="array" aca="1" ref="B4" ca="1">INDIRECT($D$1&amp;"!k19")</f>
        <v>914073</v>
      </c>
      <c r="C4" s="3"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6000</v>
      </c>
      <c r="K4" s="13"/>
      <c r="L4" s="156"/>
      <c r="M4" s="6">
        <f>4200</f>
        <v>4200</v>
      </c>
      <c r="N4" s="47">
        <f t="shared" ref="N4:N7" ca="1" si="1">J4+L4-M4</f>
        <v>1800</v>
      </c>
      <c r="O4" s="47">
        <f ca="1">D3+D4+D7+D8+D22+D23+L22+L23+D18+D19+L18+L19</f>
        <v>1827</v>
      </c>
      <c r="P4" s="48">
        <f ca="1">O4-N4</f>
        <v>27</v>
      </c>
    </row>
    <row r="5" spans="1:16">
      <c r="A5" s="40">
        <v>3</v>
      </c>
      <c r="B5" s="92" cm="1">
        <f t="array" aca="1" ref="B5" ca="1">INDIRECT($D$1&amp;"!k20")</f>
        <v>1382321</v>
      </c>
      <c r="C5" s="3">
        <v>1383388</v>
      </c>
      <c r="D5" s="41">
        <f t="shared" ca="1" si="0"/>
        <v>1067</v>
      </c>
      <c r="E5" s="3"/>
      <c r="F5" s="41"/>
      <c r="G5" s="41"/>
      <c r="H5" s="42"/>
      <c r="I5" s="49" t="s">
        <v>22</v>
      </c>
      <c r="J5" s="50">
        <f ca="1">SUM(J3:J4)</f>
        <v>20500</v>
      </c>
      <c r="K5" s="50">
        <f t="shared" ref="K5:L5" si="2">SUM(K3:K4)</f>
        <v>0</v>
      </c>
      <c r="L5" s="50">
        <f t="shared" si="2"/>
        <v>0</v>
      </c>
      <c r="M5" s="50">
        <f>M3+M4</f>
        <v>16200</v>
      </c>
      <c r="N5" s="50">
        <f t="shared" ca="1" si="1"/>
        <v>4300</v>
      </c>
      <c r="O5" s="50">
        <f ca="1">SUM(O3:O4)</f>
        <v>4281</v>
      </c>
      <c r="P5" s="51">
        <f ca="1">O5-N5</f>
        <v>-19</v>
      </c>
    </row>
    <row r="6" spans="1:16">
      <c r="A6" s="40">
        <v>4</v>
      </c>
      <c r="B6" s="92" cm="1">
        <f t="array" aca="1" ref="B6" ca="1">INDIRECT($D$1&amp;"!k21")</f>
        <v>1152527</v>
      </c>
      <c r="C6" s="3">
        <v>1152528</v>
      </c>
      <c r="D6" s="41">
        <f t="shared" ca="1" si="0"/>
        <v>1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34400</v>
      </c>
      <c r="K6" s="5"/>
      <c r="L6" s="99"/>
      <c r="M6" s="6">
        <f>33950</f>
        <v>33950</v>
      </c>
      <c r="N6" s="44">
        <f t="shared" ca="1" si="1"/>
        <v>450</v>
      </c>
      <c r="O6" s="44">
        <f ca="1">D12+D13+D27+D28+L27+L28</f>
        <v>482</v>
      </c>
      <c r="P6" s="45">
        <f t="shared" ref="P6:P7" ca="1" si="3">O6-N6</f>
        <v>32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1168342</v>
      </c>
      <c r="C10" s="3">
        <v>1169728</v>
      </c>
      <c r="D10" s="41">
        <f t="shared" ca="1" si="0"/>
        <v>1386</v>
      </c>
      <c r="E10" s="3">
        <v>50</v>
      </c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4281</v>
      </c>
      <c r="E11" s="62">
        <f t="shared" si="4"/>
        <v>50</v>
      </c>
      <c r="F11" s="62">
        <f ca="1">SUM(D3:D10)-SUM(E3:E10)</f>
        <v>4231</v>
      </c>
      <c r="G11" s="11">
        <v>1300</v>
      </c>
      <c r="H11" s="97">
        <f ca="1">G11*F11</f>
        <v>5500300</v>
      </c>
      <c r="I11" s="64" t="str" cm="1">
        <f t="array" aca="1" ref="I11" ca="1">INDIRECT("LODGEMENT"&amp;"!F3")</f>
        <v>GTBank 1</v>
      </c>
      <c r="J11" s="9">
        <v>1128814</v>
      </c>
      <c r="K11" s="64" t="s">
        <v>113</v>
      </c>
      <c r="L11" s="9">
        <f>E11</f>
        <v>50</v>
      </c>
      <c r="M11" s="65" t="s">
        <v>7</v>
      </c>
      <c r="N11" s="66">
        <f>E11+E26+M26-L11-L14-L15-L16</f>
        <v>0</v>
      </c>
      <c r="O11" s="67">
        <f ca="1">F11+F26+N26</f>
        <v>4231</v>
      </c>
      <c r="P11" s="68">
        <f ca="1">H11+H26+P26</f>
        <v>5500300</v>
      </c>
    </row>
    <row r="12" spans="1:16" ht="15.75" customHeight="1">
      <c r="A12" s="69" t="s">
        <v>114</v>
      </c>
      <c r="B12" s="98" cm="1">
        <f t="array" aca="1" ref="B12" ca="1">INDIRECT($D$1&amp;"!k27")</f>
        <v>307913</v>
      </c>
      <c r="C12" s="4">
        <v>308077</v>
      </c>
      <c r="D12" s="41">
        <f t="shared" ref="D12:D13" ca="1" si="5">C12-B12</f>
        <v>164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1716737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450</v>
      </c>
      <c r="P12" s="73">
        <f ca="1">H14+H29+P29</f>
        <v>751500</v>
      </c>
    </row>
    <row r="13" spans="1:16" ht="15.75" customHeight="1" thickBot="1">
      <c r="A13" s="40">
        <v>2</v>
      </c>
      <c r="B13" s="98" cm="1">
        <f t="array" aca="1" ref="B13" ca="1">INDIRECT($D$1&amp;"!k28")</f>
        <v>259216</v>
      </c>
      <c r="C13" s="4">
        <v>259534</v>
      </c>
      <c r="D13" s="41">
        <f t="shared" ca="1" si="5"/>
        <v>318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482</v>
      </c>
      <c r="E14" s="62">
        <f>SUM(E12:E13)</f>
        <v>32</v>
      </c>
      <c r="F14" s="62">
        <f ca="1">SUM(D12:D13)-SUM(E12:E13)</f>
        <v>450</v>
      </c>
      <c r="G14" s="11">
        <v>1670</v>
      </c>
      <c r="H14" s="97">
        <f ca="1">G14*F14</f>
        <v>751500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6251800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>
        <v>1063770</v>
      </c>
      <c r="K15" s="64" t="s">
        <v>119</v>
      </c>
      <c r="L15" s="9"/>
      <c r="M15" s="80"/>
      <c r="N15" s="81" t="s">
        <v>120</v>
      </c>
      <c r="O15" s="383">
        <f>SUM(J11:J16)</f>
        <v>3909321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2342479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>
        <v>1450</v>
      </c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962225</v>
      </c>
      <c r="C18" s="3">
        <f>B18</f>
        <v>962225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962225</v>
      </c>
      <c r="K18" s="8">
        <f t="shared" ref="K18:K25" si="10">J18</f>
        <v>962225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914073</v>
      </c>
      <c r="C19" s="3">
        <f t="shared" ref="C19:C25" si="12">B19</f>
        <v>914073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914073</v>
      </c>
      <c r="K19" s="3">
        <f t="shared" si="10"/>
        <v>914073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1383388</v>
      </c>
      <c r="C20" s="3">
        <f t="shared" si="12"/>
        <v>1383388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1383388</v>
      </c>
      <c r="K20" s="3">
        <f t="shared" si="10"/>
        <v>1383388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1152528</v>
      </c>
      <c r="C21" s="3">
        <f t="shared" si="12"/>
        <v>1152528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1152528</v>
      </c>
      <c r="K21" s="3">
        <f t="shared" si="10"/>
        <v>1152528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1012690</v>
      </c>
      <c r="C24" s="3">
        <f t="shared" si="12"/>
        <v>1012690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1012690</v>
      </c>
      <c r="K24" s="3">
        <f t="shared" si="10"/>
        <v>1012690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1169728</v>
      </c>
      <c r="C25" s="3">
        <f t="shared" si="12"/>
        <v>1169728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1169728</v>
      </c>
      <c r="K25" s="3">
        <f t="shared" si="10"/>
        <v>1169728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308077</v>
      </c>
      <c r="C27" s="4">
        <f>B27</f>
        <v>308077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308077</v>
      </c>
      <c r="K27" s="4">
        <f>J27</f>
        <v>308077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259534</v>
      </c>
      <c r="C28" s="4">
        <f>B28</f>
        <v>259534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259534</v>
      </c>
      <c r="K28" s="3">
        <f>J28</f>
        <v>259534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fdSbe7shHMwCHZNxZc0McD/koVXAT2uj6Z6uFaqx1gXbpkVw9nlYF4Ukg/tzzVbhNKJyohd9O5BWHLna8J5sQ==" saltValue="c7aSGN7Yk1VTisefJ0DAr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B353EFBB-8AFE-43E0-9BCF-2DFA90B54115}"/>
  </hyperlinks>
  <pageMargins left="0.7" right="0.7" top="0.75" bottom="0.75" header="0" footer="0"/>
  <pageSetup paperSize="9" scale="56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78B4-3DA0-4B77-80D1-335BC4CE491F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J16" sqref="J16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17</v>
      </c>
      <c r="E1" s="30" t="s">
        <v>98</v>
      </c>
      <c r="F1" s="31">
        <v>18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962225</v>
      </c>
      <c r="C3" s="3">
        <v>963527</v>
      </c>
      <c r="D3" s="41">
        <f t="shared" ref="D3:D10" ca="1" si="0">C3-B3</f>
        <v>1302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12000</v>
      </c>
      <c r="K3" s="5"/>
      <c r="L3" s="155"/>
      <c r="M3" s="6">
        <v>9550</v>
      </c>
      <c r="N3" s="44">
        <f ca="1">J3+L3-M3</f>
        <v>2450</v>
      </c>
      <c r="O3" s="44">
        <f ca="1">D5+D6+D9+D10+D20+D21+D24+D25+L20+L21+L24+L25</f>
        <v>2461</v>
      </c>
      <c r="P3" s="45">
        <f ca="1">O3-N3</f>
        <v>11</v>
      </c>
    </row>
    <row r="4" spans="1:16">
      <c r="A4" s="40">
        <v>2</v>
      </c>
      <c r="B4" s="92" cm="1">
        <f t="array" aca="1" ref="B4" ca="1">INDIRECT($D$1&amp;"!k19")</f>
        <v>914073</v>
      </c>
      <c r="C4" s="3">
        <v>914073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4200</v>
      </c>
      <c r="K4" s="13"/>
      <c r="L4" s="156"/>
      <c r="M4" s="6">
        <v>2850</v>
      </c>
      <c r="N4" s="47">
        <f t="shared" ref="N4:N7" ca="1" si="1">J4+L4-M4</f>
        <v>1350</v>
      </c>
      <c r="O4" s="47">
        <f ca="1">D3+D4+D7+D8+D22+D23+L22+L23+D18+D19+L18+L19</f>
        <v>1302</v>
      </c>
      <c r="P4" s="48">
        <f ca="1">O4-N4</f>
        <v>-48</v>
      </c>
    </row>
    <row r="5" spans="1:16">
      <c r="A5" s="40">
        <v>3</v>
      </c>
      <c r="B5" s="92" cm="1">
        <f t="array" aca="1" ref="B5" ca="1">INDIRECT($D$1&amp;"!k20")</f>
        <v>1383388</v>
      </c>
      <c r="C5" s="3">
        <v>1384083</v>
      </c>
      <c r="D5" s="41">
        <f t="shared" ca="1" si="0"/>
        <v>695</v>
      </c>
      <c r="E5" s="3"/>
      <c r="F5" s="41"/>
      <c r="G5" s="41"/>
      <c r="H5" s="42"/>
      <c r="I5" s="49" t="s">
        <v>22</v>
      </c>
      <c r="J5" s="50">
        <f ca="1">SUM(J3:J4)</f>
        <v>16200</v>
      </c>
      <c r="K5" s="50">
        <f t="shared" ref="K5:L5" si="2">SUM(K3:K4)</f>
        <v>0</v>
      </c>
      <c r="L5" s="50">
        <f t="shared" si="2"/>
        <v>0</v>
      </c>
      <c r="M5" s="50">
        <f>M3+M4</f>
        <v>12400</v>
      </c>
      <c r="N5" s="50">
        <f t="shared" ca="1" si="1"/>
        <v>3800</v>
      </c>
      <c r="O5" s="50">
        <f ca="1">SUM(O3:O4)</f>
        <v>3763</v>
      </c>
      <c r="P5" s="51">
        <f ca="1">O5-N5</f>
        <v>-37</v>
      </c>
    </row>
    <row r="6" spans="1:16">
      <c r="A6" s="40">
        <v>4</v>
      </c>
      <c r="B6" s="92" cm="1">
        <f t="array" aca="1" ref="B6" ca="1">INDIRECT($D$1&amp;"!k21")</f>
        <v>1152528</v>
      </c>
      <c r="C6" s="3">
        <v>1152973</v>
      </c>
      <c r="D6" s="41">
        <f t="shared" ca="1" si="0"/>
        <v>445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33950</v>
      </c>
      <c r="K6" s="5"/>
      <c r="L6" s="99"/>
      <c r="M6" s="6">
        <v>33700</v>
      </c>
      <c r="N6" s="44">
        <f t="shared" ca="1" si="1"/>
        <v>250</v>
      </c>
      <c r="O6" s="44">
        <f ca="1">D12+D13+D27+D28+L27+L28</f>
        <v>325</v>
      </c>
      <c r="P6" s="45">
        <f t="shared" ref="P6:P7" ca="1" si="3">O6-N6</f>
        <v>75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1169728</v>
      </c>
      <c r="C10" s="3">
        <v>1171049</v>
      </c>
      <c r="D10" s="41">
        <f t="shared" ca="1" si="0"/>
        <v>1321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3763</v>
      </c>
      <c r="E11" s="62">
        <f t="shared" si="4"/>
        <v>0</v>
      </c>
      <c r="F11" s="62">
        <f ca="1">SUM(D3:D10)-SUM(E3:E10)</f>
        <v>3763</v>
      </c>
      <c r="G11" s="11">
        <v>1250</v>
      </c>
      <c r="H11" s="97">
        <f ca="1">G11*F11</f>
        <v>4703750</v>
      </c>
      <c r="I11" s="64" t="str" cm="1">
        <f t="array" aca="1" ref="I11" ca="1">INDIRECT("LODGEMENT"&amp;"!F3")</f>
        <v>GTBank 1</v>
      </c>
      <c r="J11" s="9">
        <v>900525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3763</v>
      </c>
      <c r="P11" s="68">
        <f ca="1">H11+H26+P26</f>
        <v>4703750</v>
      </c>
    </row>
    <row r="12" spans="1:16" ht="15.75" customHeight="1">
      <c r="A12" s="69" t="s">
        <v>114</v>
      </c>
      <c r="B12" s="98" cm="1">
        <f t="array" aca="1" ref="B12" ca="1">INDIRECT($D$1&amp;"!k27")</f>
        <v>308077</v>
      </c>
      <c r="C12" s="4">
        <f>308125</f>
        <v>308125</v>
      </c>
      <c r="D12" s="41">
        <f t="shared" ref="D12:D13" ca="1" si="5">C12-B12</f>
        <v>48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1442839</v>
      </c>
      <c r="K12" s="64" t="s">
        <v>115</v>
      </c>
      <c r="L12" s="9">
        <f>E14</f>
        <v>35</v>
      </c>
      <c r="M12" s="71" t="s">
        <v>8</v>
      </c>
      <c r="N12" s="72">
        <f>E14+E29+M29-L12-L13</f>
        <v>0</v>
      </c>
      <c r="O12" s="41">
        <f ca="1">F14+F29+N29</f>
        <v>290</v>
      </c>
      <c r="P12" s="73">
        <f ca="1">H14+H29+P29</f>
        <v>484300</v>
      </c>
    </row>
    <row r="13" spans="1:16" ht="15.75" customHeight="1" thickBot="1">
      <c r="A13" s="40">
        <v>2</v>
      </c>
      <c r="B13" s="98" cm="1">
        <f t="array" aca="1" ref="B13" ca="1">INDIRECT($D$1&amp;"!k28")</f>
        <v>259534</v>
      </c>
      <c r="C13" s="4">
        <v>259811</v>
      </c>
      <c r="D13" s="41">
        <f t="shared" ca="1" si="5"/>
        <v>277</v>
      </c>
      <c r="E13" s="3">
        <v>35</v>
      </c>
      <c r="F13" s="41"/>
      <c r="G13" s="41"/>
      <c r="H13" s="73"/>
      <c r="I13" s="64" t="str" cm="1">
        <f t="array" aca="1" ref="I13" ca="1">INDIRECT("LODGEMENT"&amp;"!H3")</f>
        <v>GTBank 3</v>
      </c>
      <c r="J13" s="9">
        <v>1039775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325</v>
      </c>
      <c r="E14" s="62">
        <f>SUM(E12:E13)</f>
        <v>35</v>
      </c>
      <c r="F14" s="62">
        <f ca="1">SUM(D12:D13)-SUM(E12:E13)</f>
        <v>290</v>
      </c>
      <c r="G14" s="11">
        <v>1670</v>
      </c>
      <c r="H14" s="97">
        <f ca="1">G14*F14</f>
        <v>484300</v>
      </c>
      <c r="I14" s="64" t="str" cm="1">
        <f t="array" aca="1" ref="I14" ca="1">INDIRECT("LODGEMENT"&amp;"!I3")</f>
        <v>GTB TF 1</v>
      </c>
      <c r="J14" s="9">
        <v>362150</v>
      </c>
      <c r="K14" s="64" t="s">
        <v>116</v>
      </c>
      <c r="L14" s="9"/>
      <c r="M14" s="78"/>
      <c r="N14" s="79" t="s">
        <v>117</v>
      </c>
      <c r="O14" s="381">
        <f ca="1">SUM(P11:P13)</f>
        <v>5188050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>
        <v>876020</v>
      </c>
      <c r="K15" s="64" t="s">
        <v>119</v>
      </c>
      <c r="L15" s="9"/>
      <c r="M15" s="80"/>
      <c r="N15" s="81" t="s">
        <v>120</v>
      </c>
      <c r="O15" s="383">
        <f>SUM(J11:J16)</f>
        <v>4823029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>
        <v>201720</v>
      </c>
      <c r="K16" s="82" t="s">
        <v>34</v>
      </c>
      <c r="L16" s="10"/>
      <c r="M16" s="83"/>
      <c r="N16" s="84" t="s">
        <v>121</v>
      </c>
      <c r="O16" s="376">
        <f ca="1">O14-O15</f>
        <v>365021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963527</v>
      </c>
      <c r="C18" s="3">
        <f>B18</f>
        <v>963527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963527</v>
      </c>
      <c r="K18" s="8">
        <f t="shared" ref="K18:K25" si="10">J18</f>
        <v>963527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914073</v>
      </c>
      <c r="C19" s="3">
        <f t="shared" ref="C19:C25" si="12">B19</f>
        <v>914073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914073</v>
      </c>
      <c r="K19" s="3">
        <f t="shared" si="10"/>
        <v>914073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1384083</v>
      </c>
      <c r="C20" s="3">
        <f t="shared" si="12"/>
        <v>1384083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1384083</v>
      </c>
      <c r="K20" s="3">
        <f t="shared" si="10"/>
        <v>1384083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1152973</v>
      </c>
      <c r="C21" s="3">
        <f t="shared" si="12"/>
        <v>1152973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1152973</v>
      </c>
      <c r="K21" s="3">
        <f t="shared" si="10"/>
        <v>1152973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1012690</v>
      </c>
      <c r="C24" s="3">
        <f t="shared" si="12"/>
        <v>1012690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1012690</v>
      </c>
      <c r="K24" s="3">
        <f t="shared" si="10"/>
        <v>1012690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1171049</v>
      </c>
      <c r="C25" s="3">
        <f t="shared" si="12"/>
        <v>1171049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1171049</v>
      </c>
      <c r="K25" s="3">
        <f t="shared" si="10"/>
        <v>1171049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308125</v>
      </c>
      <c r="C27" s="4">
        <f>B27</f>
        <v>308125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308125</v>
      </c>
      <c r="K27" s="4">
        <f>J27</f>
        <v>308125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259811</v>
      </c>
      <c r="C28" s="4">
        <f>B28</f>
        <v>259811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259811</v>
      </c>
      <c r="K28" s="3">
        <f>J28</f>
        <v>259811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k9GdK0VlGSHS08GZzNfJMI3GcNjY8ZlEMou/QJjkHSdX2dUc4FgUclK1owN0RyfTuGVNlAkw4TVmdjjq3ZkgA==" saltValue="acbEok8gSB0jBP74cIh6J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B9ACC81-5867-4134-846F-DFDAE2B06798}"/>
  </hyperlinks>
  <pageMargins left="0.7" right="0.7" top="0.75" bottom="0.75" header="0" footer="0"/>
  <pageSetup paperSize="9" scale="56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27B1-BBF5-4AF3-9F40-358A49C6633F}">
  <dimension ref="A1:P923"/>
  <sheetViews>
    <sheetView zoomScaleNormal="100" zoomScaleSheetLayoutView="100" zoomScalePageLayoutView="55" workbookViewId="0">
      <pane ySplit="1" topLeftCell="H2" activePane="bottomLeft" state="frozen"/>
      <selection pane="bottomLeft" activeCell="J17" sqref="J17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18</v>
      </c>
      <c r="E1" s="30" t="s">
        <v>98</v>
      </c>
      <c r="F1" s="31">
        <v>19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963527</v>
      </c>
      <c r="C3" s="3">
        <f>965166</f>
        <v>965166</v>
      </c>
      <c r="D3" s="41">
        <f t="shared" ref="D3:D10" ca="1" si="0">C3-B3</f>
        <v>1639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9550</v>
      </c>
      <c r="K3" s="5">
        <v>26500</v>
      </c>
      <c r="L3" s="155">
        <v>26200</v>
      </c>
      <c r="M3" s="6">
        <v>33700</v>
      </c>
      <c r="N3" s="44">
        <f ca="1">J3+L3-M3</f>
        <v>2050</v>
      </c>
      <c r="O3" s="44">
        <f ca="1">D5+D6+D9+D10+D20+D21+D24+D25+L20+L21+L24+L25</f>
        <v>2049</v>
      </c>
      <c r="P3" s="45">
        <f ca="1">O3-N3</f>
        <v>-1</v>
      </c>
    </row>
    <row r="4" spans="1:16">
      <c r="A4" s="40">
        <v>2</v>
      </c>
      <c r="B4" s="92" cm="1">
        <f t="array" aca="1" ref="B4" ca="1">INDIRECT($D$1&amp;"!k19")</f>
        <v>914073</v>
      </c>
      <c r="C4" s="3">
        <v>914398</v>
      </c>
      <c r="D4" s="41">
        <f t="shared" ca="1" si="0"/>
        <v>325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2850</v>
      </c>
      <c r="K4" s="13">
        <v>13500</v>
      </c>
      <c r="L4" s="156">
        <v>13500</v>
      </c>
      <c r="M4" s="6">
        <v>14400</v>
      </c>
      <c r="N4" s="47">
        <f t="shared" ref="N4:N7" ca="1" si="1">J4+L4-M4</f>
        <v>1950</v>
      </c>
      <c r="O4" s="47">
        <f ca="1">D3+D4+D7+D8+D22+D23+L22+L23+D18+D19+L18+L19</f>
        <v>1964</v>
      </c>
      <c r="P4" s="48">
        <f ca="1">O4-N4</f>
        <v>14</v>
      </c>
    </row>
    <row r="5" spans="1:16">
      <c r="A5" s="40">
        <v>3</v>
      </c>
      <c r="B5" s="92" cm="1">
        <f t="array" aca="1" ref="B5" ca="1">INDIRECT($D$1&amp;"!k20")</f>
        <v>1384083</v>
      </c>
      <c r="C5" s="3">
        <v>1384989</v>
      </c>
      <c r="D5" s="41">
        <f t="shared" ca="1" si="0"/>
        <v>906</v>
      </c>
      <c r="E5" s="3"/>
      <c r="F5" s="41"/>
      <c r="G5" s="41"/>
      <c r="H5" s="42"/>
      <c r="I5" s="49" t="s">
        <v>22</v>
      </c>
      <c r="J5" s="50">
        <f ca="1">SUM(J3:J4)</f>
        <v>12400</v>
      </c>
      <c r="K5" s="50">
        <f t="shared" ref="K5:L5" si="2">SUM(K3:K4)</f>
        <v>40000</v>
      </c>
      <c r="L5" s="50">
        <f t="shared" si="2"/>
        <v>39700</v>
      </c>
      <c r="M5" s="50">
        <f>M3+M4</f>
        <v>48100</v>
      </c>
      <c r="N5" s="50">
        <f t="shared" ca="1" si="1"/>
        <v>4000</v>
      </c>
      <c r="O5" s="50">
        <f ca="1">SUM(O3:O4)</f>
        <v>4013</v>
      </c>
      <c r="P5" s="51">
        <f ca="1">O5-N5</f>
        <v>13</v>
      </c>
    </row>
    <row r="6" spans="1:16">
      <c r="A6" s="40">
        <v>4</v>
      </c>
      <c r="B6" s="92" cm="1">
        <f t="array" aca="1" ref="B6" ca="1">INDIRECT($D$1&amp;"!k21")</f>
        <v>1152973</v>
      </c>
      <c r="C6" s="3">
        <v>1152973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33700</v>
      </c>
      <c r="K6" s="5"/>
      <c r="L6" s="99"/>
      <c r="M6" s="6">
        <v>32500</v>
      </c>
      <c r="N6" s="44">
        <f t="shared" ca="1" si="1"/>
        <v>1200</v>
      </c>
      <c r="O6" s="44">
        <f ca="1">D12+D13+D27+D28+L27+L28</f>
        <v>1143</v>
      </c>
      <c r="P6" s="45">
        <f t="shared" ref="P6:P7" ca="1" si="3">O6-N6</f>
        <v>-57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1171049</v>
      </c>
      <c r="C10" s="3">
        <v>1172192</v>
      </c>
      <c r="D10" s="41">
        <f t="shared" ca="1" si="0"/>
        <v>1143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4013</v>
      </c>
      <c r="E11" s="62">
        <f t="shared" si="4"/>
        <v>0</v>
      </c>
      <c r="F11" s="62">
        <f ca="1">SUM(D3:D10)-SUM(E3:E10)</f>
        <v>4013</v>
      </c>
      <c r="G11" s="11">
        <v>1250</v>
      </c>
      <c r="H11" s="97">
        <f ca="1">G11*F11</f>
        <v>5016250</v>
      </c>
      <c r="I11" s="64" t="str" cm="1">
        <f t="array" aca="1" ref="I11" ca="1">INDIRECT("LODGEMENT"&amp;"!F3")</f>
        <v>GTBank 1</v>
      </c>
      <c r="J11" s="9">
        <v>881750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4013</v>
      </c>
      <c r="P11" s="68">
        <f ca="1">H11+H26+P26</f>
        <v>5016250</v>
      </c>
    </row>
    <row r="12" spans="1:16" ht="15.75" customHeight="1">
      <c r="A12" s="69" t="s">
        <v>114</v>
      </c>
      <c r="B12" s="98" cm="1">
        <f t="array" aca="1" ref="B12" ca="1">INDIRECT($D$1&amp;"!k27")</f>
        <v>308125</v>
      </c>
      <c r="C12" s="4">
        <v>308554</v>
      </c>
      <c r="D12" s="41">
        <f t="shared" ref="D12:D13" ca="1" si="5">C12-B12</f>
        <v>429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2214960</v>
      </c>
      <c r="K12" s="64" t="s">
        <v>115</v>
      </c>
      <c r="L12" s="9">
        <f>E14</f>
        <v>32</v>
      </c>
      <c r="M12" s="71" t="s">
        <v>8</v>
      </c>
      <c r="N12" s="72">
        <f>E14+E29+M29-L12-L13</f>
        <v>0</v>
      </c>
      <c r="O12" s="41">
        <f ca="1">F14+F29+N29</f>
        <v>1111</v>
      </c>
      <c r="P12" s="73">
        <f ca="1">H14+H29+P29</f>
        <v>1855370</v>
      </c>
    </row>
    <row r="13" spans="1:16" ht="15.75" customHeight="1" thickBot="1">
      <c r="A13" s="40">
        <v>2</v>
      </c>
      <c r="B13" s="98" cm="1">
        <f t="array" aca="1" ref="B13" ca="1">INDIRECT($D$1&amp;"!k28")</f>
        <v>259811</v>
      </c>
      <c r="C13" s="4">
        <v>260525</v>
      </c>
      <c r="D13" s="41">
        <f t="shared" ca="1" si="5"/>
        <v>714</v>
      </c>
      <c r="E13" s="3">
        <v>32</v>
      </c>
      <c r="F13" s="41"/>
      <c r="G13" s="41"/>
      <c r="H13" s="73"/>
      <c r="I13" s="64" t="str" cm="1">
        <f t="array" aca="1" ref="I13" ca="1">INDIRECT("LODGEMENT"&amp;"!H3")</f>
        <v>GTBank 3</v>
      </c>
      <c r="J13" s="9">
        <v>1025425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1143</v>
      </c>
      <c r="E14" s="62">
        <f>SUM(E12:E13)</f>
        <v>32</v>
      </c>
      <c r="F14" s="62">
        <f ca="1">SUM(D12:D13)-SUM(E12:E13)</f>
        <v>1111</v>
      </c>
      <c r="G14" s="11">
        <v>1670</v>
      </c>
      <c r="H14" s="97">
        <f ca="1">G14*F14</f>
        <v>1855370</v>
      </c>
      <c r="I14" s="64" t="str" cm="1">
        <f t="array" aca="1" ref="I14" ca="1">INDIRECT("LODGEMENT"&amp;"!I3")</f>
        <v>GTB TF 1</v>
      </c>
      <c r="J14" s="9">
        <v>347322</v>
      </c>
      <c r="K14" s="64" t="s">
        <v>116</v>
      </c>
      <c r="L14" s="9"/>
      <c r="M14" s="78"/>
      <c r="N14" s="79" t="s">
        <v>117</v>
      </c>
      <c r="O14" s="381">
        <f ca="1">SUM(P11:P13)</f>
        <v>6871620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>
        <v>1752330</v>
      </c>
      <c r="K15" s="64" t="s">
        <v>119</v>
      </c>
      <c r="L15" s="9"/>
      <c r="M15" s="80"/>
      <c r="N15" s="81" t="s">
        <v>120</v>
      </c>
      <c r="O15" s="383">
        <f>SUM(J11:J16)</f>
        <v>6659175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>
        <v>437388</v>
      </c>
      <c r="K16" s="82" t="s">
        <v>34</v>
      </c>
      <c r="L16" s="10"/>
      <c r="M16" s="83"/>
      <c r="N16" s="84" t="s">
        <v>121</v>
      </c>
      <c r="O16" s="376">
        <f ca="1">O14-O15</f>
        <v>212445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965166</v>
      </c>
      <c r="C18" s="3">
        <f>B18</f>
        <v>965166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965166</v>
      </c>
      <c r="K18" s="8">
        <f t="shared" ref="K18:K25" si="10">J18</f>
        <v>965166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914398</v>
      </c>
      <c r="C19" s="3">
        <f t="shared" ref="C19:C25" si="12">B19</f>
        <v>914398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914398</v>
      </c>
      <c r="K19" s="3">
        <f t="shared" si="10"/>
        <v>914398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1384989</v>
      </c>
      <c r="C20" s="3">
        <f t="shared" si="12"/>
        <v>1384989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1384989</v>
      </c>
      <c r="K20" s="3">
        <f t="shared" si="10"/>
        <v>1384989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1152973</v>
      </c>
      <c r="C21" s="3">
        <f t="shared" si="12"/>
        <v>1152973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1152973</v>
      </c>
      <c r="K21" s="3">
        <f t="shared" si="10"/>
        <v>1152973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1012690</v>
      </c>
      <c r="C24" s="3">
        <f t="shared" si="12"/>
        <v>1012690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1012690</v>
      </c>
      <c r="K24" s="3">
        <f t="shared" si="10"/>
        <v>1012690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1172192</v>
      </c>
      <c r="C25" s="3">
        <f t="shared" si="12"/>
        <v>1172192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1172192</v>
      </c>
      <c r="K25" s="3">
        <f t="shared" si="10"/>
        <v>1172192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308554</v>
      </c>
      <c r="C27" s="4">
        <f>B27</f>
        <v>308554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308554</v>
      </c>
      <c r="K27" s="4">
        <f>J27</f>
        <v>308554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260525</v>
      </c>
      <c r="C28" s="4">
        <f>B28</f>
        <v>260525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260525</v>
      </c>
      <c r="K28" s="3">
        <f>J28</f>
        <v>260525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w4cUhJNUqroijeSRhwfO8kbVuliUjwIypOM8aZjBLHwBGGpNeejdMcKl35X+QMfKPBna+JDWh1rOgG9IKwwoaA==" saltValue="LUehJs+if3FBXQnH+jlJ2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A1BF94E7-564E-4B22-BD72-475C475C9803}"/>
  </hyperlinks>
  <pageMargins left="0.7" right="0.7" top="0.75" bottom="0.75" header="0" footer="0"/>
  <pageSetup paperSize="9" scale="56"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3456-CE7B-4311-BC8B-BF00B0E9A8E4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J16" sqref="J16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19</v>
      </c>
      <c r="E1" s="30" t="s">
        <v>98</v>
      </c>
      <c r="F1" s="31">
        <v>20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965166</v>
      </c>
      <c r="C3" s="3">
        <v>967130</v>
      </c>
      <c r="D3" s="41">
        <f t="shared" ref="D3:D10" ca="1" si="0">C3-B3</f>
        <v>1964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33700</v>
      </c>
      <c r="K3" s="5"/>
      <c r="L3" s="155"/>
      <c r="M3" s="6">
        <v>31400</v>
      </c>
      <c r="N3" s="44">
        <f ca="1">J3+L3-M3</f>
        <v>2300</v>
      </c>
      <c r="O3" s="44">
        <f ca="1">D5+D6+D9+D10+D20+D21+D24+D25+L20+L21+L24+L25</f>
        <v>2304</v>
      </c>
      <c r="P3" s="45">
        <f ca="1">O3-N3</f>
        <v>4</v>
      </c>
    </row>
    <row r="4" spans="1:16">
      <c r="A4" s="40">
        <v>2</v>
      </c>
      <c r="B4" s="92" cm="1">
        <f t="array" aca="1" ref="B4" ca="1">INDIRECT($D$1&amp;"!k19")</f>
        <v>914398</v>
      </c>
      <c r="C4" s="3">
        <v>914505</v>
      </c>
      <c r="D4" s="41">
        <f t="shared" ca="1" si="0"/>
        <v>107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14400</v>
      </c>
      <c r="K4" s="13"/>
      <c r="L4" s="156"/>
      <c r="M4" s="6">
        <v>12250</v>
      </c>
      <c r="N4" s="47">
        <f t="shared" ref="N4:N7" ca="1" si="1">J4+L4-M4</f>
        <v>2150</v>
      </c>
      <c r="O4" s="47">
        <f ca="1">D3+D4+D7+D8+D22+D23+L22+L23+D18+D19+L18+L19</f>
        <v>2071</v>
      </c>
      <c r="P4" s="48">
        <f ca="1">O4-N4</f>
        <v>-79</v>
      </c>
    </row>
    <row r="5" spans="1:16">
      <c r="A5" s="40">
        <v>3</v>
      </c>
      <c r="B5" s="92" cm="1">
        <f t="array" aca="1" ref="B5" ca="1">INDIRECT($D$1&amp;"!k20")</f>
        <v>1384989</v>
      </c>
      <c r="C5" s="3">
        <v>1384990</v>
      </c>
      <c r="D5" s="41">
        <f t="shared" ca="1" si="0"/>
        <v>1</v>
      </c>
      <c r="E5" s="3"/>
      <c r="F5" s="41"/>
      <c r="G5" s="41"/>
      <c r="H5" s="42"/>
      <c r="I5" s="49" t="s">
        <v>22</v>
      </c>
      <c r="J5" s="50">
        <f ca="1">SUM(J3:J4)</f>
        <v>48100</v>
      </c>
      <c r="K5" s="50">
        <f t="shared" ref="K5:L5" si="2">SUM(K3:K4)</f>
        <v>0</v>
      </c>
      <c r="L5" s="50">
        <f t="shared" si="2"/>
        <v>0</v>
      </c>
      <c r="M5" s="50">
        <f>M3+M4</f>
        <v>43650</v>
      </c>
      <c r="N5" s="50">
        <f t="shared" ca="1" si="1"/>
        <v>4450</v>
      </c>
      <c r="O5" s="50">
        <f ca="1">SUM(O3:O4)</f>
        <v>4375</v>
      </c>
      <c r="P5" s="51">
        <f ca="1">O5-N5</f>
        <v>-75</v>
      </c>
    </row>
    <row r="6" spans="1:16">
      <c r="A6" s="40">
        <v>4</v>
      </c>
      <c r="B6" s="92" cm="1">
        <f t="array" aca="1" ref="B6" ca="1">INDIRECT($D$1&amp;"!k21")</f>
        <v>1152973</v>
      </c>
      <c r="C6" s="3">
        <v>1152973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32500</v>
      </c>
      <c r="K6" s="5"/>
      <c r="L6" s="99"/>
      <c r="M6" s="6">
        <v>32150</v>
      </c>
      <c r="N6" s="44">
        <f t="shared" ca="1" si="1"/>
        <v>350</v>
      </c>
      <c r="O6" s="44">
        <f ca="1">D12+D13+D27+D28+L27+L28</f>
        <v>327</v>
      </c>
      <c r="P6" s="45">
        <f t="shared" ref="P6:P7" ca="1" si="3">O6-N6</f>
        <v>-23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1"/>
        <v>0</v>
      </c>
      <c r="O7" s="104">
        <f ca="1">D15+D16+D30+D31+L30+L31</f>
        <v>0</v>
      </c>
      <c r="P7" s="105">
        <f t="shared" ca="1" si="3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1172192</v>
      </c>
      <c r="C10" s="3">
        <v>1174495</v>
      </c>
      <c r="D10" s="41">
        <f t="shared" ca="1" si="0"/>
        <v>2303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4">SUM(D3:D10)</f>
        <v>4375</v>
      </c>
      <c r="E11" s="62">
        <f t="shared" si="4"/>
        <v>0</v>
      </c>
      <c r="F11" s="62">
        <f ca="1">SUM(D3:D10)-SUM(E3:E10)</f>
        <v>4375</v>
      </c>
      <c r="G11" s="11">
        <v>1250</v>
      </c>
      <c r="H11" s="97">
        <f ca="1">G11*F11</f>
        <v>5468750</v>
      </c>
      <c r="I11" s="64" t="str" cm="1">
        <f t="array" aca="1" ref="I11" ca="1">INDIRECT("LODGEMENT"&amp;"!F3")</f>
        <v>GTBank 1</v>
      </c>
      <c r="J11" s="9">
        <v>1037310</v>
      </c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4375</v>
      </c>
      <c r="P11" s="68">
        <f ca="1">H11+H26+P26</f>
        <v>5468750</v>
      </c>
    </row>
    <row r="12" spans="1:16" ht="15.75" customHeight="1">
      <c r="A12" s="69" t="s">
        <v>114</v>
      </c>
      <c r="B12" s="98" cm="1">
        <f t="array" aca="1" ref="B12" ca="1">INDIRECT($D$1&amp;"!k27")</f>
        <v>308554</v>
      </c>
      <c r="C12" s="4">
        <v>308711</v>
      </c>
      <c r="D12" s="41">
        <f t="shared" ref="D12:D13" ca="1" si="5">C12-B12</f>
        <v>157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>
        <v>1046940</v>
      </c>
      <c r="K12" s="64" t="s">
        <v>115</v>
      </c>
      <c r="L12" s="9">
        <f>E14</f>
        <v>29</v>
      </c>
      <c r="M12" s="71" t="s">
        <v>8</v>
      </c>
      <c r="N12" s="72">
        <f>E14+E29+M29-L12-L13</f>
        <v>0</v>
      </c>
      <c r="O12" s="41">
        <f ca="1">F14+F29+N29</f>
        <v>298</v>
      </c>
      <c r="P12" s="73">
        <f ca="1">H14+H29+P29</f>
        <v>497660</v>
      </c>
    </row>
    <row r="13" spans="1:16" ht="15.75" customHeight="1" thickBot="1">
      <c r="A13" s="40">
        <v>2</v>
      </c>
      <c r="B13" s="98" cm="1">
        <f t="array" aca="1" ref="B13" ca="1">INDIRECT($D$1&amp;"!k28")</f>
        <v>260525</v>
      </c>
      <c r="C13" s="4">
        <v>260695</v>
      </c>
      <c r="D13" s="41">
        <f t="shared" ca="1" si="5"/>
        <v>170</v>
      </c>
      <c r="E13" s="3">
        <v>29</v>
      </c>
      <c r="F13" s="41"/>
      <c r="G13" s="41"/>
      <c r="H13" s="73"/>
      <c r="I13" s="64" t="str" cm="1">
        <f t="array" aca="1" ref="I13" ca="1">INDIRECT("LODGEMENT"&amp;"!H3")</f>
        <v>GTBank 3</v>
      </c>
      <c r="J13" s="9">
        <v>1515207</v>
      </c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327</v>
      </c>
      <c r="E14" s="62">
        <f>SUM(E12:E13)</f>
        <v>29</v>
      </c>
      <c r="F14" s="62">
        <f ca="1">SUM(D12:D13)-SUM(E12:E13)</f>
        <v>298</v>
      </c>
      <c r="G14" s="11">
        <v>1670</v>
      </c>
      <c r="H14" s="97">
        <f ca="1">G14*F14</f>
        <v>497660</v>
      </c>
      <c r="I14" s="64" t="str" cm="1">
        <f t="array" aca="1" ref="I14" ca="1">INDIRECT("LODGEMENT"&amp;"!I3")</f>
        <v>GTB TF 1</v>
      </c>
      <c r="J14" s="9">
        <v>496750</v>
      </c>
      <c r="K14" s="64" t="s">
        <v>116</v>
      </c>
      <c r="L14" s="9"/>
      <c r="M14" s="78"/>
      <c r="N14" s="79" t="s">
        <v>117</v>
      </c>
      <c r="O14" s="381">
        <f ca="1">SUM(P11:P13)</f>
        <v>5966410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6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>
        <v>511180</v>
      </c>
      <c r="K15" s="64" t="s">
        <v>119</v>
      </c>
      <c r="L15" s="9"/>
      <c r="M15" s="80"/>
      <c r="N15" s="81" t="s">
        <v>120</v>
      </c>
      <c r="O15" s="383">
        <f>SUM(J11:J16)</f>
        <v>5181287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6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>
        <v>573900</v>
      </c>
      <c r="K16" s="82" t="s">
        <v>34</v>
      </c>
      <c r="L16" s="10"/>
      <c r="M16" s="83"/>
      <c r="N16" s="84" t="s">
        <v>121</v>
      </c>
      <c r="O16" s="376">
        <f ca="1">O14-O15</f>
        <v>785123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>
        <v>1450</v>
      </c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si="7">C3</f>
        <v>967130</v>
      </c>
      <c r="C18" s="3">
        <f>B18</f>
        <v>967130</v>
      </c>
      <c r="D18" s="41">
        <f t="shared" ref="D18:D25" si="8">C18-B18</f>
        <v>0</v>
      </c>
      <c r="E18" s="3"/>
      <c r="F18" s="41"/>
      <c r="G18" s="41"/>
      <c r="H18" s="73"/>
      <c r="I18" s="93" t="s">
        <v>20</v>
      </c>
      <c r="J18" s="94">
        <f t="shared" ref="J18:J25" si="9">C18</f>
        <v>967130</v>
      </c>
      <c r="K18" s="8">
        <f t="shared" ref="K18:K25" si="10">J18</f>
        <v>967130</v>
      </c>
      <c r="L18" s="95">
        <f t="shared" ref="L18:L25" si="11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si="7"/>
        <v>914505</v>
      </c>
      <c r="C19" s="3">
        <f t="shared" ref="C19:C25" si="12">B19</f>
        <v>914505</v>
      </c>
      <c r="D19" s="41">
        <f t="shared" si="8"/>
        <v>0</v>
      </c>
      <c r="E19" s="3"/>
      <c r="F19" s="41"/>
      <c r="G19" s="41"/>
      <c r="H19" s="73"/>
      <c r="I19" s="40">
        <v>2</v>
      </c>
      <c r="J19" s="92">
        <f t="shared" si="9"/>
        <v>914505</v>
      </c>
      <c r="K19" s="3">
        <f t="shared" si="10"/>
        <v>914505</v>
      </c>
      <c r="L19" s="41">
        <f t="shared" si="11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si="7"/>
        <v>1384990</v>
      </c>
      <c r="C20" s="3">
        <f t="shared" si="12"/>
        <v>1384990</v>
      </c>
      <c r="D20" s="41">
        <f t="shared" si="8"/>
        <v>0</v>
      </c>
      <c r="E20" s="3"/>
      <c r="F20" s="41"/>
      <c r="G20" s="41"/>
      <c r="H20" s="73"/>
      <c r="I20" s="40">
        <v>3</v>
      </c>
      <c r="J20" s="92">
        <f t="shared" si="9"/>
        <v>1384990</v>
      </c>
      <c r="K20" s="3">
        <f t="shared" si="10"/>
        <v>1384990</v>
      </c>
      <c r="L20" s="41">
        <f t="shared" si="11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si="7"/>
        <v>1152973</v>
      </c>
      <c r="C21" s="3">
        <f t="shared" si="12"/>
        <v>1152973</v>
      </c>
      <c r="D21" s="41">
        <f t="shared" si="8"/>
        <v>0</v>
      </c>
      <c r="E21" s="3"/>
      <c r="F21" s="41"/>
      <c r="G21" s="41"/>
      <c r="H21" s="73"/>
      <c r="I21" s="40">
        <v>4</v>
      </c>
      <c r="J21" s="92">
        <f t="shared" si="9"/>
        <v>1152973</v>
      </c>
      <c r="K21" s="3">
        <f t="shared" si="10"/>
        <v>1152973</v>
      </c>
      <c r="L21" s="41">
        <f t="shared" si="11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si="7"/>
        <v>1215271</v>
      </c>
      <c r="C22" s="3">
        <f t="shared" si="12"/>
        <v>1215271</v>
      </c>
      <c r="D22" s="41">
        <f t="shared" si="8"/>
        <v>0</v>
      </c>
      <c r="E22" s="3"/>
      <c r="F22" s="41"/>
      <c r="G22" s="41"/>
      <c r="H22" s="73"/>
      <c r="I22" s="40">
        <v>5</v>
      </c>
      <c r="J22" s="92">
        <f t="shared" si="9"/>
        <v>1215271</v>
      </c>
      <c r="K22" s="3">
        <f t="shared" si="10"/>
        <v>1215271</v>
      </c>
      <c r="L22" s="41">
        <f t="shared" si="11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si="7"/>
        <v>1044332</v>
      </c>
      <c r="C23" s="3">
        <f t="shared" si="12"/>
        <v>1044332</v>
      </c>
      <c r="D23" s="41">
        <f t="shared" si="8"/>
        <v>0</v>
      </c>
      <c r="E23" s="3"/>
      <c r="F23" s="41"/>
      <c r="G23" s="41"/>
      <c r="H23" s="73"/>
      <c r="I23" s="40">
        <v>6</v>
      </c>
      <c r="J23" s="92">
        <f t="shared" si="9"/>
        <v>1044332</v>
      </c>
      <c r="K23" s="3">
        <f t="shared" si="10"/>
        <v>1044332</v>
      </c>
      <c r="L23" s="41">
        <f t="shared" si="11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si="7"/>
        <v>1012690</v>
      </c>
      <c r="C24" s="3">
        <f t="shared" si="12"/>
        <v>1012690</v>
      </c>
      <c r="D24" s="41">
        <f t="shared" si="8"/>
        <v>0</v>
      </c>
      <c r="E24" s="3"/>
      <c r="F24" s="41"/>
      <c r="G24" s="41"/>
      <c r="H24" s="73"/>
      <c r="I24" s="40">
        <v>7</v>
      </c>
      <c r="J24" s="92">
        <f t="shared" si="9"/>
        <v>1012690</v>
      </c>
      <c r="K24" s="3">
        <f t="shared" si="10"/>
        <v>1012690</v>
      </c>
      <c r="L24" s="41">
        <f t="shared" si="11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si="7"/>
        <v>1174495</v>
      </c>
      <c r="C25" s="3">
        <f t="shared" si="12"/>
        <v>1174495</v>
      </c>
      <c r="D25" s="41">
        <f t="shared" si="8"/>
        <v>0</v>
      </c>
      <c r="E25" s="3"/>
      <c r="F25" s="41"/>
      <c r="G25" s="41"/>
      <c r="H25" s="73"/>
      <c r="I25" s="40">
        <v>8</v>
      </c>
      <c r="J25" s="92">
        <f t="shared" si="9"/>
        <v>1174495</v>
      </c>
      <c r="K25" s="3">
        <f t="shared" si="10"/>
        <v>1174495</v>
      </c>
      <c r="L25" s="41">
        <f t="shared" si="11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si="13">SUM(D18:D25)</f>
        <v>0</v>
      </c>
      <c r="E26" s="62">
        <f t="shared" si="13"/>
        <v>0</v>
      </c>
      <c r="F26" s="62">
        <f>SUM(D18:D25)-SUM(E18:E25)</f>
        <v>0</v>
      </c>
      <c r="G26" s="11">
        <v>0</v>
      </c>
      <c r="H26" s="97">
        <f>G26*F26</f>
        <v>0</v>
      </c>
      <c r="I26" s="60"/>
      <c r="J26" s="61"/>
      <c r="K26" s="61"/>
      <c r="L26" s="62">
        <f t="shared" ref="L26:M26" si="14">SUM(L18:L25)</f>
        <v>0</v>
      </c>
      <c r="M26" s="62">
        <f t="shared" si="14"/>
        <v>0</v>
      </c>
      <c r="N26" s="62">
        <f>SUM(L18:L25)-SUM(M18:M25)</f>
        <v>0</v>
      </c>
      <c r="O26" s="11">
        <v>0</v>
      </c>
      <c r="P26" s="97">
        <f>O26*N26</f>
        <v>0</v>
      </c>
    </row>
    <row r="27" spans="1:16" ht="15.75" customHeight="1">
      <c r="A27" s="69" t="s">
        <v>114</v>
      </c>
      <c r="B27" s="98">
        <f>C12</f>
        <v>308711</v>
      </c>
      <c r="C27" s="4">
        <f>B27</f>
        <v>308711</v>
      </c>
      <c r="D27" s="41">
        <f t="shared" ref="D27:D28" si="15">C27-B27</f>
        <v>0</v>
      </c>
      <c r="E27" s="4"/>
      <c r="F27" s="67"/>
      <c r="G27" s="67"/>
      <c r="H27" s="68"/>
      <c r="I27" s="69" t="s">
        <v>114</v>
      </c>
      <c r="J27" s="98">
        <f>C27</f>
        <v>308711</v>
      </c>
      <c r="K27" s="4">
        <f>J27</f>
        <v>308711</v>
      </c>
      <c r="L27" s="41">
        <f t="shared" ref="L27:L28" si="16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>C13</f>
        <v>260695</v>
      </c>
      <c r="C28" s="4">
        <f>B28</f>
        <v>260695</v>
      </c>
      <c r="D28" s="41">
        <f t="shared" si="15"/>
        <v>0</v>
      </c>
      <c r="E28" s="3"/>
      <c r="F28" s="41"/>
      <c r="G28" s="41"/>
      <c r="H28" s="73"/>
      <c r="I28" s="40">
        <v>2</v>
      </c>
      <c r="J28" s="92">
        <f>C28</f>
        <v>260695</v>
      </c>
      <c r="K28" s="3">
        <f>J28</f>
        <v>260695</v>
      </c>
      <c r="L28" s="41">
        <f t="shared" si="16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>SUM(D27:D28)</f>
        <v>0</v>
      </c>
      <c r="E29" s="62">
        <f>SUM(E27:E28)</f>
        <v>0</v>
      </c>
      <c r="F29" s="62">
        <f>SUM(D27:D28)-SUM(E27:E28)</f>
        <v>0</v>
      </c>
      <c r="G29" s="11">
        <v>0</v>
      </c>
      <c r="H29" s="97">
        <f>G29*F29</f>
        <v>0</v>
      </c>
      <c r="I29" s="60"/>
      <c r="J29" s="61"/>
      <c r="K29" s="61"/>
      <c r="L29" s="62">
        <f>SUM(L27:L28)</f>
        <v>0</v>
      </c>
      <c r="M29" s="62">
        <f>SUM(M27:M28)</f>
        <v>0</v>
      </c>
      <c r="N29" s="62">
        <f>SUM(L27:L28)-SUM(M27:M28)</f>
        <v>0</v>
      </c>
      <c r="O29" s="11">
        <v>0</v>
      </c>
      <c r="P29" s="97">
        <f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7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8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7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8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Pl6v1SSMmt6Ynh1RB9141t3cEeYnNF9F+Z6ao1yufnaWZZF4adXw4iGMQ/TgyKFJ+Zoag+9GuGGzHJecRRkZjw==" saltValue="RcLjGg7OH1dv3+rTOCGYOQ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EC15F0DC-D8AF-42A9-A2BE-AC3DBE55D33E}"/>
  </hyperlinks>
  <pageMargins left="0.7" right="0.7" top="0.75" bottom="0.75" header="0" footer="0"/>
  <pageSetup paperSize="9" scale="56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C30A-D3BA-4F94-855D-55170CBC5971}">
  <dimension ref="A1:P923"/>
  <sheetViews>
    <sheetView zoomScaleNormal="100" zoomScaleSheetLayoutView="100" zoomScalePageLayoutView="55" workbookViewId="0">
      <pane ySplit="1" topLeftCell="F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20</v>
      </c>
      <c r="E1" s="30" t="s">
        <v>98</v>
      </c>
      <c r="F1" s="31">
        <v>21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967130</v>
      </c>
      <c r="C3" s="3">
        <f ca="1">B3</f>
        <v>967130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31400</v>
      </c>
      <c r="K3" s="5"/>
      <c r="L3" s="155"/>
      <c r="M3" s="6">
        <f ca="1">J3</f>
        <v>31400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914505</v>
      </c>
      <c r="C4" s="3">
        <f t="shared" ref="C4:C10" ca="1" si="1">B4</f>
        <v>914505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12250</v>
      </c>
      <c r="K4" s="13"/>
      <c r="L4" s="156"/>
      <c r="M4" s="6">
        <f ca="1">J4</f>
        <v>12250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1384990</v>
      </c>
      <c r="C5" s="3">
        <f t="shared" ca="1" si="1"/>
        <v>1384990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43650</v>
      </c>
      <c r="K5" s="50">
        <f t="shared" ref="K5:L5" si="3">SUM(K3:K4)</f>
        <v>0</v>
      </c>
      <c r="L5" s="50">
        <f t="shared" si="3"/>
        <v>0</v>
      </c>
      <c r="M5" s="50">
        <f ca="1">M3+M4</f>
        <v>43650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1152973</v>
      </c>
      <c r="C6" s="3">
        <f t="shared" ca="1" si="1"/>
        <v>1152973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32150</v>
      </c>
      <c r="K6" s="5"/>
      <c r="L6" s="99"/>
      <c r="M6" s="6">
        <f ca="1">J6</f>
        <v>32150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1174495</v>
      </c>
      <c r="C10" s="3">
        <f t="shared" ca="1" si="1"/>
        <v>1174495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GTBank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308711</v>
      </c>
      <c r="C12" s="4">
        <f ca="1">B12</f>
        <v>308711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260695</v>
      </c>
      <c r="C13" s="4">
        <f ca="1">B13</f>
        <v>260695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967130</v>
      </c>
      <c r="C18" s="3">
        <f ca="1">B18</f>
        <v>967130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967130</v>
      </c>
      <c r="K18" s="8">
        <f t="shared" ref="K18:K25" ca="1" si="11">J18</f>
        <v>967130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914505</v>
      </c>
      <c r="C19" s="3">
        <f t="shared" ref="C19:C25" ca="1" si="13">B19</f>
        <v>914505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914505</v>
      </c>
      <c r="K19" s="3">
        <f t="shared" ca="1" si="11"/>
        <v>914505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1384990</v>
      </c>
      <c r="C20" s="3">
        <f t="shared" ca="1" si="13"/>
        <v>1384990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1384990</v>
      </c>
      <c r="K20" s="3">
        <f t="shared" ca="1" si="11"/>
        <v>1384990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1152973</v>
      </c>
      <c r="C21" s="3">
        <f t="shared" ca="1" si="13"/>
        <v>1152973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1152973</v>
      </c>
      <c r="K21" s="3">
        <f t="shared" ca="1" si="11"/>
        <v>1152973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1174495</v>
      </c>
      <c r="C25" s="3">
        <f t="shared" ca="1" si="13"/>
        <v>1174495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1174495</v>
      </c>
      <c r="K25" s="3">
        <f t="shared" ca="1" si="11"/>
        <v>1174495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308711</v>
      </c>
      <c r="C27" s="4">
        <f ca="1">B27</f>
        <v>308711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308711</v>
      </c>
      <c r="K27" s="4">
        <f ca="1">J27</f>
        <v>308711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260695</v>
      </c>
      <c r="C28" s="4">
        <f ca="1">B28</f>
        <v>260695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260695</v>
      </c>
      <c r="K28" s="3">
        <f ca="1">J28</f>
        <v>260695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6TBCGPETF23qz/6fYcvkEP+gKELmUGUAjE4cw7kx6fx/plBrWvJSLaziJjg6uBMlH74biuRSQ92uJB+dv31wLg==" saltValue="GgJqklYaD94RIkgfVJE3p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63825B3D-4460-499A-A5EE-FA658FB3B065}"/>
  </hyperlinks>
  <pageMargins left="0.7" right="0.7" top="0.75" bottom="0.75" header="0" footer="0"/>
  <pageSetup paperSize="9" scale="56" orientation="portrait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DFD9-4550-4A83-9821-62F9B333DE3E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21</v>
      </c>
      <c r="E1" s="30" t="s">
        <v>98</v>
      </c>
      <c r="F1" s="31">
        <v>22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967130</v>
      </c>
      <c r="C3" s="3">
        <f ca="1">B3</f>
        <v>967130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31400</v>
      </c>
      <c r="K3" s="5"/>
      <c r="L3" s="155"/>
      <c r="M3" s="6">
        <f ca="1">J3</f>
        <v>31400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914505</v>
      </c>
      <c r="C4" s="3">
        <f t="shared" ref="C4:C10" ca="1" si="1">B4</f>
        <v>914505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12250</v>
      </c>
      <c r="K4" s="13"/>
      <c r="L4" s="156"/>
      <c r="M4" s="6">
        <f ca="1">J4</f>
        <v>12250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1384990</v>
      </c>
      <c r="C5" s="3">
        <f t="shared" ca="1" si="1"/>
        <v>1384990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43650</v>
      </c>
      <c r="K5" s="50">
        <f t="shared" ref="K5:L5" si="3">SUM(K3:K4)</f>
        <v>0</v>
      </c>
      <c r="L5" s="50">
        <f t="shared" si="3"/>
        <v>0</v>
      </c>
      <c r="M5" s="50">
        <f ca="1">M3+M4</f>
        <v>43650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1152973</v>
      </c>
      <c r="C6" s="3">
        <f t="shared" ca="1" si="1"/>
        <v>1152973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32150</v>
      </c>
      <c r="K6" s="5"/>
      <c r="L6" s="99"/>
      <c r="M6" s="6">
        <f ca="1">J6</f>
        <v>32150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1174495</v>
      </c>
      <c r="C10" s="3">
        <f t="shared" ca="1" si="1"/>
        <v>1174495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GTBank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308711</v>
      </c>
      <c r="C12" s="4">
        <f ca="1">B12</f>
        <v>308711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260695</v>
      </c>
      <c r="C13" s="4">
        <f ca="1">B13</f>
        <v>260695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967130</v>
      </c>
      <c r="C18" s="3">
        <f ca="1">B18</f>
        <v>967130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967130</v>
      </c>
      <c r="K18" s="8">
        <f t="shared" ref="K18:K25" ca="1" si="11">J18</f>
        <v>967130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914505</v>
      </c>
      <c r="C19" s="3">
        <f t="shared" ref="C19:C25" ca="1" si="13">B19</f>
        <v>914505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914505</v>
      </c>
      <c r="K19" s="3">
        <f t="shared" ca="1" si="11"/>
        <v>914505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1384990</v>
      </c>
      <c r="C20" s="3">
        <f t="shared" ca="1" si="13"/>
        <v>1384990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1384990</v>
      </c>
      <c r="K20" s="3">
        <f t="shared" ca="1" si="11"/>
        <v>1384990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1152973</v>
      </c>
      <c r="C21" s="3">
        <f t="shared" ca="1" si="13"/>
        <v>1152973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1152973</v>
      </c>
      <c r="K21" s="3">
        <f t="shared" ca="1" si="11"/>
        <v>1152973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1174495</v>
      </c>
      <c r="C25" s="3">
        <f t="shared" ca="1" si="13"/>
        <v>1174495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1174495</v>
      </c>
      <c r="K25" s="3">
        <f t="shared" ca="1" si="11"/>
        <v>1174495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308711</v>
      </c>
      <c r="C27" s="4">
        <f ca="1">B27</f>
        <v>308711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308711</v>
      </c>
      <c r="K27" s="4">
        <f ca="1">J27</f>
        <v>308711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260695</v>
      </c>
      <c r="C28" s="4">
        <f ca="1">B28</f>
        <v>260695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260695</v>
      </c>
      <c r="K28" s="3">
        <f ca="1">J28</f>
        <v>260695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BAHiIK7+SbLErgHy4GpcZltWcAMELbGFABe0iZmGLSWmeYwocgLY89h7xsGV3m3Le9ldOZRX/n3SVIEqoCjmRw==" saltValue="uLHi3uN+pwMtMv/CQOUzA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F389A229-C436-4EA7-82AF-A4CA064EEF62}"/>
  </hyperlinks>
  <pageMargins left="0.7" right="0.7" top="0.75" bottom="0.75" header="0" footer="0"/>
  <pageSetup paperSize="9" scale="56"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377D-7003-4D1D-AFD8-9519984A6313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22</v>
      </c>
      <c r="E1" s="30" t="s">
        <v>98</v>
      </c>
      <c r="F1" s="31">
        <v>23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967130</v>
      </c>
      <c r="C3" s="3">
        <f ca="1">B3</f>
        <v>967130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31400</v>
      </c>
      <c r="K3" s="5"/>
      <c r="L3" s="155"/>
      <c r="M3" s="6">
        <f ca="1">J3</f>
        <v>31400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914505</v>
      </c>
      <c r="C4" s="3">
        <f t="shared" ref="C4:C10" ca="1" si="1">B4</f>
        <v>914505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12250</v>
      </c>
      <c r="K4" s="13"/>
      <c r="L4" s="156"/>
      <c r="M4" s="6">
        <f ca="1">J4</f>
        <v>12250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1384990</v>
      </c>
      <c r="C5" s="3">
        <f t="shared" ca="1" si="1"/>
        <v>1384990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43650</v>
      </c>
      <c r="K5" s="50">
        <f t="shared" ref="K5:L5" si="3">SUM(K3:K4)</f>
        <v>0</v>
      </c>
      <c r="L5" s="50">
        <f t="shared" si="3"/>
        <v>0</v>
      </c>
      <c r="M5" s="50">
        <f ca="1">M3+M4</f>
        <v>43650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1152973</v>
      </c>
      <c r="C6" s="3">
        <f t="shared" ca="1" si="1"/>
        <v>1152973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32150</v>
      </c>
      <c r="K6" s="5"/>
      <c r="L6" s="99"/>
      <c r="M6" s="6">
        <f ca="1">J6</f>
        <v>32150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1174495</v>
      </c>
      <c r="C10" s="3">
        <f t="shared" ca="1" si="1"/>
        <v>1174495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GTBank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308711</v>
      </c>
      <c r="C12" s="4">
        <f ca="1">B12</f>
        <v>308711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260695</v>
      </c>
      <c r="C13" s="4">
        <f ca="1">B13</f>
        <v>260695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967130</v>
      </c>
      <c r="C18" s="3">
        <f ca="1">B18</f>
        <v>967130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967130</v>
      </c>
      <c r="K18" s="8">
        <f t="shared" ref="K18:K25" ca="1" si="11">J18</f>
        <v>967130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914505</v>
      </c>
      <c r="C19" s="3">
        <f t="shared" ref="C19:C25" ca="1" si="13">B19</f>
        <v>914505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914505</v>
      </c>
      <c r="K19" s="3">
        <f t="shared" ca="1" si="11"/>
        <v>914505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1384990</v>
      </c>
      <c r="C20" s="3">
        <f t="shared" ca="1" si="13"/>
        <v>1384990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1384990</v>
      </c>
      <c r="K20" s="3">
        <f t="shared" ca="1" si="11"/>
        <v>1384990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1152973</v>
      </c>
      <c r="C21" s="3">
        <f t="shared" ca="1" si="13"/>
        <v>1152973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1152973</v>
      </c>
      <c r="K21" s="3">
        <f t="shared" ca="1" si="11"/>
        <v>1152973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1174495</v>
      </c>
      <c r="C25" s="3">
        <f t="shared" ca="1" si="13"/>
        <v>1174495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1174495</v>
      </c>
      <c r="K25" s="3">
        <f t="shared" ca="1" si="11"/>
        <v>1174495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308711</v>
      </c>
      <c r="C27" s="4">
        <f ca="1">B27</f>
        <v>308711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308711</v>
      </c>
      <c r="K27" s="4">
        <f ca="1">J27</f>
        <v>308711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260695</v>
      </c>
      <c r="C28" s="4">
        <f ca="1">B28</f>
        <v>260695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260695</v>
      </c>
      <c r="K28" s="3">
        <f ca="1">J28</f>
        <v>260695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9J5yK9xqutOR9sEwGGwix1UTJBCRfXJD4IIy18FHczmasSKVrTT2J/TobBHiGn8rB1qO5nDiDfDF09DfTndKDg==" saltValue="5Kth4gFI1gKyGWVkwQZmC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1AAD1138-8542-43DB-ACCE-75B42574ABBB}"/>
  </hyperlinks>
  <pageMargins left="0.7" right="0.7" top="0.75" bottom="0.75" header="0" footer="0"/>
  <pageSetup paperSize="9" scale="56"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D84F-2FE0-4134-8C33-A0AA5AF17D50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23</v>
      </c>
      <c r="E1" s="30" t="s">
        <v>98</v>
      </c>
      <c r="F1" s="31">
        <v>24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967130</v>
      </c>
      <c r="C3" s="3">
        <f ca="1">B3</f>
        <v>967130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31400</v>
      </c>
      <c r="K3" s="5"/>
      <c r="L3" s="155"/>
      <c r="M3" s="6">
        <f ca="1">J3</f>
        <v>31400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914505</v>
      </c>
      <c r="C4" s="3">
        <f t="shared" ref="C4:C10" ca="1" si="1">B4</f>
        <v>914505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12250</v>
      </c>
      <c r="K4" s="13"/>
      <c r="L4" s="156"/>
      <c r="M4" s="6">
        <f ca="1">J4</f>
        <v>12250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1384990</v>
      </c>
      <c r="C5" s="3">
        <f t="shared" ca="1" si="1"/>
        <v>1384990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43650</v>
      </c>
      <c r="K5" s="50">
        <f t="shared" ref="K5:L5" si="3">SUM(K3:K4)</f>
        <v>0</v>
      </c>
      <c r="L5" s="50">
        <f t="shared" si="3"/>
        <v>0</v>
      </c>
      <c r="M5" s="50">
        <f ca="1">M3+M4</f>
        <v>43650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1152973</v>
      </c>
      <c r="C6" s="3">
        <f t="shared" ca="1" si="1"/>
        <v>1152973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32150</v>
      </c>
      <c r="K6" s="5"/>
      <c r="L6" s="99"/>
      <c r="M6" s="6">
        <f ca="1">J6</f>
        <v>32150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1174495</v>
      </c>
      <c r="C10" s="3">
        <f t="shared" ca="1" si="1"/>
        <v>1174495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GTBank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308711</v>
      </c>
      <c r="C12" s="4">
        <f ca="1">B12</f>
        <v>308711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260695</v>
      </c>
      <c r="C13" s="4">
        <f ca="1">B13</f>
        <v>260695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967130</v>
      </c>
      <c r="C18" s="3">
        <f ca="1">B18</f>
        <v>967130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967130</v>
      </c>
      <c r="K18" s="8">
        <f t="shared" ref="K18:K25" ca="1" si="11">J18</f>
        <v>967130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914505</v>
      </c>
      <c r="C19" s="3">
        <f t="shared" ref="C19:C25" ca="1" si="13">B19</f>
        <v>914505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914505</v>
      </c>
      <c r="K19" s="3">
        <f t="shared" ca="1" si="11"/>
        <v>914505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1384990</v>
      </c>
      <c r="C20" s="3">
        <f t="shared" ca="1" si="13"/>
        <v>1384990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1384990</v>
      </c>
      <c r="K20" s="3">
        <f t="shared" ca="1" si="11"/>
        <v>1384990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1152973</v>
      </c>
      <c r="C21" s="3">
        <f t="shared" ca="1" si="13"/>
        <v>1152973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1152973</v>
      </c>
      <c r="K21" s="3">
        <f t="shared" ca="1" si="11"/>
        <v>1152973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1174495</v>
      </c>
      <c r="C25" s="3">
        <f t="shared" ca="1" si="13"/>
        <v>1174495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1174495</v>
      </c>
      <c r="K25" s="3">
        <f t="shared" ca="1" si="11"/>
        <v>1174495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308711</v>
      </c>
      <c r="C27" s="4">
        <f ca="1">B27</f>
        <v>308711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308711</v>
      </c>
      <c r="K27" s="4">
        <f ca="1">J27</f>
        <v>308711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260695</v>
      </c>
      <c r="C28" s="4">
        <f ca="1">B28</f>
        <v>260695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260695</v>
      </c>
      <c r="K28" s="3">
        <f ca="1">J28</f>
        <v>260695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tJQXNBIG73cBFn/x53uUgf/xOP68j2jZ/BMPOWY9TFoISUo3s3g+MphmNCsFiGBx2eLqeRrtmGD/S3QOX/rTuQ==" saltValue="9C3ctQ5oJba8PVwGasCh+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B708BA8C-F134-4FBB-B989-B4F9E04D91FD}"/>
  </hyperlinks>
  <pageMargins left="0.7" right="0.7" top="0.75" bottom="0.75" header="0" footer="0"/>
  <pageSetup paperSize="9" scale="56" orientation="portrait"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E24F-BDFB-41B6-9C30-2CD2C32DCDC3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C3" sqref="C3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24</v>
      </c>
      <c r="E1" s="30" t="s">
        <v>98</v>
      </c>
      <c r="F1" s="31">
        <v>25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967130</v>
      </c>
      <c r="C3" s="3">
        <f ca="1">B3</f>
        <v>967130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31400</v>
      </c>
      <c r="K3" s="5"/>
      <c r="L3" s="155"/>
      <c r="M3" s="6">
        <f ca="1">J3</f>
        <v>31400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914505</v>
      </c>
      <c r="C4" s="3">
        <f t="shared" ref="C4:C10" ca="1" si="1">B4</f>
        <v>914505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12250</v>
      </c>
      <c r="K4" s="13"/>
      <c r="L4" s="156"/>
      <c r="M4" s="6">
        <f ca="1">J4</f>
        <v>12250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1384990</v>
      </c>
      <c r="C5" s="3">
        <f t="shared" ca="1" si="1"/>
        <v>1384990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43650</v>
      </c>
      <c r="K5" s="50">
        <f t="shared" ref="K5:L5" si="3">SUM(K3:K4)</f>
        <v>0</v>
      </c>
      <c r="L5" s="50">
        <f t="shared" si="3"/>
        <v>0</v>
      </c>
      <c r="M5" s="50">
        <f ca="1">M3+M4</f>
        <v>43650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1152973</v>
      </c>
      <c r="C6" s="3">
        <f t="shared" ca="1" si="1"/>
        <v>1152973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32150</v>
      </c>
      <c r="K6" s="5"/>
      <c r="L6" s="99"/>
      <c r="M6" s="6">
        <f ca="1">J6</f>
        <v>32150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1174495</v>
      </c>
      <c r="C10" s="3">
        <f t="shared" ca="1" si="1"/>
        <v>1174495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GTBank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308711</v>
      </c>
      <c r="C12" s="4">
        <f ca="1">B12</f>
        <v>308711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260695</v>
      </c>
      <c r="C13" s="4">
        <f ca="1">B13</f>
        <v>260695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967130</v>
      </c>
      <c r="C18" s="3">
        <f ca="1">B18</f>
        <v>967130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967130</v>
      </c>
      <c r="K18" s="8">
        <f t="shared" ref="K18:K25" ca="1" si="11">J18</f>
        <v>967130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914505</v>
      </c>
      <c r="C19" s="3">
        <f t="shared" ref="C19:C25" ca="1" si="13">B19</f>
        <v>914505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914505</v>
      </c>
      <c r="K19" s="3">
        <f t="shared" ca="1" si="11"/>
        <v>914505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1384990</v>
      </c>
      <c r="C20" s="3">
        <f t="shared" ca="1" si="13"/>
        <v>1384990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1384990</v>
      </c>
      <c r="K20" s="3">
        <f t="shared" ca="1" si="11"/>
        <v>1384990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1152973</v>
      </c>
      <c r="C21" s="3">
        <f t="shared" ca="1" si="13"/>
        <v>1152973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1152973</v>
      </c>
      <c r="K21" s="3">
        <f t="shared" ca="1" si="11"/>
        <v>1152973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1174495</v>
      </c>
      <c r="C25" s="3">
        <f t="shared" ca="1" si="13"/>
        <v>1174495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1174495</v>
      </c>
      <c r="K25" s="3">
        <f t="shared" ca="1" si="11"/>
        <v>1174495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308711</v>
      </c>
      <c r="C27" s="4">
        <f ca="1">B27</f>
        <v>308711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308711</v>
      </c>
      <c r="K27" s="4">
        <f ca="1">J27</f>
        <v>308711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260695</v>
      </c>
      <c r="C28" s="4">
        <f ca="1">B28</f>
        <v>260695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260695</v>
      </c>
      <c r="K28" s="3">
        <f ca="1">J28</f>
        <v>260695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cjICs8pykMfBLW7pEkTZkisGniT8TA8ISpXoUnJd/hDJsnI7UgdU3POXLAT1RtEhJP8UpDfrwDyGKv6vSUsPeA==" saltValue="RQ/MP8yK2G+IWRkvGrcaz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08604087-34C7-4C11-AD63-238C2E249E65}"/>
  </hyperlinks>
  <pageMargins left="0.7" right="0.7" top="0.75" bottom="0.75" header="0" footer="0"/>
  <pageSetup paperSize="9" scale="56" orientation="portrait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255D-0216-4BB9-BD18-C82A4D36FB30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25</v>
      </c>
      <c r="E1" s="30" t="s">
        <v>98</v>
      </c>
      <c r="F1" s="31">
        <v>26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967130</v>
      </c>
      <c r="C3" s="3">
        <f ca="1">B3</f>
        <v>967130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31400</v>
      </c>
      <c r="K3" s="5"/>
      <c r="L3" s="155"/>
      <c r="M3" s="6">
        <f ca="1">J3</f>
        <v>31400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914505</v>
      </c>
      <c r="C4" s="3">
        <f t="shared" ref="C4:C10" ca="1" si="1">B4</f>
        <v>914505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12250</v>
      </c>
      <c r="K4" s="13"/>
      <c r="L4" s="156"/>
      <c r="M4" s="6">
        <f ca="1">J4</f>
        <v>12250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1384990</v>
      </c>
      <c r="C5" s="3">
        <f t="shared" ca="1" si="1"/>
        <v>1384990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43650</v>
      </c>
      <c r="K5" s="50">
        <f t="shared" ref="K5:L5" si="3">SUM(K3:K4)</f>
        <v>0</v>
      </c>
      <c r="L5" s="50">
        <f t="shared" si="3"/>
        <v>0</v>
      </c>
      <c r="M5" s="50">
        <f ca="1">M3+M4</f>
        <v>43650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1152973</v>
      </c>
      <c r="C6" s="3">
        <f t="shared" ca="1" si="1"/>
        <v>1152973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32150</v>
      </c>
      <c r="K6" s="5"/>
      <c r="L6" s="99"/>
      <c r="M6" s="6">
        <f ca="1">J6</f>
        <v>32150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1174495</v>
      </c>
      <c r="C10" s="3">
        <f t="shared" ca="1" si="1"/>
        <v>1174495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GTBank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308711</v>
      </c>
      <c r="C12" s="4">
        <f ca="1">B12</f>
        <v>308711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260695</v>
      </c>
      <c r="C13" s="4">
        <f ca="1">B13</f>
        <v>260695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967130</v>
      </c>
      <c r="C18" s="3">
        <f ca="1">B18</f>
        <v>967130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967130</v>
      </c>
      <c r="K18" s="8">
        <f t="shared" ref="K18:K25" ca="1" si="11">J18</f>
        <v>967130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914505</v>
      </c>
      <c r="C19" s="3">
        <f t="shared" ref="C19:C25" ca="1" si="13">B19</f>
        <v>914505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914505</v>
      </c>
      <c r="K19" s="3">
        <f t="shared" ca="1" si="11"/>
        <v>914505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1384990</v>
      </c>
      <c r="C20" s="3">
        <f t="shared" ca="1" si="13"/>
        <v>1384990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1384990</v>
      </c>
      <c r="K20" s="3">
        <f t="shared" ca="1" si="11"/>
        <v>1384990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1152973</v>
      </c>
      <c r="C21" s="3">
        <f t="shared" ca="1" si="13"/>
        <v>1152973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1152973</v>
      </c>
      <c r="K21" s="3">
        <f t="shared" ca="1" si="11"/>
        <v>1152973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1174495</v>
      </c>
      <c r="C25" s="3">
        <f t="shared" ca="1" si="13"/>
        <v>1174495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1174495</v>
      </c>
      <c r="K25" s="3">
        <f t="shared" ca="1" si="11"/>
        <v>1174495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308711</v>
      </c>
      <c r="C27" s="4">
        <f ca="1">B27</f>
        <v>308711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308711</v>
      </c>
      <c r="K27" s="4">
        <f ca="1">J27</f>
        <v>308711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260695</v>
      </c>
      <c r="C28" s="4">
        <f ca="1">B28</f>
        <v>260695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260695</v>
      </c>
      <c r="K28" s="3">
        <f ca="1">J28</f>
        <v>260695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+KfQdcdaydW13VVr4ifq1IZqVDiB6QjSQsKwb1hLbrWifBwYDafPy64E4xX49pgU7Ls24uNNrIjVipkJvgrKHg==" saltValue="aZic2LDJYzs0aOQ1GDMq8w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91F7903B-E3E0-4266-B743-66942033C0B5}"/>
  </hyperlinks>
  <pageMargins left="0.7" right="0.7" top="0.75" bottom="0.75" header="0" footer="0"/>
  <pageSetup paperSize="9" scale="56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56FF-F530-4E79-8155-3CB31D83B1DD}">
  <dimension ref="A1:P923"/>
  <sheetViews>
    <sheetView zoomScaleNormal="100" zoomScaleSheetLayoutView="100" zoomScalePageLayoutView="55" workbookViewId="0">
      <pane ySplit="1" topLeftCell="F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26</v>
      </c>
      <c r="E1" s="30" t="s">
        <v>98</v>
      </c>
      <c r="F1" s="31">
        <v>27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967130</v>
      </c>
      <c r="C3" s="3">
        <f ca="1">B3</f>
        <v>967130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31400</v>
      </c>
      <c r="K3" s="5"/>
      <c r="L3" s="155"/>
      <c r="M3" s="6">
        <f ca="1">J3</f>
        <v>31400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914505</v>
      </c>
      <c r="C4" s="3">
        <f t="shared" ref="C4:C10" ca="1" si="1">B4</f>
        <v>914505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12250</v>
      </c>
      <c r="K4" s="13"/>
      <c r="L4" s="156"/>
      <c r="M4" s="6">
        <f ca="1">J4</f>
        <v>12250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1384990</v>
      </c>
      <c r="C5" s="3">
        <f t="shared" ca="1" si="1"/>
        <v>1384990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43650</v>
      </c>
      <c r="K5" s="50">
        <f t="shared" ref="K5:L5" si="3">SUM(K3:K4)</f>
        <v>0</v>
      </c>
      <c r="L5" s="50">
        <f t="shared" si="3"/>
        <v>0</v>
      </c>
      <c r="M5" s="50">
        <f ca="1">M3+M4</f>
        <v>43650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1152973</v>
      </c>
      <c r="C6" s="3">
        <f t="shared" ca="1" si="1"/>
        <v>1152973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32150</v>
      </c>
      <c r="K6" s="5"/>
      <c r="L6" s="99"/>
      <c r="M6" s="6">
        <f ca="1">J6</f>
        <v>32150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1174495</v>
      </c>
      <c r="C10" s="3">
        <f t="shared" ca="1" si="1"/>
        <v>1174495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GTBank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308711</v>
      </c>
      <c r="C12" s="4">
        <f ca="1">B12</f>
        <v>308711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260695</v>
      </c>
      <c r="C13" s="4">
        <f ca="1">B13</f>
        <v>260695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967130</v>
      </c>
      <c r="C18" s="3">
        <f ca="1">B18</f>
        <v>967130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967130</v>
      </c>
      <c r="K18" s="8">
        <f t="shared" ref="K18:K25" ca="1" si="11">J18</f>
        <v>967130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914505</v>
      </c>
      <c r="C19" s="3">
        <f t="shared" ref="C19:C25" ca="1" si="13">B19</f>
        <v>914505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914505</v>
      </c>
      <c r="K19" s="3">
        <f t="shared" ca="1" si="11"/>
        <v>914505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1384990</v>
      </c>
      <c r="C20" s="3">
        <f t="shared" ca="1" si="13"/>
        <v>1384990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1384990</v>
      </c>
      <c r="K20" s="3">
        <f t="shared" ca="1" si="11"/>
        <v>1384990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1152973</v>
      </c>
      <c r="C21" s="3">
        <f t="shared" ca="1" si="13"/>
        <v>1152973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1152973</v>
      </c>
      <c r="K21" s="3">
        <f t="shared" ca="1" si="11"/>
        <v>1152973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1174495</v>
      </c>
      <c r="C25" s="3">
        <f t="shared" ca="1" si="13"/>
        <v>1174495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1174495</v>
      </c>
      <c r="K25" s="3">
        <f t="shared" ca="1" si="11"/>
        <v>1174495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308711</v>
      </c>
      <c r="C27" s="4">
        <f ca="1">B27</f>
        <v>308711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308711</v>
      </c>
      <c r="K27" s="4">
        <f ca="1">J27</f>
        <v>308711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260695</v>
      </c>
      <c r="C28" s="4">
        <f ca="1">B28</f>
        <v>260695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260695</v>
      </c>
      <c r="K28" s="3">
        <f ca="1">J28</f>
        <v>260695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bswfbWRon4oQfDUc37UZ90LqMbRhghdUcxoGq8o9m+o2oEXfV+o6AXYvkbuj+RU+6RmU6QG0eseRu/rcw/uXPg==" saltValue="Fb33v9gPysZDYKEi/wmYw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7FE0ABFF-7D2E-41D0-AAA8-95951870AAF5}"/>
  </hyperlinks>
  <pageMargins left="0.7" right="0.7" top="0.75" bottom="0.75" header="0" footer="0"/>
  <pageSetup paperSize="9" scale="56" orientation="portrait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D4C8-D004-4227-839A-713BA96CAB76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27</v>
      </c>
      <c r="E1" s="30" t="s">
        <v>98</v>
      </c>
      <c r="F1" s="31">
        <v>28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967130</v>
      </c>
      <c r="C3" s="3">
        <f ca="1">B3</f>
        <v>967130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31400</v>
      </c>
      <c r="K3" s="5"/>
      <c r="L3" s="155"/>
      <c r="M3" s="6">
        <f ca="1">J3</f>
        <v>31400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914505</v>
      </c>
      <c r="C4" s="3">
        <f t="shared" ref="C4:C10" ca="1" si="1">B4</f>
        <v>914505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12250</v>
      </c>
      <c r="K4" s="13"/>
      <c r="L4" s="156"/>
      <c r="M4" s="6">
        <f ca="1">J4</f>
        <v>12250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1384990</v>
      </c>
      <c r="C5" s="3">
        <f t="shared" ca="1" si="1"/>
        <v>1384990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43650</v>
      </c>
      <c r="K5" s="50">
        <f t="shared" ref="K5:L5" si="3">SUM(K3:K4)</f>
        <v>0</v>
      </c>
      <c r="L5" s="50">
        <f t="shared" si="3"/>
        <v>0</v>
      </c>
      <c r="M5" s="50">
        <f ca="1">M3+M4</f>
        <v>43650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1152973</v>
      </c>
      <c r="C6" s="3">
        <f t="shared" ca="1" si="1"/>
        <v>1152973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32150</v>
      </c>
      <c r="K6" s="5"/>
      <c r="L6" s="99"/>
      <c r="M6" s="6">
        <f ca="1">J6</f>
        <v>32150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1174495</v>
      </c>
      <c r="C10" s="3">
        <f t="shared" ca="1" si="1"/>
        <v>1174495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GTBank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308711</v>
      </c>
      <c r="C12" s="4">
        <f ca="1">B12</f>
        <v>308711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260695</v>
      </c>
      <c r="C13" s="4">
        <f ca="1">B13</f>
        <v>260695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967130</v>
      </c>
      <c r="C18" s="3">
        <f ca="1">B18</f>
        <v>967130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967130</v>
      </c>
      <c r="K18" s="8">
        <f t="shared" ref="K18:K25" ca="1" si="11">J18</f>
        <v>967130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914505</v>
      </c>
      <c r="C19" s="3">
        <f t="shared" ref="C19:C25" ca="1" si="13">B19</f>
        <v>914505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914505</v>
      </c>
      <c r="K19" s="3">
        <f t="shared" ca="1" si="11"/>
        <v>914505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1384990</v>
      </c>
      <c r="C20" s="3">
        <f t="shared" ca="1" si="13"/>
        <v>1384990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1384990</v>
      </c>
      <c r="K20" s="3">
        <f t="shared" ca="1" si="11"/>
        <v>1384990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1152973</v>
      </c>
      <c r="C21" s="3">
        <f t="shared" ca="1" si="13"/>
        <v>1152973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1152973</v>
      </c>
      <c r="K21" s="3">
        <f t="shared" ca="1" si="11"/>
        <v>1152973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1174495</v>
      </c>
      <c r="C25" s="3">
        <f t="shared" ca="1" si="13"/>
        <v>1174495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1174495</v>
      </c>
      <c r="K25" s="3">
        <f t="shared" ca="1" si="11"/>
        <v>1174495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308711</v>
      </c>
      <c r="C27" s="4">
        <f ca="1">B27</f>
        <v>308711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308711</v>
      </c>
      <c r="K27" s="4">
        <f ca="1">J27</f>
        <v>308711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260695</v>
      </c>
      <c r="C28" s="4">
        <f ca="1">B28</f>
        <v>260695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260695</v>
      </c>
      <c r="K28" s="3">
        <f ca="1">J28</f>
        <v>260695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GmDSsiZ9j7c55RBeM+tyyvLF5h4jqObd/38+Twu3myx7J19XIhJ65mUc1eK3Is+JZSmfQ4pTFJorDv3ydCrcAg==" saltValue="6zIpycdtuf04J0xAGacKI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C0E01C2D-0A48-4A05-B8B0-A7AB827B0074}"/>
  </hyperlinks>
  <pageMargins left="0.7" right="0.7" top="0.75" bottom="0.75" header="0" footer="0"/>
  <pageSetup paperSize="9" scale="56" orientation="portrait"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5BCE-766F-4DF4-A145-CFBC526513E2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28</v>
      </c>
      <c r="E1" s="30" t="s">
        <v>98</v>
      </c>
      <c r="F1" s="31">
        <v>29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967130</v>
      </c>
      <c r="C3" s="3">
        <f ca="1">B3</f>
        <v>967130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31400</v>
      </c>
      <c r="K3" s="5"/>
      <c r="L3" s="155"/>
      <c r="M3" s="6">
        <f ca="1">J3</f>
        <v>31400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914505</v>
      </c>
      <c r="C4" s="3">
        <f t="shared" ref="C4:C10" ca="1" si="1">B4</f>
        <v>914505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12250</v>
      </c>
      <c r="K4" s="13"/>
      <c r="L4" s="156"/>
      <c r="M4" s="6">
        <f ca="1">J4</f>
        <v>12250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1384990</v>
      </c>
      <c r="C5" s="3">
        <f t="shared" ca="1" si="1"/>
        <v>1384990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43650</v>
      </c>
      <c r="K5" s="50">
        <f t="shared" ref="K5:L5" si="3">SUM(K3:K4)</f>
        <v>0</v>
      </c>
      <c r="L5" s="50">
        <f t="shared" si="3"/>
        <v>0</v>
      </c>
      <c r="M5" s="50">
        <f ca="1">M3+M4</f>
        <v>43650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1152973</v>
      </c>
      <c r="C6" s="3">
        <f t="shared" ca="1" si="1"/>
        <v>1152973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32150</v>
      </c>
      <c r="K6" s="5"/>
      <c r="L6" s="99"/>
      <c r="M6" s="6">
        <f ca="1">J6</f>
        <v>32150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1174495</v>
      </c>
      <c r="C10" s="3">
        <f t="shared" ca="1" si="1"/>
        <v>1174495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GTBank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308711</v>
      </c>
      <c r="C12" s="4">
        <f ca="1">B12</f>
        <v>308711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260695</v>
      </c>
      <c r="C13" s="4">
        <f ca="1">B13</f>
        <v>260695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967130</v>
      </c>
      <c r="C18" s="3">
        <f ca="1">B18</f>
        <v>967130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967130</v>
      </c>
      <c r="K18" s="8">
        <f t="shared" ref="K18:K25" ca="1" si="11">J18</f>
        <v>967130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914505</v>
      </c>
      <c r="C19" s="3">
        <f t="shared" ref="C19:C25" ca="1" si="13">B19</f>
        <v>914505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914505</v>
      </c>
      <c r="K19" s="3">
        <f t="shared" ca="1" si="11"/>
        <v>914505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1384990</v>
      </c>
      <c r="C20" s="3">
        <f t="shared" ca="1" si="13"/>
        <v>1384990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1384990</v>
      </c>
      <c r="K20" s="3">
        <f t="shared" ca="1" si="11"/>
        <v>1384990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1152973</v>
      </c>
      <c r="C21" s="3">
        <f t="shared" ca="1" si="13"/>
        <v>1152973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1152973</v>
      </c>
      <c r="K21" s="3">
        <f t="shared" ca="1" si="11"/>
        <v>1152973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1174495</v>
      </c>
      <c r="C25" s="3">
        <f t="shared" ca="1" si="13"/>
        <v>1174495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1174495</v>
      </c>
      <c r="K25" s="3">
        <f t="shared" ca="1" si="11"/>
        <v>1174495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308711</v>
      </c>
      <c r="C27" s="4">
        <f ca="1">B27</f>
        <v>308711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308711</v>
      </c>
      <c r="K27" s="4">
        <f ca="1">J27</f>
        <v>308711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260695</v>
      </c>
      <c r="C28" s="4">
        <f ca="1">B28</f>
        <v>260695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260695</v>
      </c>
      <c r="K28" s="3">
        <f ca="1">J28</f>
        <v>260695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vEre5MffFxcTFEl/+ihR5xY7fS+8mg0xGwKDGACR1WqcAQ3uVZe+UIl7o1oi5dA962OzXj/ZNe60AbBTFe1q1g==" saltValue="ueKJ1xDqAfM+1uCPVYPLyA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82E355E1-4FEC-4634-8FE5-F1981FD1CB05}"/>
  </hyperlinks>
  <pageMargins left="0.7" right="0.7" top="0.75" bottom="0.75" header="0" footer="0"/>
  <pageSetup paperSize="9" scale="56" orientation="portrait"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5851-524A-4313-800B-BF8969373432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F2" sqref="F2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29</v>
      </c>
      <c r="E1" s="30" t="s">
        <v>98</v>
      </c>
      <c r="F1" s="31">
        <v>30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967130</v>
      </c>
      <c r="C3" s="3">
        <f ca="1">B3</f>
        <v>967130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31400</v>
      </c>
      <c r="K3" s="5"/>
      <c r="L3" s="155"/>
      <c r="M3" s="6">
        <f ca="1">J3</f>
        <v>31400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914505</v>
      </c>
      <c r="C4" s="3">
        <f t="shared" ref="C4:C10" ca="1" si="1">B4</f>
        <v>914505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12250</v>
      </c>
      <c r="K4" s="13"/>
      <c r="L4" s="156"/>
      <c r="M4" s="6">
        <f ca="1">J4</f>
        <v>12250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1384990</v>
      </c>
      <c r="C5" s="3">
        <f t="shared" ca="1" si="1"/>
        <v>1384990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43650</v>
      </c>
      <c r="K5" s="50">
        <f t="shared" ref="K5:L5" si="3">SUM(K3:K4)</f>
        <v>0</v>
      </c>
      <c r="L5" s="50">
        <f t="shared" si="3"/>
        <v>0</v>
      </c>
      <c r="M5" s="50">
        <f ca="1">M3+M4</f>
        <v>43650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1152973</v>
      </c>
      <c r="C6" s="3">
        <f t="shared" ca="1" si="1"/>
        <v>1152973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32150</v>
      </c>
      <c r="K6" s="5"/>
      <c r="L6" s="99"/>
      <c r="M6" s="6">
        <f ca="1">J6</f>
        <v>32150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1174495</v>
      </c>
      <c r="C10" s="3">
        <f t="shared" ca="1" si="1"/>
        <v>1174495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/>
      <c r="H11" s="97">
        <f ca="1">G11*F11</f>
        <v>0</v>
      </c>
      <c r="I11" s="64" t="str" cm="1">
        <f t="array" aca="1" ref="I11" ca="1">INDIRECT("LODGEMENT"&amp;"!F3")</f>
        <v>GTBank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308711</v>
      </c>
      <c r="C12" s="4">
        <f ca="1">B12</f>
        <v>308711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260695</v>
      </c>
      <c r="C13" s="4">
        <f ca="1">B13</f>
        <v>260695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/>
      <c r="H14" s="97">
        <f ca="1">G14*F14</f>
        <v>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/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967130</v>
      </c>
      <c r="C18" s="3">
        <f ca="1">B18</f>
        <v>967130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967130</v>
      </c>
      <c r="K18" s="8">
        <f t="shared" ref="K18:K25" ca="1" si="11">J18</f>
        <v>967130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914505</v>
      </c>
      <c r="C19" s="3">
        <f t="shared" ref="C19:C25" ca="1" si="13">B19</f>
        <v>914505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914505</v>
      </c>
      <c r="K19" s="3">
        <f t="shared" ca="1" si="11"/>
        <v>914505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1384990</v>
      </c>
      <c r="C20" s="3">
        <f t="shared" ca="1" si="13"/>
        <v>1384990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1384990</v>
      </c>
      <c r="K20" s="3">
        <f t="shared" ca="1" si="11"/>
        <v>1384990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1152973</v>
      </c>
      <c r="C21" s="3">
        <f t="shared" ca="1" si="13"/>
        <v>1152973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1152973</v>
      </c>
      <c r="K21" s="3">
        <f t="shared" ca="1" si="11"/>
        <v>1152973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1174495</v>
      </c>
      <c r="C25" s="3">
        <f t="shared" ca="1" si="13"/>
        <v>1174495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1174495</v>
      </c>
      <c r="K25" s="3">
        <f t="shared" ca="1" si="11"/>
        <v>1174495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308711</v>
      </c>
      <c r="C27" s="4">
        <f ca="1">B27</f>
        <v>308711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308711</v>
      </c>
      <c r="K27" s="4">
        <f ca="1">J27</f>
        <v>308711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260695</v>
      </c>
      <c r="C28" s="4">
        <f ca="1">B28</f>
        <v>260695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260695</v>
      </c>
      <c r="K28" s="3">
        <f ca="1">J28</f>
        <v>260695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iNwDF+4f4KF6zt/TxpLvYrNmAu8QNS15MiRx1FzFeISJg+MgEoHWT4OzwqLGaKYmGO7BT2NhpAqhK106j7UUPw==" saltValue="Z4UjRUgeTioa+KAB8zKj3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BB58E930-3364-472F-BEC4-A8BB40FD84CB}"/>
  </hyperlinks>
  <pageMargins left="0.7" right="0.7" top="0.75" bottom="0.75" header="0" footer="0"/>
  <pageSetup paperSize="9" scale="56" orientation="portrait"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0A14-4C4D-45F6-B0C5-E5B797EF8517}">
  <dimension ref="A1:P923"/>
  <sheetViews>
    <sheetView zoomScaleNormal="100" zoomScaleSheetLayoutView="100" zoomScalePageLayoutView="55" workbookViewId="0">
      <pane ySplit="1" topLeftCell="A2" activePane="bottomLeft" state="frozen"/>
      <selection pane="bottomLeft" activeCell="H11" sqref="H11"/>
      <selection activeCell="N22" sqref="N22"/>
    </sheetView>
  </sheetViews>
  <sheetFormatPr defaultColWidth="14.42578125" defaultRowHeight="15" customHeight="1"/>
  <cols>
    <col min="1" max="1" width="7.28515625" style="39" bestFit="1" customWidth="1"/>
    <col min="2" max="2" width="10.28515625" style="39" customWidth="1"/>
    <col min="3" max="3" width="13.42578125" style="39" customWidth="1"/>
    <col min="4" max="4" width="10.85546875" style="39" customWidth="1"/>
    <col min="5" max="5" width="11.7109375" style="39" bestFit="1" customWidth="1"/>
    <col min="6" max="6" width="7.85546875" style="39" customWidth="1"/>
    <col min="7" max="7" width="8.85546875" style="39" customWidth="1"/>
    <col min="8" max="8" width="14.28515625" style="39" customWidth="1"/>
    <col min="9" max="9" width="9.5703125" style="39" bestFit="1" customWidth="1"/>
    <col min="10" max="10" width="11.5703125" style="39" customWidth="1"/>
    <col min="11" max="11" width="11.28515625" style="39" customWidth="1"/>
    <col min="12" max="12" width="10.85546875" style="39" customWidth="1"/>
    <col min="13" max="13" width="10.7109375" style="39" customWidth="1"/>
    <col min="14" max="14" width="10.5703125" style="39" customWidth="1"/>
    <col min="15" max="15" width="10.7109375" style="39" customWidth="1"/>
    <col min="16" max="16" width="11.42578125" style="39" bestFit="1" customWidth="1"/>
    <col min="17" max="17" width="9.140625" style="39" customWidth="1"/>
    <col min="18" max="16384" width="14.42578125" style="39"/>
  </cols>
  <sheetData>
    <row r="1" spans="1:16" s="32" customFormat="1" ht="30" customHeight="1" thickBot="1">
      <c r="A1" s="367" t="s">
        <v>96</v>
      </c>
      <c r="B1" s="368"/>
      <c r="C1" s="30" t="s">
        <v>97</v>
      </c>
      <c r="D1" s="31">
        <f>F1-1</f>
        <v>30</v>
      </c>
      <c r="E1" s="30" t="s">
        <v>98</v>
      </c>
      <c r="F1" s="31">
        <v>31</v>
      </c>
      <c r="G1" s="31" cm="1">
        <f t="array" aca="1" ref="G1" ca="1">INDIRECT($D$1&amp;"!g1")</f>
        <v>3</v>
      </c>
      <c r="H1" s="102" cm="1">
        <f t="array" aca="1" ref="H1" ca="1">INDIRECT($D$1&amp;"!h1")</f>
        <v>2026</v>
      </c>
      <c r="I1" s="369" t="e">
        <f ca="1">DATEVALUE(F1&amp;"-"&amp;G1&amp;"-"&amp;H1)</f>
        <v>#VALUE!</v>
      </c>
      <c r="J1" s="370"/>
      <c r="K1" s="370"/>
      <c r="L1" s="370"/>
      <c r="M1" s="370"/>
      <c r="N1" s="370"/>
      <c r="O1" s="370"/>
      <c r="P1" s="371"/>
    </row>
    <row r="2" spans="1:16" ht="32.25" customHeight="1">
      <c r="A2" s="33" t="s">
        <v>99</v>
      </c>
      <c r="B2" s="34" t="s">
        <v>100</v>
      </c>
      <c r="C2" s="34" t="s">
        <v>101</v>
      </c>
      <c r="D2" s="34" t="s">
        <v>5</v>
      </c>
      <c r="E2" s="34" t="s">
        <v>102</v>
      </c>
      <c r="F2" s="34" t="s">
        <v>103</v>
      </c>
      <c r="G2" s="34" t="s">
        <v>104</v>
      </c>
      <c r="H2" s="35" t="s">
        <v>105</v>
      </c>
      <c r="I2" s="36" t="s">
        <v>106</v>
      </c>
      <c r="J2" s="37" t="s">
        <v>107</v>
      </c>
      <c r="K2" s="37" t="s">
        <v>108</v>
      </c>
      <c r="L2" s="37" t="s">
        <v>18</v>
      </c>
      <c r="M2" s="37" t="s">
        <v>101</v>
      </c>
      <c r="N2" s="37" t="s">
        <v>109</v>
      </c>
      <c r="O2" s="37" t="s">
        <v>5</v>
      </c>
      <c r="P2" s="38" t="s">
        <v>110</v>
      </c>
    </row>
    <row r="3" spans="1:16">
      <c r="A3" s="40" t="s">
        <v>20</v>
      </c>
      <c r="B3" s="92" cm="1">
        <f t="array" aca="1" ref="B3" ca="1">INDIRECT($D$1&amp;"!k18")</f>
        <v>967130</v>
      </c>
      <c r="C3" s="3">
        <f ca="1">B3</f>
        <v>967130</v>
      </c>
      <c r="D3" s="41">
        <f t="shared" ref="D3:D10" ca="1" si="0">C3-B3</f>
        <v>0</v>
      </c>
      <c r="E3" s="3"/>
      <c r="F3" s="41"/>
      <c r="G3" s="41"/>
      <c r="H3" s="42"/>
      <c r="I3" s="43" t="s">
        <v>20</v>
      </c>
      <c r="J3" s="44" cm="1">
        <f t="array" aca="1" ref="J3" ca="1">INDIRECT($D$1&amp;"!m3")</f>
        <v>31400</v>
      </c>
      <c r="K3" s="5"/>
      <c r="L3" s="155"/>
      <c r="M3" s="6">
        <f ca="1">J3</f>
        <v>31400</v>
      </c>
      <c r="N3" s="44">
        <f ca="1">J3+L3-M3</f>
        <v>0</v>
      </c>
      <c r="O3" s="44">
        <f ca="1">D5+D6+D9+D10+D20+D21+D24+D25+L20+L21+L24+L25</f>
        <v>0</v>
      </c>
      <c r="P3" s="45">
        <f ca="1">O3-N3</f>
        <v>0</v>
      </c>
    </row>
    <row r="4" spans="1:16">
      <c r="A4" s="40">
        <v>2</v>
      </c>
      <c r="B4" s="92" cm="1">
        <f t="array" aca="1" ref="B4" ca="1">INDIRECT($D$1&amp;"!k19")</f>
        <v>914505</v>
      </c>
      <c r="C4" s="3">
        <f t="shared" ref="C4:C10" ca="1" si="1">B4</f>
        <v>914505</v>
      </c>
      <c r="D4" s="41">
        <f t="shared" ca="1" si="0"/>
        <v>0</v>
      </c>
      <c r="E4" s="3"/>
      <c r="F4" s="41"/>
      <c r="G4" s="41"/>
      <c r="H4" s="42"/>
      <c r="I4" s="46" t="s">
        <v>21</v>
      </c>
      <c r="J4" s="47" cm="1">
        <f t="array" aca="1" ref="J4" ca="1">INDIRECT($D$1&amp;"!m4")</f>
        <v>12250</v>
      </c>
      <c r="K4" s="13"/>
      <c r="L4" s="156"/>
      <c r="M4" s="6">
        <f ca="1">J4</f>
        <v>12250</v>
      </c>
      <c r="N4" s="47">
        <f t="shared" ref="N4:N7" ca="1" si="2">J4+L4-M4</f>
        <v>0</v>
      </c>
      <c r="O4" s="47">
        <f ca="1">D3+D4+D7+D8+D22+D23+L22+L23+D18+D19+L18+L19</f>
        <v>0</v>
      </c>
      <c r="P4" s="48">
        <f ca="1">O4-N4</f>
        <v>0</v>
      </c>
    </row>
    <row r="5" spans="1:16">
      <c r="A5" s="40">
        <v>3</v>
      </c>
      <c r="B5" s="92" cm="1">
        <f t="array" aca="1" ref="B5" ca="1">INDIRECT($D$1&amp;"!k20")</f>
        <v>1384990</v>
      </c>
      <c r="C5" s="3">
        <f t="shared" ca="1" si="1"/>
        <v>1384990</v>
      </c>
      <c r="D5" s="41">
        <f t="shared" ca="1" si="0"/>
        <v>0</v>
      </c>
      <c r="E5" s="3"/>
      <c r="F5" s="41"/>
      <c r="G5" s="41"/>
      <c r="H5" s="42"/>
      <c r="I5" s="49" t="s">
        <v>22</v>
      </c>
      <c r="J5" s="50">
        <f ca="1">SUM(J3:J4)</f>
        <v>43650</v>
      </c>
      <c r="K5" s="50">
        <f t="shared" ref="K5:L5" si="3">SUM(K3:K4)</f>
        <v>0</v>
      </c>
      <c r="L5" s="50">
        <f t="shared" si="3"/>
        <v>0</v>
      </c>
      <c r="M5" s="50">
        <f ca="1">M3+M4</f>
        <v>43650</v>
      </c>
      <c r="N5" s="50">
        <f t="shared" ca="1" si="2"/>
        <v>0</v>
      </c>
      <c r="O5" s="50">
        <f ca="1">SUM(O3:O4)</f>
        <v>0</v>
      </c>
      <c r="P5" s="51">
        <f ca="1">O5-N5</f>
        <v>0</v>
      </c>
    </row>
    <row r="6" spans="1:16">
      <c r="A6" s="40">
        <v>4</v>
      </c>
      <c r="B6" s="92" cm="1">
        <f t="array" aca="1" ref="B6" ca="1">INDIRECT($D$1&amp;"!k21")</f>
        <v>1152973</v>
      </c>
      <c r="C6" s="3">
        <f t="shared" ca="1" si="1"/>
        <v>1152973</v>
      </c>
      <c r="D6" s="41">
        <f t="shared" ca="1" si="0"/>
        <v>0</v>
      </c>
      <c r="E6" s="3"/>
      <c r="F6" s="41"/>
      <c r="G6" s="41"/>
      <c r="H6" s="42"/>
      <c r="I6" s="43" t="s">
        <v>8</v>
      </c>
      <c r="J6" s="44" cm="1">
        <f t="array" aca="1" ref="J6" ca="1">INDIRECT($D$1&amp;"!m6")</f>
        <v>32150</v>
      </c>
      <c r="K6" s="5"/>
      <c r="L6" s="99"/>
      <c r="M6" s="6">
        <f ca="1">J6</f>
        <v>32150</v>
      </c>
      <c r="N6" s="44">
        <f t="shared" ca="1" si="2"/>
        <v>0</v>
      </c>
      <c r="O6" s="44">
        <f ca="1">D12+D13+D27+D28+L27+L28</f>
        <v>0</v>
      </c>
      <c r="P6" s="45">
        <f t="shared" ref="P6:P7" ca="1" si="4">O6-N6</f>
        <v>0</v>
      </c>
    </row>
    <row r="7" spans="1:16" ht="15.75" thickBot="1">
      <c r="A7" s="40">
        <v>5</v>
      </c>
      <c r="B7" s="92" cm="1">
        <f t="array" aca="1" ref="B7" ca="1">INDIRECT($D$1&amp;"!k22")</f>
        <v>1215271</v>
      </c>
      <c r="C7" s="3">
        <f t="shared" ca="1" si="1"/>
        <v>1215271</v>
      </c>
      <c r="D7" s="41">
        <f t="shared" ca="1" si="0"/>
        <v>0</v>
      </c>
      <c r="E7" s="3"/>
      <c r="F7" s="41"/>
      <c r="G7" s="41"/>
      <c r="H7" s="42"/>
      <c r="I7" s="103" t="s">
        <v>9</v>
      </c>
      <c r="J7" s="104" cm="1">
        <f t="array" aca="1" ref="J7" ca="1">INDIRECT($D$1&amp;"!m7")</f>
        <v>1100</v>
      </c>
      <c r="K7" s="7"/>
      <c r="L7" s="101"/>
      <c r="M7" s="6">
        <f ca="1">J7</f>
        <v>1100</v>
      </c>
      <c r="N7" s="104">
        <f t="shared" ca="1" si="2"/>
        <v>0</v>
      </c>
      <c r="O7" s="104">
        <f ca="1">D15+D16+D30+D31+L30+L31</f>
        <v>0</v>
      </c>
      <c r="P7" s="105">
        <f t="shared" ca="1" si="4"/>
        <v>0</v>
      </c>
    </row>
    <row r="8" spans="1:16">
      <c r="A8" s="40">
        <v>6</v>
      </c>
      <c r="B8" s="92" cm="1">
        <f t="array" aca="1" ref="B8" ca="1">INDIRECT($D$1&amp;"!k23")</f>
        <v>1044332</v>
      </c>
      <c r="C8" s="3">
        <f t="shared" ca="1" si="1"/>
        <v>1044332</v>
      </c>
      <c r="D8" s="41">
        <f t="shared" ca="1" si="0"/>
        <v>0</v>
      </c>
      <c r="E8" s="3"/>
      <c r="F8" s="41"/>
      <c r="G8" s="41"/>
      <c r="H8" s="73"/>
      <c r="I8" s="372"/>
      <c r="J8" s="52"/>
      <c r="K8" s="52"/>
      <c r="L8" s="53"/>
      <c r="M8" s="52"/>
      <c r="N8" s="52"/>
      <c r="O8" s="52"/>
      <c r="P8" s="54"/>
    </row>
    <row r="9" spans="1:16">
      <c r="A9" s="40">
        <v>7</v>
      </c>
      <c r="B9" s="92" cm="1">
        <f t="array" aca="1" ref="B9" ca="1">INDIRECT($D$1&amp;"!k24")</f>
        <v>1012690</v>
      </c>
      <c r="C9" s="3">
        <f t="shared" ca="1" si="1"/>
        <v>1012690</v>
      </c>
      <c r="D9" s="41">
        <f t="shared" ca="1" si="0"/>
        <v>0</v>
      </c>
      <c r="E9" s="3"/>
      <c r="F9" s="41"/>
      <c r="G9" s="41"/>
      <c r="H9" s="73"/>
      <c r="I9" s="373"/>
      <c r="J9" s="55"/>
      <c r="K9" s="55"/>
      <c r="L9" s="56"/>
      <c r="M9" s="374" t="s">
        <v>85</v>
      </c>
      <c r="N9" s="374"/>
      <c r="O9" s="374"/>
      <c r="P9" s="375"/>
    </row>
    <row r="10" spans="1:16">
      <c r="A10" s="40">
        <v>8</v>
      </c>
      <c r="B10" s="92" cm="1">
        <f t="array" aca="1" ref="B10" ca="1">INDIRECT($D$1&amp;"!k25")</f>
        <v>1174495</v>
      </c>
      <c r="C10" s="3">
        <f t="shared" ca="1" si="1"/>
        <v>1174495</v>
      </c>
      <c r="D10" s="41">
        <f t="shared" ca="1" si="0"/>
        <v>0</v>
      </c>
      <c r="E10" s="3"/>
      <c r="F10" s="41"/>
      <c r="G10" s="41"/>
      <c r="H10" s="73"/>
      <c r="I10" s="385" t="s">
        <v>86</v>
      </c>
      <c r="J10" s="387"/>
      <c r="K10" s="385" t="s">
        <v>111</v>
      </c>
      <c r="L10" s="386"/>
      <c r="M10" s="57"/>
      <c r="N10" s="58" t="s">
        <v>112</v>
      </c>
      <c r="O10" s="58" t="s">
        <v>80</v>
      </c>
      <c r="P10" s="59" t="s">
        <v>105</v>
      </c>
    </row>
    <row r="11" spans="1:16">
      <c r="A11" s="60"/>
      <c r="B11" s="61"/>
      <c r="C11" s="61"/>
      <c r="D11" s="62">
        <f t="shared" ref="D11:E11" ca="1" si="5">SUM(D3:D10)</f>
        <v>0</v>
      </c>
      <c r="E11" s="62">
        <f t="shared" si="5"/>
        <v>0</v>
      </c>
      <c r="F11" s="62">
        <f ca="1">SUM(D3:D10)-SUM(E3:E10)</f>
        <v>0</v>
      </c>
      <c r="G11" s="11">
        <v>0</v>
      </c>
      <c r="H11" s="97">
        <f ca="1">G11*F11</f>
        <v>0</v>
      </c>
      <c r="I11" s="64" t="str" cm="1">
        <f t="array" aca="1" ref="I11" ca="1">INDIRECT("LODGEMENT"&amp;"!F3")</f>
        <v>GTBank 1</v>
      </c>
      <c r="J11" s="9"/>
      <c r="K11" s="64" t="s">
        <v>113</v>
      </c>
      <c r="L11" s="9">
        <f>E11</f>
        <v>0</v>
      </c>
      <c r="M11" s="65" t="s">
        <v>7</v>
      </c>
      <c r="N11" s="66">
        <f>E11+E26+M26-L11-L14-L15-L16</f>
        <v>0</v>
      </c>
      <c r="O11" s="67">
        <f ca="1">F11+F26+N26</f>
        <v>0</v>
      </c>
      <c r="P11" s="68">
        <f ca="1">H11+H26+P26</f>
        <v>0</v>
      </c>
    </row>
    <row r="12" spans="1:16" ht="15.75" customHeight="1">
      <c r="A12" s="69" t="s">
        <v>114</v>
      </c>
      <c r="B12" s="98" cm="1">
        <f t="array" aca="1" ref="B12" ca="1">INDIRECT($D$1&amp;"!k27")</f>
        <v>308711</v>
      </c>
      <c r="C12" s="4">
        <f ca="1">B12</f>
        <v>308711</v>
      </c>
      <c r="D12" s="41">
        <f t="shared" ref="D12:D13" ca="1" si="6">C12-B12</f>
        <v>0</v>
      </c>
      <c r="E12" s="4"/>
      <c r="F12" s="67"/>
      <c r="G12" s="67"/>
      <c r="H12" s="68"/>
      <c r="I12" s="64" t="str" cm="1">
        <f t="array" aca="1" ref="I12" ca="1">INDIRECT("LODGEMENT"&amp;"!G3")</f>
        <v>GTBank 2</v>
      </c>
      <c r="J12" s="9"/>
      <c r="K12" s="64" t="s">
        <v>115</v>
      </c>
      <c r="L12" s="9">
        <f>E14</f>
        <v>0</v>
      </c>
      <c r="M12" s="71" t="s">
        <v>8</v>
      </c>
      <c r="N12" s="72">
        <f>E14+E29+M29-L12-L13</f>
        <v>0</v>
      </c>
      <c r="O12" s="41">
        <f ca="1">F14+F29+N29</f>
        <v>0</v>
      </c>
      <c r="P12" s="73">
        <f ca="1">H14+H29+P29</f>
        <v>0</v>
      </c>
    </row>
    <row r="13" spans="1:16" ht="15.75" customHeight="1" thickBot="1">
      <c r="A13" s="40">
        <v>2</v>
      </c>
      <c r="B13" s="98" cm="1">
        <f t="array" aca="1" ref="B13" ca="1">INDIRECT($D$1&amp;"!k28")</f>
        <v>260695</v>
      </c>
      <c r="C13" s="4">
        <f ca="1">B13</f>
        <v>260695</v>
      </c>
      <c r="D13" s="41">
        <f t="shared" ca="1" si="6"/>
        <v>0</v>
      </c>
      <c r="E13" s="3"/>
      <c r="F13" s="41"/>
      <c r="G13" s="41"/>
      <c r="H13" s="73"/>
      <c r="I13" s="64" t="str" cm="1">
        <f t="array" aca="1" ref="I13" ca="1">INDIRECT("LODGEMENT"&amp;"!H3")</f>
        <v>GTBank 3</v>
      </c>
      <c r="J13" s="9"/>
      <c r="K13" s="64" t="s">
        <v>39</v>
      </c>
      <c r="L13" s="9"/>
      <c r="M13" s="74" t="s">
        <v>9</v>
      </c>
      <c r="N13" s="75">
        <f>E17+E32+M32</f>
        <v>0</v>
      </c>
      <c r="O13" s="76">
        <f ca="1">F17+F32+N32</f>
        <v>0</v>
      </c>
      <c r="P13" s="77">
        <f ca="1">H17+H32+P32</f>
        <v>0</v>
      </c>
    </row>
    <row r="14" spans="1:16" ht="15.75" customHeight="1">
      <c r="A14" s="60"/>
      <c r="B14" s="61"/>
      <c r="C14" s="61"/>
      <c r="D14" s="62">
        <f ca="1">SUM(D12:D13)</f>
        <v>0</v>
      </c>
      <c r="E14" s="62">
        <f>SUM(E12:E13)</f>
        <v>0</v>
      </c>
      <c r="F14" s="62">
        <f ca="1">SUM(D12:D13)-SUM(E12:E13)</f>
        <v>0</v>
      </c>
      <c r="G14" s="11">
        <v>0</v>
      </c>
      <c r="H14" s="97">
        <f ca="1">G14*F14</f>
        <v>0</v>
      </c>
      <c r="I14" s="64" t="str" cm="1">
        <f t="array" aca="1" ref="I14" ca="1">INDIRECT("LODGEMENT"&amp;"!I3")</f>
        <v>GTB TF 1</v>
      </c>
      <c r="J14" s="9"/>
      <c r="K14" s="64" t="s">
        <v>116</v>
      </c>
      <c r="L14" s="9"/>
      <c r="M14" s="78"/>
      <c r="N14" s="79" t="s">
        <v>117</v>
      </c>
      <c r="O14" s="381">
        <f ca="1">SUM(P11:P13)</f>
        <v>0</v>
      </c>
      <c r="P14" s="382"/>
    </row>
    <row r="15" spans="1:16" ht="15.75" customHeight="1">
      <c r="A15" s="69" t="s">
        <v>118</v>
      </c>
      <c r="B15" s="98" cm="1">
        <f t="array" aca="1" ref="B15" ca="1">INDIRECT($D$1&amp;"!k30")</f>
        <v>70080</v>
      </c>
      <c r="C15" s="4">
        <f ca="1">B15</f>
        <v>70080</v>
      </c>
      <c r="D15" s="41">
        <f t="shared" ref="D15:D16" ca="1" si="7">C15-B15</f>
        <v>0</v>
      </c>
      <c r="E15" s="4"/>
      <c r="F15" s="67"/>
      <c r="G15" s="67"/>
      <c r="H15" s="68"/>
      <c r="I15" s="64" t="str" cm="1">
        <f t="array" aca="1" ref="I15" ca="1">INDIRECT("LODGEMENT"&amp;"!J3")</f>
        <v>GTB TF 2</v>
      </c>
      <c r="J15" s="9"/>
      <c r="K15" s="64" t="s">
        <v>119</v>
      </c>
      <c r="L15" s="9"/>
      <c r="M15" s="80"/>
      <c r="N15" s="81" t="s">
        <v>120</v>
      </c>
      <c r="O15" s="383">
        <f>SUM(J11:J16)</f>
        <v>0</v>
      </c>
      <c r="P15" s="384"/>
    </row>
    <row r="16" spans="1:16" ht="15.75" customHeight="1" thickBot="1">
      <c r="A16" s="40">
        <v>2</v>
      </c>
      <c r="B16" s="98" cm="1">
        <f t="array" aca="1" ref="B16" ca="1">INDIRECT($D$1&amp;"!k31")</f>
        <v>98301</v>
      </c>
      <c r="C16" s="4">
        <f ca="1">B16</f>
        <v>98301</v>
      </c>
      <c r="D16" s="41">
        <f t="shared" ca="1" si="7"/>
        <v>0</v>
      </c>
      <c r="E16" s="3"/>
      <c r="F16" s="41"/>
      <c r="G16" s="41"/>
      <c r="H16" s="73"/>
      <c r="I16" s="82" t="str" cm="1">
        <f t="array" aca="1" ref="I16" ca="1">INDIRECT("LODGEMENT"&amp;"!k3")</f>
        <v>GTB TF  3</v>
      </c>
      <c r="J16" s="10"/>
      <c r="K16" s="82" t="s">
        <v>34</v>
      </c>
      <c r="L16" s="10"/>
      <c r="M16" s="83"/>
      <c r="N16" s="84" t="s">
        <v>121</v>
      </c>
      <c r="O16" s="376">
        <f ca="1">O14-O15</f>
        <v>0</v>
      </c>
      <c r="P16" s="377"/>
    </row>
    <row r="17" spans="1:16" ht="15.75" customHeight="1" thickBot="1">
      <c r="A17" s="85"/>
      <c r="B17" s="86"/>
      <c r="C17" s="86"/>
      <c r="D17" s="87">
        <f ca="1">SUM(D15:D16)</f>
        <v>0</v>
      </c>
      <c r="E17" s="87">
        <f>SUM(E15:E16)</f>
        <v>0</v>
      </c>
      <c r="F17" s="87">
        <f ca="1">SUM(D15:D16)-SUM(E15:E16)</f>
        <v>0</v>
      </c>
      <c r="G17" s="12">
        <v>0</v>
      </c>
      <c r="H17" s="88">
        <f ca="1">G17*F17</f>
        <v>0</v>
      </c>
      <c r="I17" s="89"/>
      <c r="J17" s="90"/>
      <c r="K17" s="90"/>
      <c r="L17" s="90"/>
      <c r="M17" s="90"/>
      <c r="N17" s="90"/>
      <c r="O17" s="90"/>
      <c r="P17" s="91"/>
    </row>
    <row r="18" spans="1:16" ht="15.75" customHeight="1">
      <c r="A18" s="40" t="s">
        <v>20</v>
      </c>
      <c r="B18" s="92">
        <f t="shared" ref="B18:B25" ca="1" si="8">C3</f>
        <v>967130</v>
      </c>
      <c r="C18" s="3">
        <f ca="1">B18</f>
        <v>967130</v>
      </c>
      <c r="D18" s="41">
        <f t="shared" ref="D18:D25" ca="1" si="9">C18-B18</f>
        <v>0</v>
      </c>
      <c r="E18" s="3"/>
      <c r="F18" s="41"/>
      <c r="G18" s="41"/>
      <c r="H18" s="73"/>
      <c r="I18" s="93" t="s">
        <v>20</v>
      </c>
      <c r="J18" s="94">
        <f t="shared" ref="J18:J25" ca="1" si="10">C18</f>
        <v>967130</v>
      </c>
      <c r="K18" s="8">
        <f t="shared" ref="K18:K25" ca="1" si="11">J18</f>
        <v>967130</v>
      </c>
      <c r="L18" s="95">
        <f t="shared" ref="L18:L25" ca="1" si="12">K18-J18</f>
        <v>0</v>
      </c>
      <c r="M18" s="8"/>
      <c r="N18" s="95"/>
      <c r="O18" s="95"/>
      <c r="P18" s="96"/>
    </row>
    <row r="19" spans="1:16" ht="15.75" customHeight="1">
      <c r="A19" s="40">
        <v>2</v>
      </c>
      <c r="B19" s="92">
        <f t="shared" ca="1" si="8"/>
        <v>914505</v>
      </c>
      <c r="C19" s="3">
        <f t="shared" ref="C19:C25" ca="1" si="13">B19</f>
        <v>914505</v>
      </c>
      <c r="D19" s="41">
        <f t="shared" ca="1" si="9"/>
        <v>0</v>
      </c>
      <c r="E19" s="3"/>
      <c r="F19" s="41"/>
      <c r="G19" s="41"/>
      <c r="H19" s="73"/>
      <c r="I19" s="40">
        <v>2</v>
      </c>
      <c r="J19" s="92">
        <f t="shared" ca="1" si="10"/>
        <v>914505</v>
      </c>
      <c r="K19" s="3">
        <f t="shared" ca="1" si="11"/>
        <v>914505</v>
      </c>
      <c r="L19" s="41">
        <f t="shared" ca="1" si="12"/>
        <v>0</v>
      </c>
      <c r="M19" s="3"/>
      <c r="N19" s="41"/>
      <c r="O19" s="41"/>
      <c r="P19" s="73"/>
    </row>
    <row r="20" spans="1:16" ht="15.75" customHeight="1">
      <c r="A20" s="40">
        <v>3</v>
      </c>
      <c r="B20" s="92">
        <f t="shared" ca="1" si="8"/>
        <v>1384990</v>
      </c>
      <c r="C20" s="3">
        <f t="shared" ca="1" si="13"/>
        <v>1384990</v>
      </c>
      <c r="D20" s="41">
        <f t="shared" ca="1" si="9"/>
        <v>0</v>
      </c>
      <c r="E20" s="3"/>
      <c r="F20" s="41"/>
      <c r="G20" s="41"/>
      <c r="H20" s="73"/>
      <c r="I20" s="40">
        <v>3</v>
      </c>
      <c r="J20" s="92">
        <f t="shared" ca="1" si="10"/>
        <v>1384990</v>
      </c>
      <c r="K20" s="3">
        <f t="shared" ca="1" si="11"/>
        <v>1384990</v>
      </c>
      <c r="L20" s="41">
        <f t="shared" ca="1" si="12"/>
        <v>0</v>
      </c>
      <c r="M20" s="3"/>
      <c r="N20" s="41"/>
      <c r="O20" s="41"/>
      <c r="P20" s="73"/>
    </row>
    <row r="21" spans="1:16" ht="15.75" customHeight="1">
      <c r="A21" s="40">
        <v>4</v>
      </c>
      <c r="B21" s="92">
        <f t="shared" ca="1" si="8"/>
        <v>1152973</v>
      </c>
      <c r="C21" s="3">
        <f t="shared" ca="1" si="13"/>
        <v>1152973</v>
      </c>
      <c r="D21" s="41">
        <f t="shared" ca="1" si="9"/>
        <v>0</v>
      </c>
      <c r="E21" s="3"/>
      <c r="F21" s="41"/>
      <c r="G21" s="41"/>
      <c r="H21" s="73"/>
      <c r="I21" s="40">
        <v>4</v>
      </c>
      <c r="J21" s="92">
        <f t="shared" ca="1" si="10"/>
        <v>1152973</v>
      </c>
      <c r="K21" s="3">
        <f t="shared" ca="1" si="11"/>
        <v>1152973</v>
      </c>
      <c r="L21" s="41">
        <f t="shared" ca="1" si="12"/>
        <v>0</v>
      </c>
      <c r="M21" s="3"/>
      <c r="N21" s="41"/>
      <c r="O21" s="41"/>
      <c r="P21" s="73"/>
    </row>
    <row r="22" spans="1:16" ht="15.75" customHeight="1">
      <c r="A22" s="40">
        <v>5</v>
      </c>
      <c r="B22" s="92">
        <f t="shared" ca="1" si="8"/>
        <v>1215271</v>
      </c>
      <c r="C22" s="3">
        <f t="shared" ca="1" si="13"/>
        <v>1215271</v>
      </c>
      <c r="D22" s="41">
        <f t="shared" ca="1" si="9"/>
        <v>0</v>
      </c>
      <c r="E22" s="3"/>
      <c r="F22" s="41"/>
      <c r="G22" s="41"/>
      <c r="H22" s="73"/>
      <c r="I22" s="40">
        <v>5</v>
      </c>
      <c r="J22" s="92">
        <f t="shared" ca="1" si="10"/>
        <v>1215271</v>
      </c>
      <c r="K22" s="3">
        <f t="shared" ca="1" si="11"/>
        <v>1215271</v>
      </c>
      <c r="L22" s="41">
        <f t="shared" ca="1" si="12"/>
        <v>0</v>
      </c>
      <c r="M22" s="3"/>
      <c r="N22" s="41"/>
      <c r="O22" s="41"/>
      <c r="P22" s="73"/>
    </row>
    <row r="23" spans="1:16" ht="15.75" customHeight="1">
      <c r="A23" s="40">
        <v>6</v>
      </c>
      <c r="B23" s="92">
        <f t="shared" ca="1" si="8"/>
        <v>1044332</v>
      </c>
      <c r="C23" s="3">
        <f t="shared" ca="1" si="13"/>
        <v>1044332</v>
      </c>
      <c r="D23" s="41">
        <f t="shared" ca="1" si="9"/>
        <v>0</v>
      </c>
      <c r="E23" s="3"/>
      <c r="F23" s="41"/>
      <c r="G23" s="41"/>
      <c r="H23" s="73"/>
      <c r="I23" s="40">
        <v>6</v>
      </c>
      <c r="J23" s="92">
        <f t="shared" ca="1" si="10"/>
        <v>1044332</v>
      </c>
      <c r="K23" s="3">
        <f t="shared" ca="1" si="11"/>
        <v>1044332</v>
      </c>
      <c r="L23" s="41">
        <f t="shared" ca="1" si="12"/>
        <v>0</v>
      </c>
      <c r="M23" s="3"/>
      <c r="N23" s="41"/>
      <c r="O23" s="41"/>
      <c r="P23" s="73"/>
    </row>
    <row r="24" spans="1:16" ht="15.75" customHeight="1">
      <c r="A24" s="40">
        <v>7</v>
      </c>
      <c r="B24" s="92">
        <f t="shared" ca="1" si="8"/>
        <v>1012690</v>
      </c>
      <c r="C24" s="3">
        <f t="shared" ca="1" si="13"/>
        <v>1012690</v>
      </c>
      <c r="D24" s="41">
        <f t="shared" ca="1" si="9"/>
        <v>0</v>
      </c>
      <c r="E24" s="3"/>
      <c r="F24" s="41"/>
      <c r="G24" s="41"/>
      <c r="H24" s="73"/>
      <c r="I24" s="40">
        <v>7</v>
      </c>
      <c r="J24" s="92">
        <f t="shared" ca="1" si="10"/>
        <v>1012690</v>
      </c>
      <c r="K24" s="3">
        <f t="shared" ca="1" si="11"/>
        <v>1012690</v>
      </c>
      <c r="L24" s="41">
        <f t="shared" ca="1" si="12"/>
        <v>0</v>
      </c>
      <c r="M24" s="3"/>
      <c r="N24" s="41"/>
      <c r="O24" s="41"/>
      <c r="P24" s="73"/>
    </row>
    <row r="25" spans="1:16" ht="15.75" customHeight="1">
      <c r="A25" s="40">
        <v>8</v>
      </c>
      <c r="B25" s="92">
        <f t="shared" ca="1" si="8"/>
        <v>1174495</v>
      </c>
      <c r="C25" s="3">
        <f t="shared" ca="1" si="13"/>
        <v>1174495</v>
      </c>
      <c r="D25" s="41">
        <f t="shared" ca="1" si="9"/>
        <v>0</v>
      </c>
      <c r="E25" s="3"/>
      <c r="F25" s="41"/>
      <c r="G25" s="41"/>
      <c r="H25" s="73"/>
      <c r="I25" s="40">
        <v>8</v>
      </c>
      <c r="J25" s="92">
        <f t="shared" ca="1" si="10"/>
        <v>1174495</v>
      </c>
      <c r="K25" s="3">
        <f t="shared" ca="1" si="11"/>
        <v>1174495</v>
      </c>
      <c r="L25" s="41">
        <f t="shared" ca="1" si="12"/>
        <v>0</v>
      </c>
      <c r="M25" s="3"/>
      <c r="N25" s="41"/>
      <c r="O25" s="41"/>
      <c r="P25" s="73"/>
    </row>
    <row r="26" spans="1:16" ht="15.75" customHeight="1">
      <c r="A26" s="60"/>
      <c r="B26" s="61"/>
      <c r="C26" s="61"/>
      <c r="D26" s="62">
        <f t="shared" ref="D26:E26" ca="1" si="14">SUM(D18:D25)</f>
        <v>0</v>
      </c>
      <c r="E26" s="62">
        <f t="shared" si="14"/>
        <v>0</v>
      </c>
      <c r="F26" s="62">
        <f ca="1">SUM(D18:D25)-SUM(E18:E25)</f>
        <v>0</v>
      </c>
      <c r="G26" s="11">
        <v>0</v>
      </c>
      <c r="H26" s="97">
        <f ca="1">G26*F26</f>
        <v>0</v>
      </c>
      <c r="I26" s="60"/>
      <c r="J26" s="61"/>
      <c r="K26" s="61"/>
      <c r="L26" s="62">
        <f t="shared" ref="L26:M26" ca="1" si="15">SUM(L18:L25)</f>
        <v>0</v>
      </c>
      <c r="M26" s="62">
        <f t="shared" si="15"/>
        <v>0</v>
      </c>
      <c r="N26" s="62">
        <f ca="1">SUM(L18:L25)-SUM(M18:M25)</f>
        <v>0</v>
      </c>
      <c r="O26" s="11">
        <v>0</v>
      </c>
      <c r="P26" s="97">
        <f ca="1">O26*N26</f>
        <v>0</v>
      </c>
    </row>
    <row r="27" spans="1:16" ht="15.75" customHeight="1">
      <c r="A27" s="69" t="s">
        <v>114</v>
      </c>
      <c r="B27" s="98">
        <f ca="1">C12</f>
        <v>308711</v>
      </c>
      <c r="C27" s="4">
        <f ca="1">B27</f>
        <v>308711</v>
      </c>
      <c r="D27" s="41">
        <f t="shared" ref="D27:D28" ca="1" si="16">C27-B27</f>
        <v>0</v>
      </c>
      <c r="E27" s="4"/>
      <c r="F27" s="67"/>
      <c r="G27" s="67"/>
      <c r="H27" s="68"/>
      <c r="I27" s="69" t="s">
        <v>114</v>
      </c>
      <c r="J27" s="98">
        <f ca="1">C27</f>
        <v>308711</v>
      </c>
      <c r="K27" s="4">
        <f ca="1">J27</f>
        <v>308711</v>
      </c>
      <c r="L27" s="41">
        <f t="shared" ref="L27:L28" ca="1" si="17">K27-J27</f>
        <v>0</v>
      </c>
      <c r="M27" s="4"/>
      <c r="N27" s="67"/>
      <c r="O27" s="67"/>
      <c r="P27" s="68"/>
    </row>
    <row r="28" spans="1:16" ht="15.75" customHeight="1">
      <c r="A28" s="40">
        <v>2</v>
      </c>
      <c r="B28" s="92">
        <f ca="1">C13</f>
        <v>260695</v>
      </c>
      <c r="C28" s="4">
        <f ca="1">B28</f>
        <v>260695</v>
      </c>
      <c r="D28" s="41">
        <f t="shared" ca="1" si="16"/>
        <v>0</v>
      </c>
      <c r="E28" s="3"/>
      <c r="F28" s="41"/>
      <c r="G28" s="41"/>
      <c r="H28" s="73"/>
      <c r="I28" s="40">
        <v>2</v>
      </c>
      <c r="J28" s="92">
        <f ca="1">C28</f>
        <v>260695</v>
      </c>
      <c r="K28" s="3">
        <f ca="1">J28</f>
        <v>260695</v>
      </c>
      <c r="L28" s="41">
        <f t="shared" ca="1" si="17"/>
        <v>0</v>
      </c>
      <c r="M28" s="3"/>
      <c r="N28" s="41"/>
      <c r="O28" s="41"/>
      <c r="P28" s="73"/>
    </row>
    <row r="29" spans="1:16" ht="15.75" customHeight="1">
      <c r="A29" s="60"/>
      <c r="B29" s="61"/>
      <c r="C29" s="61"/>
      <c r="D29" s="62">
        <f ca="1">SUM(D27:D28)</f>
        <v>0</v>
      </c>
      <c r="E29" s="62">
        <f>SUM(E27:E28)</f>
        <v>0</v>
      </c>
      <c r="F29" s="62">
        <f ca="1">SUM(D27:D28)-SUM(E27:E28)</f>
        <v>0</v>
      </c>
      <c r="G29" s="11">
        <v>0</v>
      </c>
      <c r="H29" s="97">
        <f ca="1">G29*F29</f>
        <v>0</v>
      </c>
      <c r="I29" s="60"/>
      <c r="J29" s="61"/>
      <c r="K29" s="61"/>
      <c r="L29" s="62">
        <f ca="1">SUM(L27:L28)</f>
        <v>0</v>
      </c>
      <c r="M29" s="62">
        <f>SUM(M27:M28)</f>
        <v>0</v>
      </c>
      <c r="N29" s="62">
        <f ca="1">SUM(L27:L28)-SUM(M27:M28)</f>
        <v>0</v>
      </c>
      <c r="O29" s="11">
        <v>0</v>
      </c>
      <c r="P29" s="97">
        <f ca="1">O29*N29</f>
        <v>0</v>
      </c>
    </row>
    <row r="30" spans="1:16" ht="15.75" customHeight="1">
      <c r="A30" s="69" t="s">
        <v>118</v>
      </c>
      <c r="B30" s="98">
        <f ca="1">C15</f>
        <v>70080</v>
      </c>
      <c r="C30" s="4">
        <f ca="1">B30</f>
        <v>70080</v>
      </c>
      <c r="D30" s="41">
        <f t="shared" ref="D30:D31" ca="1" si="18">C30-B30</f>
        <v>0</v>
      </c>
      <c r="E30" s="4"/>
      <c r="F30" s="67"/>
      <c r="G30" s="67"/>
      <c r="H30" s="68"/>
      <c r="I30" s="69" t="s">
        <v>118</v>
      </c>
      <c r="J30" s="98">
        <f ca="1">C30</f>
        <v>70080</v>
      </c>
      <c r="K30" s="4">
        <f ca="1">J30</f>
        <v>70080</v>
      </c>
      <c r="L30" s="41">
        <f t="shared" ref="L30:L31" ca="1" si="19">K30-J30</f>
        <v>0</v>
      </c>
      <c r="M30" s="4"/>
      <c r="N30" s="67"/>
      <c r="O30" s="67"/>
      <c r="P30" s="68"/>
    </row>
    <row r="31" spans="1:16" ht="15.75" customHeight="1">
      <c r="A31" s="40">
        <v>2</v>
      </c>
      <c r="B31" s="92">
        <f ca="1">C16</f>
        <v>98301</v>
      </c>
      <c r="C31" s="3">
        <f ca="1">B31</f>
        <v>98301</v>
      </c>
      <c r="D31" s="41">
        <f t="shared" ca="1" si="18"/>
        <v>0</v>
      </c>
      <c r="E31" s="3"/>
      <c r="F31" s="41"/>
      <c r="G31" s="41"/>
      <c r="H31" s="73"/>
      <c r="I31" s="40">
        <v>2</v>
      </c>
      <c r="J31" s="92">
        <f ca="1">C31</f>
        <v>98301</v>
      </c>
      <c r="K31" s="3">
        <f ca="1">J31</f>
        <v>98301</v>
      </c>
      <c r="L31" s="41">
        <f t="shared" ca="1" si="19"/>
        <v>0</v>
      </c>
      <c r="M31" s="3"/>
      <c r="N31" s="41"/>
      <c r="O31" s="41"/>
      <c r="P31" s="73"/>
    </row>
    <row r="32" spans="1:16" ht="15.75" customHeight="1" thickBot="1">
      <c r="A32" s="85"/>
      <c r="B32" s="86"/>
      <c r="C32" s="86"/>
      <c r="D32" s="87">
        <f ca="1">SUM(D30:D31)</f>
        <v>0</v>
      </c>
      <c r="E32" s="87">
        <f>SUM(E30:E31)</f>
        <v>0</v>
      </c>
      <c r="F32" s="87">
        <f ca="1">SUM(D30:D31)-SUM(E30:E31)</f>
        <v>0</v>
      </c>
      <c r="G32" s="12">
        <v>0</v>
      </c>
      <c r="H32" s="88">
        <f ca="1">G32*F32</f>
        <v>0</v>
      </c>
      <c r="I32" s="85"/>
      <c r="J32" s="86"/>
      <c r="K32" s="86"/>
      <c r="L32" s="87">
        <f ca="1">SUM(L30:L31)</f>
        <v>0</v>
      </c>
      <c r="M32" s="87">
        <f>SUM(M30:M31)</f>
        <v>0</v>
      </c>
      <c r="N32" s="87">
        <f ca="1">SUM(L30:L31)-SUM(M30:M31)</f>
        <v>0</v>
      </c>
      <c r="O32" s="12">
        <v>0</v>
      </c>
      <c r="P32" s="88">
        <f ca="1">O32*N32</f>
        <v>0</v>
      </c>
    </row>
    <row r="33" spans="1:16" ht="15.75" customHeight="1" thickBot="1">
      <c r="A33" s="378" t="s">
        <v>122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80"/>
    </row>
    <row r="34" spans="1:16" ht="15.75" customHeight="1"/>
    <row r="35" spans="1:16" ht="15.75" customHeight="1"/>
    <row r="36" spans="1:16" ht="15.75" customHeight="1"/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</sheetData>
  <sheetProtection algorithmName="SHA-512" hashValue="NL4Ub0Th1Mmn/viAZt1stMspv5DpQ2Bsg0NW3r8yktPPWTZESau2wn/TwWQgc+J2NvwE4U1woSNoYPHQi2xJVw==" saltValue="L0eGedWQm3Iic3gj7slOVg==" spinCount="100000" sheet="1" objects="1" scenarios="1"/>
  <mergeCells count="10">
    <mergeCell ref="O14:P14"/>
    <mergeCell ref="O15:P15"/>
    <mergeCell ref="O16:P16"/>
    <mergeCell ref="A33:P33"/>
    <mergeCell ref="A1:B1"/>
    <mergeCell ref="I1:P1"/>
    <mergeCell ref="I8:I9"/>
    <mergeCell ref="M9:P9"/>
    <mergeCell ref="I10:J10"/>
    <mergeCell ref="K10:L10"/>
  </mergeCells>
  <hyperlinks>
    <hyperlink ref="A33" r:id="rId1" xr:uid="{7F4991FF-C45A-4D6A-8A30-7F27109B113F}"/>
  </hyperlinks>
  <pageMargins left="0.7" right="0.7" top="0.75" bottom="0.75" header="0" footer="0"/>
  <pageSetup paperSize="9" scale="5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Ugochukwu Esegbue</dc:creator>
  <cp:keywords/>
  <dc:description/>
  <cp:lastModifiedBy/>
  <cp:revision/>
  <dcterms:created xsi:type="dcterms:W3CDTF">2023-06-08T07:56:40Z</dcterms:created>
  <dcterms:modified xsi:type="dcterms:W3CDTF">2026-03-21T13:04:51Z</dcterms:modified>
  <cp:category/>
  <cp:contentStatus/>
</cp:coreProperties>
</file>