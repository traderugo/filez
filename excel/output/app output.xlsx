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/>
  <bookViews>
    <workbookView xWindow="270" yWindow="630" windowWidth="16935" windowHeight="6090" activeTab="2"/>
  </bookViews>
  <sheets>
    <sheet name="1.Guideline" sheetId="1" r:id="rId1"/>
    <sheet name="2. Sales&gt;&gt;Cash Position" sheetId="2" r:id="rId2"/>
    <sheet name="3.Stock Position" sheetId="3" r:id="rId3"/>
    <sheet name="4.Lodgement Sheet" sheetId="4" r:id="rId4"/>
    <sheet name="5.PMS Consumption and Pour back" sheetId="5" r:id="rId5"/>
    <sheet name="6.AGO Consumption and Pour back" sheetId="6" r:id="rId6"/>
    <sheet name="7.DPK Consumption and Pour back" sheetId="7" r:id="rId7"/>
    <sheet name="8.Product Received" sheetId="8" r:id="rId8"/>
    <sheet name="9.Expenses for the Month" sheetId="9" r:id="rId9"/>
    <sheet name="10.Record of Stock Position" sheetId="10" r:id="rId10"/>
    <sheet name="Customers' Ledger" sheetId="11" r:id="rId11"/>
    <sheet name="Castro Lubricants" sheetId="12" r:id="rId12"/>
    <sheet name="Sheet1 (2)" sheetId="13" state="hidden" r:id="rId13"/>
  </sheets>
  <definedNames>
    <definedName name="_xlnm.Print_Area" localSheetId="0">'1.Guideline'!$A1:$D18</definedName>
    <definedName name="_xlnm.Print_Area" localSheetId="9">'10.Record of Stock Position'!$A1:$S42</definedName>
    <definedName name="_xlnm.Print_Area" localSheetId="1">'2. Sales&gt;&gt;Cash Position'!$A1:$H250</definedName>
    <definedName name="_xlnm.Print_Area" localSheetId="2">'3.Stock Position'!$B$2:$E$90</definedName>
    <definedName name="_xlnm.Print_Area" localSheetId="3">'4.Lodgement Sheet'!$A1:$Z175</definedName>
    <definedName name="_xlnm.Print_Area" localSheetId="4">'5.PMS Consumption and Pour back'!$A1:$N39</definedName>
    <definedName name="_xlnm.Print_Area" localSheetId="5">'6.AGO Consumption and Pour back'!$A1:$I39</definedName>
    <definedName name="_xlnm.Print_Area" localSheetId="6">'7.DPK Consumption and Pour back'!$A1:$I39</definedName>
    <definedName name="_xlnm.Print_Area" localSheetId="7">'8.Product Received'!$A1:$P55</definedName>
    <definedName name="_xlnm.Print_Area" localSheetId="8">'9.Expenses for the Month'!$A1:$G40</definedName>
    <definedName name="_xlnm.Print_Area" localSheetId="12">'Sheet1 (2)'!$A1:$W109</definedName>
  </definedNames>
  <calcPr calcId="144525"/>
</workbook>
</file>

<file path=xl/calcChain.xml><?xml version="1.0" encoding="utf-8"?>
<calcChain xmlns="http://schemas.openxmlformats.org/spreadsheetml/2006/main">
  <c r="C108" i="13" l="1"/>
  <c r="C107" i="13"/>
  <c r="C106" i="13"/>
  <c r="C105" i="13"/>
  <c r="C104" i="13"/>
  <c r="C103" i="13"/>
  <c r="C102" i="13"/>
  <c r="C101" i="13"/>
  <c r="C100" i="13"/>
  <c r="C99" i="13"/>
  <c r="C98" i="13"/>
  <c r="C97" i="13"/>
  <c r="C96" i="13"/>
  <c r="C95" i="13"/>
  <c r="C94" i="13"/>
  <c r="C93" i="13"/>
  <c r="C92" i="13"/>
  <c r="C91" i="13"/>
  <c r="C90" i="13"/>
  <c r="C89" i="13"/>
  <c r="C88" i="13"/>
  <c r="C87" i="13"/>
  <c r="C86" i="13"/>
  <c r="C85" i="13"/>
  <c r="C84" i="13"/>
  <c r="C83" i="13"/>
  <c r="C82" i="13"/>
  <c r="C81" i="13"/>
  <c r="C80" i="13"/>
  <c r="C79" i="13"/>
  <c r="C78" i="13"/>
  <c r="C77" i="13"/>
  <c r="C76" i="13"/>
  <c r="C75" i="13"/>
  <c r="C74" i="13"/>
  <c r="C73" i="13"/>
  <c r="C72" i="13"/>
  <c r="C71" i="13"/>
  <c r="C70" i="13"/>
  <c r="C69" i="13"/>
  <c r="C68" i="13"/>
  <c r="C67" i="13"/>
  <c r="C66" i="13"/>
  <c r="C65" i="13"/>
  <c r="C64" i="1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/>
  <c r="H30" i="12"/>
  <c r="F30" i="12"/>
  <c r="E30" i="12"/>
  <c r="G29" i="12"/>
  <c r="G28" i="12"/>
  <c r="G27" i="12"/>
  <c r="G26" i="12"/>
  <c r="J25" i="12"/>
  <c r="G25" i="12"/>
  <c r="J24" i="12"/>
  <c r="G24" i="12"/>
  <c r="J23" i="12"/>
  <c r="G23" i="12"/>
  <c r="J22" i="12"/>
  <c r="G22" i="12"/>
  <c r="J21" i="12"/>
  <c r="G21" i="12"/>
  <c r="J20" i="12"/>
  <c r="G20" i="12"/>
  <c r="J19" i="12"/>
  <c r="G19" i="12"/>
  <c r="J18" i="12"/>
  <c r="G18" i="12"/>
  <c r="J17" i="12"/>
  <c r="G17" i="12"/>
  <c r="J16" i="12"/>
  <c r="G16" i="12"/>
  <c r="J15" i="12"/>
  <c r="G15" i="12"/>
  <c r="J14" i="12"/>
  <c r="G14" i="12"/>
  <c r="J13" i="12"/>
  <c r="G13" i="12"/>
  <c r="J12" i="12"/>
  <c r="G12" i="12"/>
  <c r="J11" i="12"/>
  <c r="G11" i="12"/>
  <c r="J10" i="12"/>
  <c r="G10" i="12"/>
  <c r="J9" i="12"/>
  <c r="G9" i="12"/>
  <c r="J8" i="12"/>
  <c r="G8" i="12"/>
  <c r="J7" i="12"/>
  <c r="G7" i="12"/>
  <c r="J6" i="12"/>
  <c r="G6" i="12"/>
  <c r="J5" i="12"/>
  <c r="J30" i="12" s="1"/>
  <c r="J36" i="12" s="1"/>
  <c r="G5" i="12"/>
  <c r="G30" i="12" s="1"/>
  <c r="I43" i="11"/>
  <c r="G43" i="11"/>
  <c r="C43" i="11"/>
  <c r="J42" i="11"/>
  <c r="J41" i="11"/>
  <c r="J40" i="11"/>
  <c r="J39" i="11"/>
  <c r="J38" i="11"/>
  <c r="J37" i="11"/>
  <c r="J36" i="11"/>
  <c r="J35" i="11"/>
  <c r="J34" i="11"/>
  <c r="J33" i="11"/>
  <c r="J32" i="11"/>
  <c r="J31" i="11"/>
  <c r="J30" i="11"/>
  <c r="J29" i="11"/>
  <c r="J28" i="11"/>
  <c r="J27" i="11"/>
  <c r="J26" i="11"/>
  <c r="J25" i="11"/>
  <c r="J24" i="11"/>
  <c r="J23" i="11"/>
  <c r="J22" i="11"/>
  <c r="J21" i="11"/>
  <c r="J20" i="11"/>
  <c r="J19" i="11"/>
  <c r="J18" i="11"/>
  <c r="J17" i="11"/>
  <c r="J16" i="11"/>
  <c r="J15" i="11"/>
  <c r="J14" i="11"/>
  <c r="J13" i="11"/>
  <c r="J12" i="11"/>
  <c r="J11" i="11"/>
  <c r="J10" i="11"/>
  <c r="J9" i="11"/>
  <c r="J8" i="11"/>
  <c r="J7" i="11"/>
  <c r="J6" i="11"/>
  <c r="J5" i="11"/>
  <c r="J4" i="11"/>
  <c r="J43" i="11" s="1"/>
  <c r="G228" i="2" s="1"/>
  <c r="J3" i="11"/>
  <c r="R40" i="10"/>
  <c r="L40" i="10"/>
  <c r="F40" i="10"/>
  <c r="Q38" i="10"/>
  <c r="K38" i="10"/>
  <c r="E38" i="10"/>
  <c r="Q37" i="10"/>
  <c r="K37" i="10"/>
  <c r="E37" i="10"/>
  <c r="Q36" i="10"/>
  <c r="K36" i="10"/>
  <c r="E36" i="10"/>
  <c r="Q35" i="10"/>
  <c r="K35" i="10"/>
  <c r="E35" i="10"/>
  <c r="Q34" i="10"/>
  <c r="K34" i="10"/>
  <c r="E34" i="10"/>
  <c r="Q33" i="10"/>
  <c r="K33" i="10"/>
  <c r="E33" i="10"/>
  <c r="Q32" i="10"/>
  <c r="K32" i="10"/>
  <c r="E32" i="10"/>
  <c r="Q31" i="10"/>
  <c r="K31" i="10"/>
  <c r="E31" i="10"/>
  <c r="Q30" i="10"/>
  <c r="K30" i="10"/>
  <c r="E30" i="10"/>
  <c r="Q29" i="10"/>
  <c r="K29" i="10"/>
  <c r="E29" i="10"/>
  <c r="Q28" i="10"/>
  <c r="K28" i="10"/>
  <c r="E28" i="10"/>
  <c r="Q27" i="10"/>
  <c r="K27" i="10"/>
  <c r="E27" i="10"/>
  <c r="Q26" i="10"/>
  <c r="K26" i="10"/>
  <c r="E26" i="10"/>
  <c r="Q25" i="10"/>
  <c r="K25" i="10"/>
  <c r="E25" i="10"/>
  <c r="Q24" i="10"/>
  <c r="K24" i="10"/>
  <c r="E24" i="10"/>
  <c r="Q23" i="10"/>
  <c r="K23" i="10"/>
  <c r="E23" i="10"/>
  <c r="Q22" i="10"/>
  <c r="K22" i="10"/>
  <c r="E22" i="10"/>
  <c r="Q21" i="10"/>
  <c r="K21" i="10"/>
  <c r="E21" i="10"/>
  <c r="Q20" i="10"/>
  <c r="K20" i="10"/>
  <c r="E20" i="10"/>
  <c r="Q19" i="10"/>
  <c r="K19" i="10"/>
  <c r="E19" i="10"/>
  <c r="Q18" i="10"/>
  <c r="K18" i="10"/>
  <c r="E18" i="10"/>
  <c r="Q17" i="10"/>
  <c r="K17" i="10"/>
  <c r="E17" i="10"/>
  <c r="Q16" i="10"/>
  <c r="K16" i="10"/>
  <c r="E16" i="10"/>
  <c r="Q15" i="10"/>
  <c r="K15" i="10"/>
  <c r="E15" i="10"/>
  <c r="Q14" i="10"/>
  <c r="K14" i="10"/>
  <c r="E14" i="10"/>
  <c r="Q13" i="10"/>
  <c r="K13" i="10"/>
  <c r="E13" i="10"/>
  <c r="Q12" i="10"/>
  <c r="K12" i="10"/>
  <c r="E12" i="10"/>
  <c r="Q11" i="10"/>
  <c r="K11" i="10"/>
  <c r="E11" i="10"/>
  <c r="Q10" i="10"/>
  <c r="K10" i="10"/>
  <c r="E10" i="10"/>
  <c r="Q9" i="10"/>
  <c r="K9" i="10"/>
  <c r="E9" i="10"/>
  <c r="Q8" i="10"/>
  <c r="K8" i="10"/>
  <c r="E8" i="10"/>
  <c r="E38" i="9"/>
  <c r="P52" i="8"/>
  <c r="N52" i="8"/>
  <c r="K52" i="8"/>
  <c r="I52" i="8"/>
  <c r="F52" i="8"/>
  <c r="D52" i="8"/>
  <c r="S172" i="4"/>
  <c r="Q172" i="4"/>
  <c r="O172" i="4"/>
  <c r="N172" i="4"/>
  <c r="M172" i="4"/>
  <c r="L172" i="4"/>
  <c r="K172" i="4"/>
  <c r="J172" i="4"/>
  <c r="I172" i="4"/>
  <c r="G172" i="4"/>
  <c r="E172" i="4"/>
  <c r="R171" i="4"/>
  <c r="P171" i="4"/>
  <c r="C171" i="4" s="1"/>
  <c r="R170" i="4"/>
  <c r="P170" i="4"/>
  <c r="C170" i="4"/>
  <c r="R169" i="4"/>
  <c r="P169" i="4"/>
  <c r="C169" i="4" s="1"/>
  <c r="R168" i="4"/>
  <c r="P168" i="4"/>
  <c r="C168" i="4"/>
  <c r="R167" i="4"/>
  <c r="P167" i="4"/>
  <c r="C167" i="4" s="1"/>
  <c r="R166" i="4"/>
  <c r="P166" i="4"/>
  <c r="C166" i="4"/>
  <c r="R165" i="4"/>
  <c r="P165" i="4"/>
  <c r="C165" i="4" s="1"/>
  <c r="R164" i="4"/>
  <c r="P164" i="4"/>
  <c r="C164" i="4"/>
  <c r="R163" i="4"/>
  <c r="P163" i="4"/>
  <c r="C163" i="4" s="1"/>
  <c r="R162" i="4"/>
  <c r="P162" i="4"/>
  <c r="C162" i="4"/>
  <c r="R161" i="4"/>
  <c r="P161" i="4"/>
  <c r="C161" i="4" s="1"/>
  <c r="R160" i="4"/>
  <c r="P160" i="4"/>
  <c r="C160" i="4"/>
  <c r="R159" i="4"/>
  <c r="P159" i="4"/>
  <c r="C159" i="4" s="1"/>
  <c r="R158" i="4"/>
  <c r="P158" i="4"/>
  <c r="C158" i="4"/>
  <c r="R157" i="4"/>
  <c r="P157" i="4"/>
  <c r="C157" i="4" s="1"/>
  <c r="R156" i="4"/>
  <c r="P156" i="4"/>
  <c r="C156" i="4"/>
  <c r="R155" i="4"/>
  <c r="P155" i="4"/>
  <c r="C155" i="4" s="1"/>
  <c r="R154" i="4"/>
  <c r="P154" i="4"/>
  <c r="C154" i="4"/>
  <c r="R153" i="4"/>
  <c r="P153" i="4"/>
  <c r="C153" i="4" s="1"/>
  <c r="R152" i="4"/>
  <c r="P152" i="4"/>
  <c r="C152" i="4"/>
  <c r="R151" i="4"/>
  <c r="P151" i="4"/>
  <c r="C151" i="4" s="1"/>
  <c r="R150" i="4"/>
  <c r="P150" i="4"/>
  <c r="C150" i="4"/>
  <c r="R149" i="4"/>
  <c r="P149" i="4"/>
  <c r="C149" i="4" s="1"/>
  <c r="R148" i="4"/>
  <c r="P148" i="4"/>
  <c r="C148" i="4"/>
  <c r="R147" i="4"/>
  <c r="P147" i="4"/>
  <c r="C147" i="4" s="1"/>
  <c r="R146" i="4"/>
  <c r="P146" i="4"/>
  <c r="C146" i="4"/>
  <c r="R145" i="4"/>
  <c r="P145" i="4"/>
  <c r="C145" i="4" s="1"/>
  <c r="R144" i="4"/>
  <c r="P144" i="4"/>
  <c r="C144" i="4"/>
  <c r="R143" i="4"/>
  <c r="P143" i="4"/>
  <c r="C143" i="4" s="1"/>
  <c r="R142" i="4"/>
  <c r="P142" i="4"/>
  <c r="C142" i="4"/>
  <c r="R141" i="4"/>
  <c r="P141" i="4"/>
  <c r="C141" i="4" s="1"/>
  <c r="R140" i="4"/>
  <c r="P140" i="4"/>
  <c r="C140" i="4"/>
  <c r="R139" i="4"/>
  <c r="P139" i="4"/>
  <c r="C139" i="4" s="1"/>
  <c r="R138" i="4"/>
  <c r="P138" i="4"/>
  <c r="C138" i="4"/>
  <c r="R137" i="4"/>
  <c r="P137" i="4"/>
  <c r="C137" i="4" s="1"/>
  <c r="R136" i="4"/>
  <c r="P136" i="4"/>
  <c r="C136" i="4"/>
  <c r="R135" i="4"/>
  <c r="P135" i="4"/>
  <c r="C135" i="4" s="1"/>
  <c r="R134" i="4"/>
  <c r="P134" i="4"/>
  <c r="C134" i="4"/>
  <c r="R133" i="4"/>
  <c r="P133" i="4"/>
  <c r="C133" i="4" s="1"/>
  <c r="R132" i="4"/>
  <c r="P132" i="4"/>
  <c r="C132" i="4"/>
  <c r="R131" i="4"/>
  <c r="P131" i="4"/>
  <c r="C131" i="4" s="1"/>
  <c r="R130" i="4"/>
  <c r="P130" i="4"/>
  <c r="C130" i="4"/>
  <c r="R129" i="4"/>
  <c r="P129" i="4"/>
  <c r="C129" i="4" s="1"/>
  <c r="R128" i="4"/>
  <c r="P128" i="4"/>
  <c r="C128" i="4"/>
  <c r="R127" i="4"/>
  <c r="P127" i="4"/>
  <c r="C127" i="4" s="1"/>
  <c r="R126" i="4"/>
  <c r="P126" i="4"/>
  <c r="C126" i="4"/>
  <c r="R125" i="4"/>
  <c r="P125" i="4"/>
  <c r="C125" i="4" s="1"/>
  <c r="R124" i="4"/>
  <c r="P124" i="4"/>
  <c r="C124" i="4"/>
  <c r="R123" i="4"/>
  <c r="P123" i="4"/>
  <c r="C123" i="4" s="1"/>
  <c r="R122" i="4"/>
  <c r="P122" i="4"/>
  <c r="C122" i="4"/>
  <c r="R121" i="4"/>
  <c r="P121" i="4"/>
  <c r="C121" i="4" s="1"/>
  <c r="R120" i="4"/>
  <c r="P120" i="4"/>
  <c r="C120" i="4"/>
  <c r="R119" i="4"/>
  <c r="P119" i="4"/>
  <c r="C119" i="4" s="1"/>
  <c r="R118" i="4"/>
  <c r="P118" i="4"/>
  <c r="C118" i="4"/>
  <c r="R117" i="4"/>
  <c r="P117" i="4"/>
  <c r="C117" i="4" s="1"/>
  <c r="R116" i="4"/>
  <c r="P116" i="4"/>
  <c r="C116" i="4"/>
  <c r="R115" i="4"/>
  <c r="P115" i="4"/>
  <c r="C115" i="4" s="1"/>
  <c r="R114" i="4"/>
  <c r="P114" i="4"/>
  <c r="C114" i="4"/>
  <c r="R113" i="4"/>
  <c r="P113" i="4"/>
  <c r="C113" i="4" s="1"/>
  <c r="R112" i="4"/>
  <c r="P112" i="4"/>
  <c r="C112" i="4"/>
  <c r="R111" i="4"/>
  <c r="P111" i="4"/>
  <c r="C111" i="4" s="1"/>
  <c r="R110" i="4"/>
  <c r="P110" i="4"/>
  <c r="C110" i="4"/>
  <c r="R109" i="4"/>
  <c r="P109" i="4"/>
  <c r="C109" i="4" s="1"/>
  <c r="R108" i="4"/>
  <c r="P108" i="4"/>
  <c r="C108" i="4"/>
  <c r="R107" i="4"/>
  <c r="P107" i="4"/>
  <c r="C107" i="4" s="1"/>
  <c r="R106" i="4"/>
  <c r="P106" i="4"/>
  <c r="C106" i="4"/>
  <c r="R105" i="4"/>
  <c r="P105" i="4"/>
  <c r="C105" i="4" s="1"/>
  <c r="R104" i="4"/>
  <c r="P104" i="4"/>
  <c r="C104" i="4"/>
  <c r="R103" i="4"/>
  <c r="P103" i="4"/>
  <c r="C103" i="4" s="1"/>
  <c r="R102" i="4"/>
  <c r="P102" i="4"/>
  <c r="C102" i="4"/>
  <c r="R101" i="4"/>
  <c r="P101" i="4"/>
  <c r="C101" i="4" s="1"/>
  <c r="R100" i="4"/>
  <c r="P100" i="4"/>
  <c r="C100" i="4"/>
  <c r="R99" i="4"/>
  <c r="P99" i="4"/>
  <c r="C99" i="4" s="1"/>
  <c r="R98" i="4"/>
  <c r="P98" i="4"/>
  <c r="C98" i="4"/>
  <c r="R97" i="4"/>
  <c r="P97" i="4"/>
  <c r="C97" i="4" s="1"/>
  <c r="R96" i="4"/>
  <c r="P96" i="4"/>
  <c r="C96" i="4"/>
  <c r="R95" i="4"/>
  <c r="P95" i="4"/>
  <c r="C95" i="4" s="1"/>
  <c r="R94" i="4"/>
  <c r="P94" i="4"/>
  <c r="C94" i="4"/>
  <c r="R93" i="4"/>
  <c r="P93" i="4"/>
  <c r="C93" i="4" s="1"/>
  <c r="R92" i="4"/>
  <c r="P92" i="4"/>
  <c r="C92" i="4"/>
  <c r="R91" i="4"/>
  <c r="P91" i="4"/>
  <c r="C91" i="4" s="1"/>
  <c r="R90" i="4"/>
  <c r="P90" i="4"/>
  <c r="C90" i="4"/>
  <c r="R89" i="4"/>
  <c r="P89" i="4"/>
  <c r="C89" i="4" s="1"/>
  <c r="R88" i="4"/>
  <c r="P88" i="4"/>
  <c r="C88" i="4"/>
  <c r="R87" i="4"/>
  <c r="P87" i="4"/>
  <c r="C87" i="4" s="1"/>
  <c r="R86" i="4"/>
  <c r="P86" i="4"/>
  <c r="C86" i="4"/>
  <c r="R85" i="4"/>
  <c r="P85" i="4"/>
  <c r="C85" i="4" s="1"/>
  <c r="R84" i="4"/>
  <c r="P84" i="4"/>
  <c r="C84" i="4"/>
  <c r="R83" i="4"/>
  <c r="P83" i="4"/>
  <c r="C83" i="4" s="1"/>
  <c r="R82" i="4"/>
  <c r="P82" i="4"/>
  <c r="C82" i="4"/>
  <c r="R81" i="4"/>
  <c r="P81" i="4"/>
  <c r="C81" i="4" s="1"/>
  <c r="R80" i="4"/>
  <c r="P80" i="4"/>
  <c r="C80" i="4"/>
  <c r="R79" i="4"/>
  <c r="P79" i="4"/>
  <c r="C79" i="4" s="1"/>
  <c r="R78" i="4"/>
  <c r="P78" i="4"/>
  <c r="C78" i="4"/>
  <c r="R77" i="4"/>
  <c r="P77" i="4"/>
  <c r="C77" i="4" s="1"/>
  <c r="R76" i="4"/>
  <c r="P76" i="4"/>
  <c r="C76" i="4"/>
  <c r="R75" i="4"/>
  <c r="P75" i="4"/>
  <c r="C75" i="4" s="1"/>
  <c r="R74" i="4"/>
  <c r="P74" i="4"/>
  <c r="C74" i="4"/>
  <c r="R73" i="4"/>
  <c r="P73" i="4"/>
  <c r="C73" i="4" s="1"/>
  <c r="R72" i="4"/>
  <c r="P72" i="4"/>
  <c r="C72" i="4"/>
  <c r="R71" i="4"/>
  <c r="P71" i="4"/>
  <c r="C71" i="4" s="1"/>
  <c r="R70" i="4"/>
  <c r="P70" i="4"/>
  <c r="C70" i="4"/>
  <c r="R69" i="4"/>
  <c r="P69" i="4"/>
  <c r="C69" i="4" s="1"/>
  <c r="R68" i="4"/>
  <c r="P68" i="4"/>
  <c r="C68" i="4"/>
  <c r="R67" i="4"/>
  <c r="P67" i="4"/>
  <c r="C67" i="4" s="1"/>
  <c r="R66" i="4"/>
  <c r="P66" i="4"/>
  <c r="C66" i="4"/>
  <c r="R65" i="4"/>
  <c r="P65" i="4"/>
  <c r="C65" i="4" s="1"/>
  <c r="R64" i="4"/>
  <c r="P64" i="4"/>
  <c r="C64" i="4"/>
  <c r="R63" i="4"/>
  <c r="P63" i="4"/>
  <c r="C63" i="4" s="1"/>
  <c r="R62" i="4"/>
  <c r="P62" i="4"/>
  <c r="C62" i="4"/>
  <c r="R61" i="4"/>
  <c r="P61" i="4"/>
  <c r="C61" i="4" s="1"/>
  <c r="R60" i="4"/>
  <c r="P60" i="4"/>
  <c r="C60" i="4"/>
  <c r="R59" i="4"/>
  <c r="P59" i="4"/>
  <c r="C59" i="4" s="1"/>
  <c r="R58" i="4"/>
  <c r="P58" i="4"/>
  <c r="C58" i="4"/>
  <c r="R57" i="4"/>
  <c r="P57" i="4"/>
  <c r="C57" i="4" s="1"/>
  <c r="R56" i="4"/>
  <c r="P56" i="4"/>
  <c r="C56" i="4"/>
  <c r="R55" i="4"/>
  <c r="P55" i="4"/>
  <c r="C55" i="4" s="1"/>
  <c r="R54" i="4"/>
  <c r="P54" i="4"/>
  <c r="C54" i="4"/>
  <c r="R53" i="4"/>
  <c r="P53" i="4"/>
  <c r="C53" i="4" s="1"/>
  <c r="R52" i="4"/>
  <c r="P52" i="4"/>
  <c r="C52" i="4"/>
  <c r="R51" i="4"/>
  <c r="P51" i="4"/>
  <c r="C51" i="4" s="1"/>
  <c r="R50" i="4"/>
  <c r="P50" i="4"/>
  <c r="C50" i="4"/>
  <c r="R49" i="4"/>
  <c r="P49" i="4"/>
  <c r="C49" i="4" s="1"/>
  <c r="R48" i="4"/>
  <c r="P48" i="4"/>
  <c r="C48" i="4"/>
  <c r="R47" i="4"/>
  <c r="P47" i="4"/>
  <c r="C47" i="4" s="1"/>
  <c r="R46" i="4"/>
  <c r="P46" i="4"/>
  <c r="C46" i="4"/>
  <c r="R45" i="4"/>
  <c r="P45" i="4"/>
  <c r="C45" i="4" s="1"/>
  <c r="R44" i="4"/>
  <c r="P44" i="4"/>
  <c r="C44" i="4"/>
  <c r="R43" i="4"/>
  <c r="P43" i="4"/>
  <c r="C43" i="4" s="1"/>
  <c r="R42" i="4"/>
  <c r="P42" i="4"/>
  <c r="C42" i="4"/>
  <c r="R41" i="4"/>
  <c r="P41" i="4"/>
  <c r="C41" i="4" s="1"/>
  <c r="R40" i="4"/>
  <c r="P40" i="4"/>
  <c r="C40" i="4"/>
  <c r="R39" i="4"/>
  <c r="P39" i="4"/>
  <c r="C39" i="4" s="1"/>
  <c r="R38" i="4"/>
  <c r="P38" i="4"/>
  <c r="C38" i="4"/>
  <c r="R37" i="4"/>
  <c r="P37" i="4"/>
  <c r="C37" i="4" s="1"/>
  <c r="R36" i="4"/>
  <c r="P36" i="4"/>
  <c r="C36" i="4"/>
  <c r="R35" i="4"/>
  <c r="P35" i="4"/>
  <c r="C35" i="4" s="1"/>
  <c r="R34" i="4"/>
  <c r="P34" i="4"/>
  <c r="C34" i="4"/>
  <c r="R33" i="4"/>
  <c r="P33" i="4"/>
  <c r="C33" i="4" s="1"/>
  <c r="R32" i="4"/>
  <c r="P32" i="4"/>
  <c r="C32" i="4"/>
  <c r="R31" i="4"/>
  <c r="P31" i="4"/>
  <c r="C31" i="4" s="1"/>
  <c r="R30" i="4"/>
  <c r="P30" i="4"/>
  <c r="C30" i="4"/>
  <c r="R29" i="4"/>
  <c r="P29" i="4"/>
  <c r="C29" i="4" s="1"/>
  <c r="R28" i="4"/>
  <c r="P28" i="4"/>
  <c r="C28" i="4"/>
  <c r="R27" i="4"/>
  <c r="P27" i="4"/>
  <c r="C27" i="4" s="1"/>
  <c r="R26" i="4"/>
  <c r="P26" i="4"/>
  <c r="C26" i="4"/>
  <c r="R25" i="4"/>
  <c r="P25" i="4"/>
  <c r="C25" i="4" s="1"/>
  <c r="R24" i="4"/>
  <c r="P24" i="4"/>
  <c r="C24" i="4"/>
  <c r="R23" i="4"/>
  <c r="P23" i="4"/>
  <c r="C23" i="4" s="1"/>
  <c r="R22" i="4"/>
  <c r="P22" i="4"/>
  <c r="C22" i="4"/>
  <c r="R21" i="4"/>
  <c r="P21" i="4"/>
  <c r="C21" i="4" s="1"/>
  <c r="R20" i="4"/>
  <c r="P20" i="4"/>
  <c r="C20" i="4"/>
  <c r="R19" i="4"/>
  <c r="P19" i="4"/>
  <c r="C19" i="4" s="1"/>
  <c r="R18" i="4"/>
  <c r="P18" i="4"/>
  <c r="C18" i="4"/>
  <c r="R17" i="4"/>
  <c r="P17" i="4"/>
  <c r="C17" i="4" s="1"/>
  <c r="R16" i="4"/>
  <c r="P16" i="4"/>
  <c r="C16" i="4"/>
  <c r="R15" i="4"/>
  <c r="P15" i="4"/>
  <c r="C15" i="4" s="1"/>
  <c r="R14" i="4"/>
  <c r="P14" i="4"/>
  <c r="C14" i="4"/>
  <c r="R13" i="4"/>
  <c r="P13" i="4"/>
  <c r="C13" i="4" s="1"/>
  <c r="R12" i="4"/>
  <c r="P12" i="4"/>
  <c r="C12" i="4"/>
  <c r="R11" i="4"/>
  <c r="R172" i="4" s="1"/>
  <c r="P11" i="4"/>
  <c r="P172" i="4" s="1"/>
  <c r="D81" i="3"/>
  <c r="D79" i="3"/>
  <c r="D77" i="3"/>
  <c r="D67" i="3"/>
  <c r="D63" i="3"/>
  <c r="D61" i="3"/>
  <c r="D65" i="3" s="1"/>
  <c r="D69" i="3" s="1"/>
  <c r="D52" i="3"/>
  <c r="D50" i="3"/>
  <c r="D54" i="3" s="1"/>
  <c r="D40" i="3"/>
  <c r="D36" i="3"/>
  <c r="D38" i="3" s="1"/>
  <c r="D42" i="3" s="1"/>
  <c r="D34" i="3"/>
  <c r="D27" i="3"/>
  <c r="D25" i="3"/>
  <c r="D23" i="3"/>
  <c r="D13" i="3"/>
  <c r="D9" i="3"/>
  <c r="D7" i="3"/>
  <c r="D11" i="3" s="1"/>
  <c r="D15" i="3" s="1"/>
  <c r="G226" i="2"/>
  <c r="G224" i="2"/>
  <c r="G222" i="2"/>
  <c r="G218" i="2"/>
  <c r="E208" i="2"/>
  <c r="G207" i="2"/>
  <c r="G206" i="2"/>
  <c r="G205" i="2"/>
  <c r="G204" i="2"/>
  <c r="G203" i="2"/>
  <c r="G202" i="2"/>
  <c r="G201" i="2"/>
  <c r="G200" i="2"/>
  <c r="G199" i="2"/>
  <c r="G198" i="2"/>
  <c r="G197" i="2"/>
  <c r="G208" i="2" s="1"/>
  <c r="G196" i="2"/>
  <c r="G192" i="2"/>
  <c r="G191" i="2"/>
  <c r="G190" i="2"/>
  <c r="G189" i="2"/>
  <c r="G188" i="2"/>
  <c r="E184" i="2"/>
  <c r="G184" i="2" s="1"/>
  <c r="E183" i="2"/>
  <c r="G183" i="2" s="1"/>
  <c r="E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58" i="2"/>
  <c r="G157" i="2"/>
  <c r="G156" i="2"/>
  <c r="G155" i="2"/>
  <c r="G154" i="2"/>
  <c r="G150" i="2"/>
  <c r="E150" i="2"/>
  <c r="G149" i="2"/>
  <c r="E149" i="2"/>
  <c r="G147" i="2"/>
  <c r="E147" i="2"/>
  <c r="G146" i="2"/>
  <c r="E146" i="2"/>
  <c r="G144" i="2"/>
  <c r="E144" i="2"/>
  <c r="G143" i="2"/>
  <c r="E143" i="2"/>
  <c r="G141" i="2"/>
  <c r="E141" i="2"/>
  <c r="G140" i="2"/>
  <c r="E140" i="2"/>
  <c r="G138" i="2"/>
  <c r="E138" i="2"/>
  <c r="G137" i="2"/>
  <c r="E137" i="2"/>
  <c r="G135" i="2"/>
  <c r="E135" i="2"/>
  <c r="G134" i="2"/>
  <c r="E134" i="2"/>
  <c r="G132" i="2"/>
  <c r="E132" i="2"/>
  <c r="G131" i="2"/>
  <c r="E131" i="2"/>
  <c r="G129" i="2"/>
  <c r="E129" i="2"/>
  <c r="G128" i="2"/>
  <c r="E128" i="2"/>
  <c r="G126" i="2"/>
  <c r="E126" i="2"/>
  <c r="G125" i="2"/>
  <c r="E125" i="2"/>
  <c r="G123" i="2"/>
  <c r="E123" i="2"/>
  <c r="G122" i="2"/>
  <c r="E122" i="2"/>
  <c r="E152" i="2" s="1"/>
  <c r="E159" i="2" s="1"/>
  <c r="E113" i="2"/>
  <c r="G112" i="2"/>
  <c r="G111" i="2"/>
  <c r="G110" i="2"/>
  <c r="G109" i="2"/>
  <c r="G108" i="2"/>
  <c r="G107" i="2"/>
  <c r="G106" i="2"/>
  <c r="G105" i="2"/>
  <c r="G104" i="2"/>
  <c r="G103" i="2"/>
  <c r="G102" i="2"/>
  <c r="G113" i="2" s="1"/>
  <c r="G101" i="2"/>
  <c r="G97" i="2"/>
  <c r="G96" i="2"/>
  <c r="G95" i="2"/>
  <c r="G94" i="2"/>
  <c r="G93" i="2"/>
  <c r="E89" i="2"/>
  <c r="G89" i="2" s="1"/>
  <c r="E88" i="2"/>
  <c r="G88" i="2" s="1"/>
  <c r="E87" i="2"/>
  <c r="G87" i="2" s="1"/>
  <c r="E86" i="2"/>
  <c r="G86" i="2" s="1"/>
  <c r="E85" i="2"/>
  <c r="G85" i="2" s="1"/>
  <c r="E84" i="2"/>
  <c r="G84" i="2" s="1"/>
  <c r="E83" i="2"/>
  <c r="G83" i="2" s="1"/>
  <c r="E82" i="2"/>
  <c r="G82" i="2" s="1"/>
  <c r="E80" i="2"/>
  <c r="G80" i="2" s="1"/>
  <c r="E79" i="2"/>
  <c r="G79" i="2" s="1"/>
  <c r="E78" i="2"/>
  <c r="G78" i="2" s="1"/>
  <c r="E77" i="2"/>
  <c r="G77" i="2" s="1"/>
  <c r="E76" i="2"/>
  <c r="G76" i="2" s="1"/>
  <c r="E75" i="2"/>
  <c r="G75" i="2" s="1"/>
  <c r="E74" i="2"/>
  <c r="G74" i="2" s="1"/>
  <c r="E73" i="2"/>
  <c r="G73" i="2" s="1"/>
  <c r="E71" i="2"/>
  <c r="G71" i="2" s="1"/>
  <c r="E70" i="2"/>
  <c r="G70" i="2" s="1"/>
  <c r="E69" i="2"/>
  <c r="G69" i="2" s="1"/>
  <c r="E68" i="2"/>
  <c r="G68" i="2" s="1"/>
  <c r="E67" i="2"/>
  <c r="G67" i="2" s="1"/>
  <c r="E66" i="2"/>
  <c r="G66" i="2" s="1"/>
  <c r="E65" i="2"/>
  <c r="G65" i="2" s="1"/>
  <c r="E64" i="2"/>
  <c r="G64" i="2" s="1"/>
  <c r="E62" i="2"/>
  <c r="G62" i="2" s="1"/>
  <c r="E61" i="2"/>
  <c r="G61" i="2" s="1"/>
  <c r="E60" i="2"/>
  <c r="G60" i="2" s="1"/>
  <c r="E59" i="2"/>
  <c r="G59" i="2" s="1"/>
  <c r="E58" i="2"/>
  <c r="G58" i="2" s="1"/>
  <c r="E57" i="2"/>
  <c r="G57" i="2" s="1"/>
  <c r="E56" i="2"/>
  <c r="G56" i="2" s="1"/>
  <c r="E55" i="2"/>
  <c r="G55" i="2" s="1"/>
  <c r="E53" i="2"/>
  <c r="G53" i="2" s="1"/>
  <c r="E52" i="2"/>
  <c r="G52" i="2" s="1"/>
  <c r="E51" i="2"/>
  <c r="G51" i="2" s="1"/>
  <c r="E50" i="2"/>
  <c r="G50" i="2" s="1"/>
  <c r="E49" i="2"/>
  <c r="G49" i="2" s="1"/>
  <c r="E48" i="2"/>
  <c r="G48" i="2" s="1"/>
  <c r="E47" i="2"/>
  <c r="G47" i="2" s="1"/>
  <c r="E46" i="2"/>
  <c r="G46" i="2" s="1"/>
  <c r="E44" i="2"/>
  <c r="G44" i="2" s="1"/>
  <c r="E43" i="2"/>
  <c r="G43" i="2" s="1"/>
  <c r="E42" i="2"/>
  <c r="G42" i="2" s="1"/>
  <c r="E41" i="2"/>
  <c r="G41" i="2" s="1"/>
  <c r="E40" i="2"/>
  <c r="G40" i="2" s="1"/>
  <c r="E39" i="2"/>
  <c r="G39" i="2" s="1"/>
  <c r="E38" i="2"/>
  <c r="G38" i="2" s="1"/>
  <c r="E37" i="2"/>
  <c r="G37" i="2" s="1"/>
  <c r="E35" i="2"/>
  <c r="G35" i="2" s="1"/>
  <c r="E34" i="2"/>
  <c r="G34" i="2" s="1"/>
  <c r="E33" i="2"/>
  <c r="G33" i="2" s="1"/>
  <c r="E32" i="2"/>
  <c r="G32" i="2" s="1"/>
  <c r="E31" i="2"/>
  <c r="G31" i="2" s="1"/>
  <c r="E30" i="2"/>
  <c r="G30" i="2" s="1"/>
  <c r="E29" i="2"/>
  <c r="G29" i="2" s="1"/>
  <c r="E28" i="2"/>
  <c r="G28" i="2" s="1"/>
  <c r="E26" i="2"/>
  <c r="G26" i="2" s="1"/>
  <c r="E25" i="2"/>
  <c r="G25" i="2" s="1"/>
  <c r="E24" i="2"/>
  <c r="G24" i="2" s="1"/>
  <c r="G23" i="2"/>
  <c r="E23" i="2"/>
  <c r="G22" i="2"/>
  <c r="E22" i="2"/>
  <c r="G21" i="2"/>
  <c r="E21" i="2"/>
  <c r="G20" i="2"/>
  <c r="E20" i="2"/>
  <c r="G19" i="2"/>
  <c r="E19" i="2"/>
  <c r="G17" i="2"/>
  <c r="E17" i="2"/>
  <c r="G16" i="2"/>
  <c r="E16" i="2"/>
  <c r="G15" i="2"/>
  <c r="E15" i="2"/>
  <c r="G14" i="2"/>
  <c r="E14" i="2"/>
  <c r="G13" i="2"/>
  <c r="E13" i="2"/>
  <c r="G12" i="2"/>
  <c r="E12" i="2"/>
  <c r="G11" i="2"/>
  <c r="E11" i="2"/>
  <c r="G10" i="2"/>
  <c r="G91" i="2" s="1"/>
  <c r="G98" i="2" s="1"/>
  <c r="G115" i="2" s="1"/>
  <c r="E10" i="2"/>
  <c r="E91" i="2" s="1"/>
  <c r="E98" i="2" s="1"/>
  <c r="D44" i="3" l="1"/>
  <c r="D46" i="3" s="1"/>
  <c r="E176" i="2"/>
  <c r="E115" i="2"/>
  <c r="D17" i="3"/>
  <c r="D19" i="3" s="1"/>
  <c r="G186" i="2"/>
  <c r="G193" i="2" s="1"/>
  <c r="G210" i="2" s="1"/>
  <c r="G152" i="2"/>
  <c r="G159" i="2" s="1"/>
  <c r="G176" i="2" s="1"/>
  <c r="G216" i="2" s="1"/>
  <c r="G220" i="2" s="1"/>
  <c r="G230" i="2" s="1"/>
  <c r="G174" i="2"/>
  <c r="C11" i="4"/>
  <c r="C172" i="4" s="1"/>
  <c r="E186" i="2"/>
  <c r="E193" i="2" s="1"/>
  <c r="E210" i="2" l="1"/>
  <c r="D71" i="3"/>
  <c r="D73" i="3" s="1"/>
</calcChain>
</file>

<file path=xl/sharedStrings.xml><?xml version="1.0" encoding="utf-8"?>
<sst xmlns="http://schemas.openxmlformats.org/spreadsheetml/2006/main" count="589" uniqueCount="203">
  <si>
    <t>From&gt;&gt;</t>
  </si>
  <si>
    <t>Internal Audit Department</t>
  </si>
  <si>
    <t>User&gt;&gt;</t>
  </si>
  <si>
    <t>Station and Depot Operations</t>
  </si>
  <si>
    <t>Date of issue&gt;&gt;</t>
  </si>
  <si>
    <t>Objective</t>
  </si>
  <si>
    <r>
      <rPr>
        <sz val="11"/>
        <color theme="1"/>
        <rFont val="Corbel"/>
      </rPr>
      <t xml:space="preserve">The objective of this report is to present the </t>
    </r>
    <r>
      <rPr>
        <b/>
        <sz val="11"/>
        <color theme="1"/>
        <rFont val="Corbel"/>
      </rPr>
      <t>Sales/Cash</t>
    </r>
    <r>
      <rPr>
        <sz val="11"/>
        <color theme="1"/>
        <rFont val="Corbel"/>
      </rPr>
      <t xml:space="preserve"> and </t>
    </r>
    <r>
      <rPr>
        <b/>
        <sz val="11"/>
        <color theme="1"/>
        <rFont val="Corbel"/>
      </rPr>
      <t>Stock position</t>
    </r>
    <r>
      <rPr>
        <sz val="11"/>
        <color theme="1"/>
        <rFont val="Corbel"/>
      </rPr>
      <t xml:space="preserve"> of the Station on a weekly basis.</t>
    </r>
  </si>
  <si>
    <t>Instruction</t>
  </si>
  <si>
    <r>
      <rPr>
        <sz val="11"/>
        <color theme="1"/>
        <rFont val="Corbel"/>
      </rPr>
      <t xml:space="preserve">1. This report should be completed and submitted on a weekly basis.
For example, the report for the week should be submitted by Monday of the following week.
2. This template is divided into the following sheets:
</t>
    </r>
    <r>
      <rPr>
        <b/>
        <sz val="11"/>
        <color theme="1"/>
        <rFont val="Corbel"/>
      </rPr>
      <t>Sheet 2 (Sales/Cash Position)</t>
    </r>
    <r>
      <rPr>
        <sz val="11"/>
        <color theme="1"/>
        <rFont val="Corbel"/>
      </rPr>
      <t xml:space="preserve"> contains the Sales/Cash position reconciliation.
</t>
    </r>
    <r>
      <rPr>
        <b/>
        <sz val="11"/>
        <color theme="1"/>
        <rFont val="Corbel"/>
      </rPr>
      <t>Sheet 3 (Stock Position)</t>
    </r>
    <r>
      <rPr>
        <sz val="11"/>
        <color theme="1"/>
        <rFont val="Corbel"/>
      </rPr>
      <t xml:space="preserve"> has figures that are auto-generated from other sheets.
Cells </t>
    </r>
    <r>
      <rPr>
        <b/>
        <sz val="11"/>
        <color theme="1"/>
        <rFont val="Corbel"/>
      </rPr>
      <t>highlighted in "Yellow"</t>
    </r>
    <r>
      <rPr>
        <sz val="11"/>
        <color theme="1"/>
        <rFont val="Corbel"/>
      </rPr>
      <t xml:space="preserve"> are formula cells.
..PLEASE do not bother to edit such cells.</t>
    </r>
  </si>
  <si>
    <t>Audit Contact</t>
  </si>
  <si>
    <r>
      <rPr>
        <sz val="11"/>
        <color theme="1"/>
        <rFont val="Corbel"/>
      </rPr>
      <t xml:space="preserve">All the sheets must be filled in to show the </t>
    </r>
    <r>
      <rPr>
        <b/>
        <sz val="11"/>
        <color theme="1"/>
        <rFont val="Corbel"/>
      </rPr>
      <t>Cash and Stock Position</t>
    </r>
    <r>
      <rPr>
        <sz val="11"/>
        <color theme="1"/>
        <rFont val="Corbel"/>
      </rPr>
      <t xml:space="preserve"> of the Station on a weekly basis.</t>
    </r>
  </si>
  <si>
    <t xml:space="preserve"> STATION NAME: </t>
  </si>
  <si>
    <t/>
  </si>
  <si>
    <t>CASH/SALES RECONCILIATION AS  AT 01/03/2026 - 18/03/2026</t>
  </si>
  <si>
    <t>Period of Audit</t>
  </si>
  <si>
    <t>01/03/2026- 18/03/2026</t>
  </si>
  <si>
    <t>1</t>
  </si>
  <si>
    <t>PMS Sales for the Period</t>
  </si>
  <si>
    <t>Meter reading</t>
  </si>
  <si>
    <t>Opening (01/03/2026)</t>
  </si>
  <si>
    <t>Closing (18/03/2026)</t>
  </si>
  <si>
    <t xml:space="preserve">    </t>
  </si>
  <si>
    <t>Price</t>
  </si>
  <si>
    <t>Amount</t>
  </si>
  <si>
    <t>PMS 1</t>
  </si>
  <si>
    <t>PMS 2</t>
  </si>
  <si>
    <t>PMS 3</t>
  </si>
  <si>
    <t>PMS 4</t>
  </si>
  <si>
    <t>PMS 5</t>
  </si>
  <si>
    <t>PMS 6</t>
  </si>
  <si>
    <t>PMS 7</t>
  </si>
  <si>
    <t>PMS 8</t>
  </si>
  <si>
    <t>A</t>
  </si>
  <si>
    <t>Total PMS sales for the period</t>
  </si>
  <si>
    <t xml:space="preserve"> B</t>
  </si>
  <si>
    <t>Less Pourback on PMS for the Period</t>
  </si>
  <si>
    <t>C=A-B</t>
  </si>
  <si>
    <t>Net PMS sales for the period</t>
  </si>
  <si>
    <t>Less Consumption on PMS</t>
  </si>
  <si>
    <t>Manager Car</t>
  </si>
  <si>
    <t>D</t>
  </si>
  <si>
    <t>Total Consumption of PMS for the Period</t>
  </si>
  <si>
    <t>E=C-D</t>
  </si>
  <si>
    <t>Expected PMS Sales for the period</t>
  </si>
  <si>
    <t>2</t>
  </si>
  <si>
    <t>AGO Sales for the Period</t>
  </si>
  <si>
    <t>AGO 1</t>
  </si>
  <si>
    <t>AGO 2</t>
  </si>
  <si>
    <t>Total AGO sales for the period</t>
  </si>
  <si>
    <t>Less Pourback on AGO for the Period</t>
  </si>
  <si>
    <t>Net AGO sales for the period</t>
  </si>
  <si>
    <t>Less Consumption on AGO</t>
  </si>
  <si>
    <t>Generator</t>
  </si>
  <si>
    <t>Total Consumption of AGO for the Period</t>
  </si>
  <si>
    <t>Expected AGO Sales for the period</t>
  </si>
  <si>
    <t>3</t>
  </si>
  <si>
    <t>DPK Sales for the Period</t>
  </si>
  <si>
    <t>DPK 1</t>
  </si>
  <si>
    <t>DPK 2</t>
  </si>
  <si>
    <t>Total DPK sales for the period</t>
  </si>
  <si>
    <t>Less Pourback on DPK for the Period</t>
  </si>
  <si>
    <t>Net DPK sales for the period</t>
  </si>
  <si>
    <t>Less Consumption on DPK</t>
  </si>
  <si>
    <t>Total Consumption of DPK for the Period</t>
  </si>
  <si>
    <t>Expected DPK Sales for the period</t>
  </si>
  <si>
    <t>SALES/LODGEMENT RECONCIALATION 01/03/2026-18/03/2026</t>
  </si>
  <si>
    <t xml:space="preserve">Expected Sales from Products for the Period </t>
  </si>
  <si>
    <t>Less expenses for the Period(Approved)</t>
  </si>
  <si>
    <t>Net Expected Sales for the Period</t>
  </si>
  <si>
    <t>Total lodgement for the Period</t>
  </si>
  <si>
    <t>Total POS for the Period</t>
  </si>
  <si>
    <t>Opening Balance of Debit/Credit customers</t>
  </si>
  <si>
    <t>Closing Balance of Debit/Credit customers</t>
  </si>
  <si>
    <t>Overage/Shortage</t>
  </si>
  <si>
    <t>AUDIT REPORT FOR :   STATION</t>
  </si>
  <si>
    <t>STOCK POSITION FOR THE PERIOD (01/03/2026- 18/03/2026)</t>
  </si>
  <si>
    <t>PMS STOCK POSITION</t>
  </si>
  <si>
    <t>Per Manager's Computation</t>
  </si>
  <si>
    <t>OPENING STOCK (01/03/2026)</t>
  </si>
  <si>
    <t xml:space="preserve">SUPPLIES DURING THE PERIOD </t>
  </si>
  <si>
    <t>STOCK AVAILABLE FOR SALE</t>
  </si>
  <si>
    <t>CLOSING STOCK (18/03/2026)</t>
  </si>
  <si>
    <t>QUANTITY SOLD</t>
  </si>
  <si>
    <t xml:space="preserve">QUANTITY DISPENSED </t>
  </si>
  <si>
    <t>OVERAGE/(SHORTAGE)</t>
  </si>
  <si>
    <t>EXPECTED LITRES</t>
  </si>
  <si>
    <t>ACTUAL LITRES RECEIVED</t>
  </si>
  <si>
    <t>OVERAGE/(SHORTAGE) - TRUCK DRIVER</t>
  </si>
  <si>
    <t>AGO STOCK POSITION</t>
  </si>
  <si>
    <t>DPK STOCK POSITION</t>
  </si>
  <si>
    <t>Name of Station</t>
  </si>
  <si>
    <t xml:space="preserve"> BRANCH</t>
  </si>
  <si>
    <t>Date of Preparation</t>
  </si>
  <si>
    <t>For&gt;&gt;</t>
  </si>
  <si>
    <t>Internal Audit</t>
  </si>
  <si>
    <t>SALES DATE</t>
  </si>
  <si>
    <t>TOTAL SALES</t>
  </si>
  <si>
    <t>CASH SALES</t>
  </si>
  <si>
    <t>CREDIT SALES</t>
  </si>
  <si>
    <t>ANALYSIS OF POS BY BANKS</t>
  </si>
  <si>
    <t>P.O.S</t>
  </si>
  <si>
    <t>EXPENSES</t>
  </si>
  <si>
    <t>EXPECTED LODGEMENT</t>
  </si>
  <si>
    <t>ACTUAL LODGEMENT</t>
  </si>
  <si>
    <t>TELLER NO</t>
  </si>
  <si>
    <t>LODGEMENT DATE</t>
  </si>
  <si>
    <t>AREA MANAGERS COMMENT</t>
  </si>
  <si>
    <t>STANBIC</t>
  </si>
  <si>
    <t xml:space="preserve">STANBIC </t>
  </si>
  <si>
    <t>Total POS</t>
  </si>
  <si>
    <t>POS</t>
  </si>
  <si>
    <t>E-BILL</t>
  </si>
  <si>
    <t>TOTAL AMOUNT</t>
  </si>
  <si>
    <t>PMS CONSUMPTION  AT DIFFERENT PRICES</t>
  </si>
  <si>
    <t>Date</t>
  </si>
  <si>
    <t>Rate (N)</t>
  </si>
  <si>
    <t>Area Manager Car</t>
  </si>
  <si>
    <t>Army</t>
  </si>
  <si>
    <t>DPR</t>
  </si>
  <si>
    <t>DSS OFFICIALS</t>
  </si>
  <si>
    <t>EDSTMA</t>
  </si>
  <si>
    <t>LOGISTICS</t>
  </si>
  <si>
    <t>Logistics Truck</t>
  </si>
  <si>
    <t>MDS Logistics Truck</t>
  </si>
  <si>
    <t>Others</t>
  </si>
  <si>
    <t>Police</t>
  </si>
  <si>
    <t>Police/Army</t>
  </si>
  <si>
    <t>Pour Back</t>
  </si>
  <si>
    <t>Pour Back After Pump Repairs</t>
  </si>
  <si>
    <t>Regional Manager Car</t>
  </si>
  <si>
    <t>Security Agents</t>
  </si>
  <si>
    <t>Vigilante</t>
  </si>
  <si>
    <t>Weight and Measures</t>
  </si>
  <si>
    <t>Pour back</t>
  </si>
  <si>
    <t>Total</t>
  </si>
  <si>
    <t>AGO CONSUMPTION  AT DIFFERENT PRICES</t>
  </si>
  <si>
    <t>DPK CONSUMPTION  AT DIFFERENT PRICES</t>
  </si>
  <si>
    <t>PRODUCT RECEIVED FOR THE MONTH</t>
  </si>
  <si>
    <t xml:space="preserve">LOADING </t>
  </si>
  <si>
    <t>RECEIPT</t>
  </si>
  <si>
    <t>PMS</t>
  </si>
  <si>
    <t>AGO</t>
  </si>
  <si>
    <t>DPK</t>
  </si>
  <si>
    <t>DATE</t>
  </si>
  <si>
    <t>EXPECTED</t>
  </si>
  <si>
    <t>ACTUAL</t>
  </si>
  <si>
    <t>TOTAL</t>
  </si>
  <si>
    <t>EXPENSES FOR THE MONTH</t>
  </si>
  <si>
    <t>S/N</t>
  </si>
  <si>
    <t xml:space="preserve">PURPOSE  OF EXPENSES </t>
  </si>
  <si>
    <t xml:space="preserve"> AMOUNT (=N=)</t>
  </si>
  <si>
    <t>APPROVED BY:</t>
  </si>
  <si>
    <t>Opening Stock</t>
  </si>
  <si>
    <t>Actual Producted Supplied</t>
  </si>
  <si>
    <t>Quantity sold</t>
  </si>
  <si>
    <t>Closing Stock</t>
  </si>
  <si>
    <t>CORPORATE CUSTOMERS STATEMENT FOR THE MONTH</t>
  </si>
  <si>
    <t>CUSTOMER'S NAME</t>
  </si>
  <si>
    <t>OPENING BALANCE</t>
  </si>
  <si>
    <t xml:space="preserve">LODGEMENT DATE </t>
  </si>
  <si>
    <t>BANK</t>
  </si>
  <si>
    <t>AMOUNT LODGED</t>
  </si>
  <si>
    <t>VALUE OF PRODUCT SOLD</t>
  </si>
  <si>
    <t xml:space="preserve">CLOSING BALANCE </t>
  </si>
  <si>
    <t xml:space="preserve">CASTRO OIL AS AT 18/03/2026 - </t>
  </si>
  <si>
    <t>ITEM</t>
  </si>
  <si>
    <t>Litre</t>
  </si>
  <si>
    <t xml:space="preserve">OPENING STOCK </t>
  </si>
  <si>
    <t>PURCHASE</t>
  </si>
  <si>
    <t>SALES (QUANTITY)</t>
  </si>
  <si>
    <t>CLOSING STOCK</t>
  </si>
  <si>
    <t>PRICE (N)</t>
  </si>
  <si>
    <t>AMOUNT</t>
  </si>
  <si>
    <t>POWER RACING 40 10W-50</t>
  </si>
  <si>
    <t>MAGNATEC 5W-30 4L</t>
  </si>
  <si>
    <t>ATF DEX II</t>
  </si>
  <si>
    <t>RAINOIL SUPREME 1L</t>
  </si>
  <si>
    <t>GT X ESSENTIAL 20W-50 1L</t>
  </si>
  <si>
    <t>GT X ESSENTIAL 15W-40 4L</t>
  </si>
  <si>
    <t>GT X ESSENTIAL 15W-40 5L</t>
  </si>
  <si>
    <t>MOTOR OIL SAE 40</t>
  </si>
  <si>
    <t>INJECTOR CLEANER</t>
  </si>
  <si>
    <t>BRAKE FLUID DOT 4 0.5L</t>
  </si>
  <si>
    <t>POWER MAX HD-40 (RETAIL OIL)</t>
  </si>
  <si>
    <t>MAGNATEC 5W-30 A5</t>
  </si>
  <si>
    <t>RAINOIL UNIVERSAL SAE 40 25L</t>
  </si>
  <si>
    <t>BRAKE FLUID DOT 4 0.2L</t>
  </si>
  <si>
    <t>RADICOOL</t>
  </si>
  <si>
    <t>MAGNATEC 5W-30 1L</t>
  </si>
  <si>
    <t>GT X ESSENTIAL 20W-50 4L</t>
  </si>
  <si>
    <t>EDGE PROFESSIONAL</t>
  </si>
  <si>
    <t>RAINOIL SUPREME 4L</t>
  </si>
  <si>
    <t>RAINOIL UNIVERSAL SAE 40 4L</t>
  </si>
  <si>
    <t>MAGNATEC 10W-40 4L</t>
  </si>
  <si>
    <t>LODGED</t>
  </si>
  <si>
    <t>Prepared By</t>
  </si>
  <si>
    <t>Zenith Bank</t>
  </si>
  <si>
    <t>Diamond Bank</t>
  </si>
  <si>
    <t>Stanbic Bank</t>
  </si>
  <si>
    <t>GT Bank</t>
  </si>
  <si>
    <t>Providus Bank</t>
  </si>
  <si>
    <t>Access Bank</t>
  </si>
  <si>
    <t>Fidelity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</si>
</sst>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orbel"/>
    </font>
    <font>
      <sz val="11"/>
      <color theme="1"/>
      <name val="Corbel"/>
    </font>
    <font>
      <b/>
      <sz val="11"/>
      <color rgb="FFFF0000"/>
      <name val="Corbel"/>
    </font>
    <font>
      <b/>
      <sz val="12"/>
      <color theme="1"/>
      <name val="Corbel"/>
    </font>
    <font>
      <b/>
      <sz val="10"/>
      <color theme="1"/>
      <name val="Corbel"/>
    </font>
    <font>
      <sz val="10"/>
      <color theme="1"/>
      <name val="Corbel"/>
    </font>
    <font>
      <b/>
      <sz val="14"/>
      <color theme="1"/>
      <name val="Arial"/>
    </font>
    <font>
      <b/>
      <sz val="11"/>
      <color theme="1"/>
      <name val="Arial"/>
    </font>
    <font>
      <sz val="11"/>
      <color theme="1"/>
      <name val="Arial"/>
    </font>
    <font>
      <b/>
      <sz val="14"/>
      <color theme="1"/>
      <name val="Calibri"/>
    </font>
    <font>
      <b/>
      <sz val="11"/>
      <color theme="1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FFFF00"/>
      </patternFill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17" fontId="2" fillId="0" borderId="2" xfId="0" applyNumberFormat="1" applyFont="1" applyBorder="1" applyAlignment="1">
      <alignment horizontal="left" vertical="top" wrapText="1"/>
    </xf>
    <xf numFmtId="0" fontId="1" fillId="0" borderId="3" xfId="0" applyFont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0" borderId="4" xfId="0" applyFont="1" applyBorder="1" applyAlignment="1">
      <alignment horizontal="left"/>
    </xf>
    <xf numFmtId="0" fontId="2" fillId="0" borderId="5" xfId="0" applyFont="1" applyBorder="1"/>
    <xf numFmtId="0" fontId="2" fillId="0" borderId="6" xfId="0" applyFont="1" applyBorder="1"/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10" xfId="0" applyFont="1" applyBorder="1"/>
    <xf numFmtId="3" fontId="2" fillId="0" borderId="5" xfId="0" applyNumberFormat="1" applyFont="1" applyBorder="1" applyAlignment="1">
      <alignment horizontal="center"/>
    </xf>
    <xf numFmtId="3" fontId="2" fillId="3" borderId="5" xfId="0" applyNumberFormat="1" applyFont="1" applyFill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3" borderId="6" xfId="0" applyNumberFormat="1" applyFont="1" applyFill="1" applyBorder="1" applyAlignment="1">
      <alignment horizontal="center"/>
    </xf>
    <xf numFmtId="0" fontId="3" fillId="3" borderId="4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164" fontId="1" fillId="3" borderId="3" xfId="0" applyNumberFormat="1" applyFont="1" applyFill="1" applyBorder="1" applyAlignment="1">
      <alignment horizontal="center"/>
    </xf>
    <xf numFmtId="164" fontId="1" fillId="3" borderId="11" xfId="0" applyNumberFormat="1" applyFont="1" applyFill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3" borderId="4" xfId="0" applyFont="1" applyFill="1" applyBorder="1" applyAlignment="1">
      <alignment horizontal="left"/>
    </xf>
    <xf numFmtId="0" fontId="4" fillId="3" borderId="11" xfId="0" applyFont="1" applyFill="1" applyBorder="1" applyAlignment="1">
      <alignment horizontal="left"/>
    </xf>
    <xf numFmtId="164" fontId="2" fillId="0" borderId="6" xfId="0" applyNumberFormat="1" applyFont="1" applyBorder="1" applyAlignment="1">
      <alignment horizontal="center"/>
    </xf>
    <xf numFmtId="164" fontId="1" fillId="0" borderId="11" xfId="0" applyNumberFormat="1" applyFont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8" xfId="0" applyFont="1" applyBorder="1"/>
    <xf numFmtId="0" fontId="5" fillId="0" borderId="9" xfId="0" applyFont="1" applyBorder="1" applyAlignment="1">
      <alignment horizontal="center" vertical="center" wrapText="1"/>
    </xf>
    <xf numFmtId="0" fontId="5" fillId="0" borderId="7" xfId="0" applyFont="1" applyBorder="1"/>
    <xf numFmtId="0" fontId="5" fillId="0" borderId="9" xfId="0" applyFont="1" applyBorder="1"/>
    <xf numFmtId="14" fontId="6" fillId="0" borderId="10" xfId="0" applyNumberFormat="1" applyFont="1" applyBorder="1" applyAlignment="1">
      <alignment horizontal="left"/>
    </xf>
    <xf numFmtId="164" fontId="6" fillId="0" borderId="5" xfId="0" applyNumberFormat="1" applyFont="1" applyBorder="1" applyAlignment="1">
      <alignment horizontal="center"/>
    </xf>
    <xf numFmtId="0" fontId="6" fillId="0" borderId="5" xfId="0" applyFont="1" applyBorder="1"/>
    <xf numFmtId="0" fontId="6" fillId="0" borderId="5" xfId="0" applyFont="1" applyBorder="1" applyAlignment="1">
      <alignment horizontal="left"/>
    </xf>
    <xf numFmtId="14" fontId="6" fillId="0" borderId="5" xfId="0" applyNumberFormat="1" applyFont="1" applyBorder="1" applyAlignment="1">
      <alignment horizontal="left"/>
    </xf>
    <xf numFmtId="0" fontId="6" fillId="0" borderId="6" xfId="0" applyFont="1" applyBorder="1"/>
    <xf numFmtId="0" fontId="6" fillId="0" borderId="10" xfId="0" applyFont="1" applyBorder="1"/>
    <xf numFmtId="0" fontId="5" fillId="0" borderId="12" xfId="0" applyFont="1" applyBorder="1" applyAlignment="1">
      <alignment horizontal="left"/>
    </xf>
    <xf numFmtId="164" fontId="5" fillId="0" borderId="13" xfId="0" applyNumberFormat="1" applyFont="1" applyBorder="1" applyAlignment="1">
      <alignment horizontal="center"/>
    </xf>
    <xf numFmtId="0" fontId="5" fillId="0" borderId="0" xfId="0" applyFont="1" applyAlignment="1">
      <alignment horizontal="left"/>
    </xf>
    <xf numFmtId="164" fontId="6" fillId="0" borderId="6" xfId="0" applyNumberFormat="1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164" fontId="5" fillId="0" borderId="14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6" fillId="0" borderId="5" xfId="0" applyNumberFormat="1" applyFont="1" applyBorder="1" applyAlignment="1">
      <alignment horizontal="center"/>
    </xf>
    <xf numFmtId="165" fontId="5" fillId="0" borderId="13" xfId="0" applyNumberFormat="1" applyFont="1" applyBorder="1" applyAlignment="1">
      <alignment horizontal="center"/>
    </xf>
    <xf numFmtId="165" fontId="5" fillId="0" borderId="14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5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left"/>
    </xf>
    <xf numFmtId="0" fontId="5" fillId="0" borderId="13" xfId="0" applyFont="1" applyBorder="1" applyAlignment="1">
      <alignment horizontal="left"/>
    </xf>
    <xf numFmtId="166" fontId="5" fillId="0" borderId="13" xfId="0" applyNumberFormat="1" applyFont="1" applyBorder="1" applyAlignment="1">
      <alignment horizontal="center"/>
    </xf>
    <xf numFmtId="164" fontId="6" fillId="3" borderId="5" xfId="0" applyNumberFormat="1" applyFont="1" applyFill="1" applyBorder="1" applyAlignment="1">
      <alignment horizontal="center"/>
    </xf>
    <xf numFmtId="164" fontId="6" fillId="3" borderId="6" xfId="0" applyNumberFormat="1" applyFont="1" applyFill="1" applyBorder="1" applyAlignment="1">
      <alignment horizontal="center"/>
    </xf>
    <xf numFmtId="0" fontId="8" fillId="0" borderId="15" xfId="0" applyFont="1" applyBorder="1" applyAlignment="1">
      <alignment horizontal="center" vertical="center" wrapText="1"/>
    </xf>
    <xf numFmtId="0" fontId="8" fillId="0" borderId="8" xfId="0" applyFont="1" applyBorder="1"/>
    <xf numFmtId="0" fontId="9" fillId="0" borderId="4" xfId="0" applyFont="1" applyBorder="1" applyAlignment="1">
      <alignment horizontal="center"/>
    </xf>
    <xf numFmtId="0" fontId="9" fillId="0" borderId="5" xfId="0" applyFont="1" applyBorder="1"/>
    <xf numFmtId="164" fontId="9" fillId="3" borderId="11" xfId="0" applyNumberFormat="1" applyFont="1" applyFill="1" applyBorder="1" applyAlignment="1">
      <alignment horizontal="center"/>
    </xf>
    <xf numFmtId="0" fontId="9" fillId="0" borderId="10" xfId="0" applyFont="1" applyBorder="1"/>
    <xf numFmtId="0" fontId="8" fillId="0" borderId="13" xfId="0" applyFont="1" applyBorder="1" applyAlignment="1">
      <alignment horizontal="left"/>
    </xf>
    <xf numFmtId="164" fontId="8" fillId="3" borderId="13" xfId="0" applyNumberFormat="1" applyFont="1" applyFill="1" applyBorder="1" applyAlignment="1">
      <alignment horizontal="center"/>
    </xf>
    <xf numFmtId="164" fontId="8" fillId="3" borderId="14" xfId="0" applyNumberFormat="1" applyFont="1" applyFill="1" applyBorder="1" applyAlignment="1">
      <alignment horizontal="center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/>
    </xf>
    <xf numFmtId="0" fontId="12" fillId="0" borderId="5" xfId="0" applyFont="1" applyBorder="1" applyAlignment="1">
      <alignment horizontal="left"/>
    </xf>
    <xf numFmtId="165" fontId="12" fillId="0" borderId="5" xfId="0" applyNumberFormat="1" applyFont="1" applyBorder="1" applyAlignment="1">
      <alignment horizontal="center"/>
    </xf>
    <xf numFmtId="0" fontId="12" fillId="0" borderId="5" xfId="0" applyFont="1" applyBorder="1"/>
    <xf numFmtId="164" fontId="12" fillId="3" borderId="5" xfId="0" applyNumberFormat="1" applyFont="1" applyFill="1" applyBorder="1" applyAlignment="1">
      <alignment horizontal="center"/>
    </xf>
    <xf numFmtId="164" fontId="12" fillId="0" borderId="5" xfId="0" applyNumberFormat="1" applyFont="1" applyBorder="1" applyAlignment="1">
      <alignment horizontal="center"/>
    </xf>
    <xf numFmtId="165" fontId="12" fillId="3" borderId="5" xfId="0" applyNumberFormat="1" applyFont="1" applyFill="1" applyBorder="1" applyAlignment="1">
      <alignment horizontal="center"/>
    </xf>
    <xf numFmtId="0" fontId="12" fillId="0" borderId="6" xfId="0" applyFont="1" applyBorder="1"/>
    <xf numFmtId="0" fontId="12" fillId="0" borderId="10" xfId="0" applyFont="1" applyBorder="1"/>
    <xf numFmtId="164" fontId="11" fillId="0" borderId="13" xfId="0" applyNumberFormat="1" applyFont="1" applyBorder="1" applyAlignment="1">
      <alignment horizontal="center"/>
    </xf>
    <xf numFmtId="164" fontId="11" fillId="3" borderId="13" xfId="0" applyNumberFormat="1" applyFont="1" applyFill="1" applyBorder="1" applyAlignment="1">
      <alignment horizontal="center"/>
    </xf>
    <xf numFmtId="0" fontId="11" fillId="0" borderId="13" xfId="0" applyFont="1" applyBorder="1" applyAlignment="1">
      <alignment horizontal="left"/>
    </xf>
    <xf numFmtId="165" fontId="11" fillId="3" borderId="13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/>
    </xf>
    <xf numFmtId="0" fontId="10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0"/>
  <sheetViews>
    <sheetView showGridLines="0" view="pageBreakPreview" zoomScale="86" zoomScaleNormal="100" workbookViewId="0">
      <pane ySplit="4" topLeftCell="A5" activePane="bottomLeft" state="frozen"/>
      <selection pane="bottomLeft"/>
    </sheetView>
  </sheetViews>
  <sheetFormatPr defaultRowHeight="15" x14ac:dyDescent="0.25"/>
  <cols>
    <col min="1" max="1" width="10.5703125" customWidth="1"/>
    <col min="2" max="2" width="18.5703125" customWidth="1"/>
    <col min="3" max="3" width="92.7109375" customWidth="1"/>
  </cols>
  <sheetData>
    <row r="2" spans="2:3" x14ac:dyDescent="0.25">
      <c r="B2" s="1" t="s">
        <v>0</v>
      </c>
      <c r="C2" s="2" t="s">
        <v>1</v>
      </c>
    </row>
    <row r="3" spans="2:3" x14ac:dyDescent="0.25">
      <c r="B3" s="1" t="s">
        <v>2</v>
      </c>
      <c r="C3" s="2" t="s">
        <v>3</v>
      </c>
    </row>
    <row r="4" spans="2:3" x14ac:dyDescent="0.25">
      <c r="B4" s="1" t="s">
        <v>4</v>
      </c>
      <c r="C4" s="3">
        <v>43830.958333333328</v>
      </c>
    </row>
    <row r="6" spans="2:3" ht="76.5" customHeight="1" x14ac:dyDescent="0.25">
      <c r="B6" s="1" t="s">
        <v>5</v>
      </c>
      <c r="C6" s="2" t="s">
        <v>6</v>
      </c>
    </row>
    <row r="8" spans="2:3" ht="282.75" customHeight="1" x14ac:dyDescent="0.25">
      <c r="B8" s="1" t="s">
        <v>7</v>
      </c>
      <c r="C8" s="2" t="s">
        <v>8</v>
      </c>
    </row>
    <row r="10" spans="2:3" ht="150.75" customHeight="1" x14ac:dyDescent="0.25">
      <c r="B10" s="1" t="s">
        <v>9</v>
      </c>
      <c r="C10" s="2" t="s">
        <v>10</v>
      </c>
    </row>
  </sheetData>
  <pageMargins left="0.7" right="0.7" top="0.75" bottom="0.75" header="0.3" footer="0.3"/>
  <pageSetup paperSize="9" scale="6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3:G230"/>
  <sheetViews>
    <sheetView showGridLines="0" view="pageBreakPreview" zoomScaleNormal="100" workbookViewId="0">
      <pane ySplit="8" topLeftCell="A209" activePane="bottomLeft" state="frozen"/>
      <selection pane="bottomLeft"/>
    </sheetView>
  </sheetViews>
  <sheetFormatPr defaultRowHeight="15" x14ac:dyDescent="0.25"/>
  <cols>
    <col min="1" max="1" width="9.28515625" customWidth="1"/>
    <col min="2" max="2" width="15.7109375" customWidth="1"/>
    <col min="3" max="3" width="38" customWidth="1"/>
    <col min="4" max="4" width="22.5703125" customWidth="1"/>
    <col min="5" max="5" width="26.5703125" customWidth="1"/>
    <col min="6" max="6" width="15.7109375" customWidth="1"/>
    <col min="7" max="7" width="16.7109375" customWidth="1"/>
    <col min="8" max="8" width="9.5703125" customWidth="1"/>
    <col min="9" max="9" width="9.28515625" customWidth="1"/>
    <col min="10" max="10" width="12.28515625" customWidth="1"/>
    <col min="11" max="11" width="9.28515625" customWidth="1"/>
    <col min="12" max="12" width="11.28515625" customWidth="1"/>
  </cols>
  <sheetData>
    <row r="3" spans="2:7" ht="15.75" customHeight="1" x14ac:dyDescent="0.25">
      <c r="B3" s="4" t="s">
        <v>11</v>
      </c>
      <c r="C3" s="5" t="s">
        <v>12</v>
      </c>
      <c r="D3" s="87" t="s">
        <v>13</v>
      </c>
      <c r="E3" s="87"/>
    </row>
    <row r="5" spans="2:7" x14ac:dyDescent="0.25">
      <c r="B5" s="4" t="s">
        <v>14</v>
      </c>
      <c r="C5" s="87" t="s">
        <v>15</v>
      </c>
      <c r="D5" s="87"/>
      <c r="E5" s="87"/>
      <c r="F5" s="87"/>
    </row>
    <row r="7" spans="2:7" x14ac:dyDescent="0.25">
      <c r="B7" s="6" t="s">
        <v>16</v>
      </c>
      <c r="C7" s="88" t="s">
        <v>17</v>
      </c>
      <c r="D7" s="88"/>
      <c r="E7" s="7"/>
      <c r="F7" s="7"/>
      <c r="G7" s="8"/>
    </row>
    <row r="8" spans="2:7" x14ac:dyDescent="0.25">
      <c r="B8" s="9" t="s">
        <v>18</v>
      </c>
      <c r="C8" s="10" t="s">
        <v>19</v>
      </c>
      <c r="D8" s="10" t="s">
        <v>20</v>
      </c>
      <c r="E8" s="10" t="s">
        <v>21</v>
      </c>
      <c r="F8" s="10" t="s">
        <v>22</v>
      </c>
      <c r="G8" s="11" t="s">
        <v>23</v>
      </c>
    </row>
    <row r="9" spans="2:7" x14ac:dyDescent="0.25">
      <c r="B9" s="12"/>
      <c r="C9" s="7"/>
      <c r="D9" s="7"/>
      <c r="E9" s="7"/>
      <c r="F9" s="7"/>
      <c r="G9" s="8"/>
    </row>
    <row r="10" spans="2:7" x14ac:dyDescent="0.25">
      <c r="B10" s="6" t="s">
        <v>24</v>
      </c>
      <c r="C10" s="13">
        <v>945281</v>
      </c>
      <c r="D10" s="13">
        <v>945479</v>
      </c>
      <c r="E10" s="14">
        <f t="shared" ref="E10:E17" si="0">D10-C10</f>
        <v>198</v>
      </c>
      <c r="F10" s="15">
        <v>850</v>
      </c>
      <c r="G10" s="16">
        <f t="shared" ref="G10:G17" si="1">E10*F10</f>
        <v>168300</v>
      </c>
    </row>
    <row r="11" spans="2:7" x14ac:dyDescent="0.25">
      <c r="B11" s="6" t="s">
        <v>25</v>
      </c>
      <c r="C11" s="13">
        <v>913277</v>
      </c>
      <c r="D11" s="13">
        <v>913278</v>
      </c>
      <c r="E11" s="14">
        <f t="shared" si="0"/>
        <v>1</v>
      </c>
      <c r="F11" s="15">
        <v>850</v>
      </c>
      <c r="G11" s="16">
        <f t="shared" si="1"/>
        <v>850</v>
      </c>
    </row>
    <row r="12" spans="2:7" x14ac:dyDescent="0.25">
      <c r="B12" s="6" t="s">
        <v>26</v>
      </c>
      <c r="C12" s="13">
        <v>1361945</v>
      </c>
      <c r="D12" s="13">
        <v>1365359</v>
      </c>
      <c r="E12" s="14">
        <f t="shared" si="0"/>
        <v>3414</v>
      </c>
      <c r="F12" s="15">
        <v>850</v>
      </c>
      <c r="G12" s="16">
        <f t="shared" si="1"/>
        <v>2901900</v>
      </c>
    </row>
    <row r="13" spans="2:7" x14ac:dyDescent="0.25">
      <c r="B13" s="6" t="s">
        <v>27</v>
      </c>
      <c r="C13" s="13">
        <v>1149584</v>
      </c>
      <c r="D13" s="13">
        <v>1149584</v>
      </c>
      <c r="E13" s="14">
        <f t="shared" si="0"/>
        <v>0</v>
      </c>
      <c r="F13" s="15">
        <v>850</v>
      </c>
      <c r="G13" s="16">
        <f t="shared" si="1"/>
        <v>0</v>
      </c>
    </row>
    <row r="14" spans="2:7" x14ac:dyDescent="0.25">
      <c r="B14" s="6" t="s">
        <v>28</v>
      </c>
      <c r="C14" s="13">
        <v>1213393</v>
      </c>
      <c r="D14" s="13">
        <v>1214846</v>
      </c>
      <c r="E14" s="14">
        <f t="shared" si="0"/>
        <v>1453</v>
      </c>
      <c r="F14" s="15">
        <v>850</v>
      </c>
      <c r="G14" s="16">
        <f t="shared" si="1"/>
        <v>1235050</v>
      </c>
    </row>
    <row r="15" spans="2:7" x14ac:dyDescent="0.25">
      <c r="B15" s="6" t="s">
        <v>29</v>
      </c>
      <c r="C15" s="13">
        <v>1040351</v>
      </c>
      <c r="D15" s="13">
        <v>1041765</v>
      </c>
      <c r="E15" s="14">
        <f t="shared" si="0"/>
        <v>1414</v>
      </c>
      <c r="F15" s="15">
        <v>850</v>
      </c>
      <c r="G15" s="16">
        <f t="shared" si="1"/>
        <v>1201900</v>
      </c>
    </row>
    <row r="16" spans="2:7" x14ac:dyDescent="0.25">
      <c r="B16" s="6" t="s">
        <v>30</v>
      </c>
      <c r="C16" s="13">
        <v>1012522</v>
      </c>
      <c r="D16" s="13">
        <v>1012522</v>
      </c>
      <c r="E16" s="14">
        <f t="shared" si="0"/>
        <v>0</v>
      </c>
      <c r="F16" s="15">
        <v>850</v>
      </c>
      <c r="G16" s="16">
        <f t="shared" si="1"/>
        <v>0</v>
      </c>
    </row>
    <row r="17" spans="2:7" x14ac:dyDescent="0.25">
      <c r="B17" s="6" t="s">
        <v>31</v>
      </c>
      <c r="C17" s="13">
        <v>1145146</v>
      </c>
      <c r="D17" s="13">
        <v>1148333</v>
      </c>
      <c r="E17" s="14">
        <f t="shared" si="0"/>
        <v>3187</v>
      </c>
      <c r="F17" s="15">
        <v>850</v>
      </c>
      <c r="G17" s="16">
        <f t="shared" si="1"/>
        <v>2708950</v>
      </c>
    </row>
    <row r="18" spans="2:7" x14ac:dyDescent="0.25">
      <c r="B18" s="12"/>
      <c r="C18" s="7"/>
      <c r="D18" s="7"/>
      <c r="E18" s="7"/>
      <c r="F18" s="7"/>
      <c r="G18" s="8"/>
    </row>
    <row r="19" spans="2:7" x14ac:dyDescent="0.25">
      <c r="B19" s="6" t="s">
        <v>24</v>
      </c>
      <c r="C19" s="13">
        <v>945479</v>
      </c>
      <c r="D19" s="13">
        <v>947628</v>
      </c>
      <c r="E19" s="14">
        <f t="shared" ref="E19:E26" si="2">D19-C19</f>
        <v>2149</v>
      </c>
      <c r="F19" s="15">
        <v>950</v>
      </c>
      <c r="G19" s="16">
        <f t="shared" ref="G19:G26" si="3">E19*F19</f>
        <v>2041550</v>
      </c>
    </row>
    <row r="20" spans="2:7" x14ac:dyDescent="0.25">
      <c r="B20" s="6" t="s">
        <v>25</v>
      </c>
      <c r="C20" s="13">
        <v>913278</v>
      </c>
      <c r="D20" s="13">
        <v>913374</v>
      </c>
      <c r="E20" s="14">
        <f t="shared" si="2"/>
        <v>96</v>
      </c>
      <c r="F20" s="15">
        <v>950</v>
      </c>
      <c r="G20" s="16">
        <f t="shared" si="3"/>
        <v>91200</v>
      </c>
    </row>
    <row r="21" spans="2:7" x14ac:dyDescent="0.25">
      <c r="B21" s="6" t="s">
        <v>26</v>
      </c>
      <c r="C21" s="13">
        <v>1365359</v>
      </c>
      <c r="D21" s="13">
        <v>1370607</v>
      </c>
      <c r="E21" s="14">
        <f t="shared" si="2"/>
        <v>5248</v>
      </c>
      <c r="F21" s="15">
        <v>950</v>
      </c>
      <c r="G21" s="16">
        <f t="shared" si="3"/>
        <v>4985600</v>
      </c>
    </row>
    <row r="22" spans="2:7" x14ac:dyDescent="0.25">
      <c r="B22" s="6" t="s">
        <v>27</v>
      </c>
      <c r="C22" s="13">
        <v>1149584</v>
      </c>
      <c r="D22" s="13">
        <v>1151178</v>
      </c>
      <c r="E22" s="14">
        <f t="shared" si="2"/>
        <v>1594</v>
      </c>
      <c r="F22" s="15">
        <v>950</v>
      </c>
      <c r="G22" s="16">
        <f t="shared" si="3"/>
        <v>1514300</v>
      </c>
    </row>
    <row r="23" spans="2:7" x14ac:dyDescent="0.25">
      <c r="B23" s="6" t="s">
        <v>28</v>
      </c>
      <c r="C23" s="13">
        <v>1214846</v>
      </c>
      <c r="D23" s="13">
        <v>1215271</v>
      </c>
      <c r="E23" s="14">
        <f t="shared" si="2"/>
        <v>425</v>
      </c>
      <c r="F23" s="15">
        <v>950</v>
      </c>
      <c r="G23" s="16">
        <f t="shared" si="3"/>
        <v>403750</v>
      </c>
    </row>
    <row r="24" spans="2:7" x14ac:dyDescent="0.25">
      <c r="B24" s="6" t="s">
        <v>29</v>
      </c>
      <c r="C24" s="13">
        <v>1041765</v>
      </c>
      <c r="D24" s="13">
        <v>1044332</v>
      </c>
      <c r="E24" s="14">
        <f t="shared" si="2"/>
        <v>2567</v>
      </c>
      <c r="F24" s="15">
        <v>950</v>
      </c>
      <c r="G24" s="16">
        <f t="shared" si="3"/>
        <v>2438650</v>
      </c>
    </row>
    <row r="25" spans="2:7" x14ac:dyDescent="0.25">
      <c r="B25" s="6" t="s">
        <v>30</v>
      </c>
      <c r="C25" s="13">
        <v>1012522</v>
      </c>
      <c r="D25" s="13">
        <v>1012522</v>
      </c>
      <c r="E25" s="14">
        <f t="shared" si="2"/>
        <v>0</v>
      </c>
      <c r="F25" s="15">
        <v>950</v>
      </c>
      <c r="G25" s="16">
        <f t="shared" si="3"/>
        <v>0</v>
      </c>
    </row>
    <row r="26" spans="2:7" x14ac:dyDescent="0.25">
      <c r="B26" s="6" t="s">
        <v>31</v>
      </c>
      <c r="C26" s="13">
        <v>1148333</v>
      </c>
      <c r="D26" s="13">
        <v>1153635</v>
      </c>
      <c r="E26" s="14">
        <f t="shared" si="2"/>
        <v>5302</v>
      </c>
      <c r="F26" s="15">
        <v>950</v>
      </c>
      <c r="G26" s="16">
        <f t="shared" si="3"/>
        <v>5036900</v>
      </c>
    </row>
    <row r="27" spans="2:7" x14ac:dyDescent="0.25">
      <c r="B27" s="12"/>
      <c r="C27" s="7"/>
      <c r="D27" s="7"/>
      <c r="E27" s="7"/>
      <c r="F27" s="7"/>
      <c r="G27" s="8"/>
    </row>
    <row r="28" spans="2:7" x14ac:dyDescent="0.25">
      <c r="B28" s="6" t="s">
        <v>24</v>
      </c>
      <c r="C28" s="13">
        <v>947628</v>
      </c>
      <c r="D28" s="13">
        <v>947748</v>
      </c>
      <c r="E28" s="14">
        <f t="shared" ref="E28:E35" si="4">D28-C28</f>
        <v>120</v>
      </c>
      <c r="F28" s="15">
        <v>1025</v>
      </c>
      <c r="G28" s="16">
        <f t="shared" ref="G28:G35" si="5">E28*F28</f>
        <v>123000</v>
      </c>
    </row>
    <row r="29" spans="2:7" x14ac:dyDescent="0.25">
      <c r="B29" s="6" t="s">
        <v>25</v>
      </c>
      <c r="C29" s="13">
        <v>913374</v>
      </c>
      <c r="D29" s="13">
        <v>913374</v>
      </c>
      <c r="E29" s="14">
        <f t="shared" si="4"/>
        <v>0</v>
      </c>
      <c r="F29" s="15">
        <v>1025</v>
      </c>
      <c r="G29" s="16">
        <f t="shared" si="5"/>
        <v>0</v>
      </c>
    </row>
    <row r="30" spans="2:7" x14ac:dyDescent="0.25">
      <c r="B30" s="6" t="s">
        <v>26</v>
      </c>
      <c r="C30" s="13">
        <v>1370607</v>
      </c>
      <c r="D30" s="13">
        <v>1371332</v>
      </c>
      <c r="E30" s="14">
        <f t="shared" si="4"/>
        <v>725</v>
      </c>
      <c r="F30" s="15">
        <v>1025</v>
      </c>
      <c r="G30" s="16">
        <f t="shared" si="5"/>
        <v>743125</v>
      </c>
    </row>
    <row r="31" spans="2:7" x14ac:dyDescent="0.25">
      <c r="B31" s="6" t="s">
        <v>27</v>
      </c>
      <c r="C31" s="13">
        <v>1151178</v>
      </c>
      <c r="D31" s="13">
        <v>1151178</v>
      </c>
      <c r="E31" s="14">
        <f t="shared" si="4"/>
        <v>0</v>
      </c>
      <c r="F31" s="15">
        <v>1025</v>
      </c>
      <c r="G31" s="16">
        <f t="shared" si="5"/>
        <v>0</v>
      </c>
    </row>
    <row r="32" spans="2:7" x14ac:dyDescent="0.25">
      <c r="B32" s="6" t="s">
        <v>28</v>
      </c>
      <c r="C32" s="13">
        <v>1215271</v>
      </c>
      <c r="D32" s="13">
        <v>1215271</v>
      </c>
      <c r="E32" s="14">
        <f t="shared" si="4"/>
        <v>0</v>
      </c>
      <c r="F32" s="15">
        <v>1025</v>
      </c>
      <c r="G32" s="16">
        <f t="shared" si="5"/>
        <v>0</v>
      </c>
    </row>
    <row r="33" spans="2:7" x14ac:dyDescent="0.25">
      <c r="B33" s="6" t="s">
        <v>29</v>
      </c>
      <c r="C33" s="13">
        <v>1044332</v>
      </c>
      <c r="D33" s="13">
        <v>1044332</v>
      </c>
      <c r="E33" s="14">
        <f t="shared" si="4"/>
        <v>0</v>
      </c>
      <c r="F33" s="15">
        <v>1025</v>
      </c>
      <c r="G33" s="16">
        <f t="shared" si="5"/>
        <v>0</v>
      </c>
    </row>
    <row r="34" spans="2:7" x14ac:dyDescent="0.25">
      <c r="B34" s="6" t="s">
        <v>30</v>
      </c>
      <c r="C34" s="13">
        <v>1012522</v>
      </c>
      <c r="D34" s="13">
        <v>1012522</v>
      </c>
      <c r="E34" s="14">
        <f t="shared" si="4"/>
        <v>0</v>
      </c>
      <c r="F34" s="15">
        <v>1025</v>
      </c>
      <c r="G34" s="16">
        <f t="shared" si="5"/>
        <v>0</v>
      </c>
    </row>
    <row r="35" spans="2:7" x14ac:dyDescent="0.25">
      <c r="B35" s="6" t="s">
        <v>31</v>
      </c>
      <c r="C35" s="13">
        <v>1153635</v>
      </c>
      <c r="D35" s="13">
        <v>1154445</v>
      </c>
      <c r="E35" s="14">
        <f t="shared" si="4"/>
        <v>810</v>
      </c>
      <c r="F35" s="15">
        <v>1025</v>
      </c>
      <c r="G35" s="16">
        <f t="shared" si="5"/>
        <v>830250</v>
      </c>
    </row>
    <row r="36" spans="2:7" x14ac:dyDescent="0.25">
      <c r="B36" s="12"/>
      <c r="C36" s="7"/>
      <c r="D36" s="7"/>
      <c r="E36" s="7"/>
      <c r="F36" s="7"/>
      <c r="G36" s="8"/>
    </row>
    <row r="37" spans="2:7" x14ac:dyDescent="0.25">
      <c r="B37" s="6" t="s">
        <v>24</v>
      </c>
      <c r="C37" s="13">
        <v>947748</v>
      </c>
      <c r="D37" s="13">
        <v>948707</v>
      </c>
      <c r="E37" s="14">
        <f t="shared" ref="E37:E44" si="6">D37-C37</f>
        <v>959</v>
      </c>
      <c r="F37" s="15">
        <v>1050</v>
      </c>
      <c r="G37" s="16">
        <f t="shared" ref="G37:G44" si="7">E37*F37</f>
        <v>1006950</v>
      </c>
    </row>
    <row r="38" spans="2:7" x14ac:dyDescent="0.25">
      <c r="B38" s="6" t="s">
        <v>25</v>
      </c>
      <c r="C38" s="13">
        <v>913374</v>
      </c>
      <c r="D38" s="13">
        <v>913374</v>
      </c>
      <c r="E38" s="14">
        <f t="shared" si="6"/>
        <v>0</v>
      </c>
      <c r="F38" s="15">
        <v>1050</v>
      </c>
      <c r="G38" s="16">
        <f t="shared" si="7"/>
        <v>0</v>
      </c>
    </row>
    <row r="39" spans="2:7" x14ac:dyDescent="0.25">
      <c r="B39" s="6" t="s">
        <v>26</v>
      </c>
      <c r="C39" s="13">
        <v>1371332</v>
      </c>
      <c r="D39" s="13">
        <v>1372215</v>
      </c>
      <c r="E39" s="14">
        <f t="shared" si="6"/>
        <v>883</v>
      </c>
      <c r="F39" s="15">
        <v>1050</v>
      </c>
      <c r="G39" s="16">
        <f t="shared" si="7"/>
        <v>927150</v>
      </c>
    </row>
    <row r="40" spans="2:7" x14ac:dyDescent="0.25">
      <c r="B40" s="6" t="s">
        <v>27</v>
      </c>
      <c r="C40" s="13">
        <v>1151178</v>
      </c>
      <c r="D40" s="13">
        <v>1151178</v>
      </c>
      <c r="E40" s="14">
        <f t="shared" si="6"/>
        <v>0</v>
      </c>
      <c r="F40" s="15">
        <v>1050</v>
      </c>
      <c r="G40" s="16">
        <f t="shared" si="7"/>
        <v>0</v>
      </c>
    </row>
    <row r="41" spans="2:7" x14ac:dyDescent="0.25">
      <c r="B41" s="6" t="s">
        <v>28</v>
      </c>
      <c r="C41" s="13">
        <v>1215271</v>
      </c>
      <c r="D41" s="13">
        <v>1215271</v>
      </c>
      <c r="E41" s="14">
        <f t="shared" si="6"/>
        <v>0</v>
      </c>
      <c r="F41" s="15">
        <v>1050</v>
      </c>
      <c r="G41" s="16">
        <f t="shared" si="7"/>
        <v>0</v>
      </c>
    </row>
    <row r="42" spans="2:7" x14ac:dyDescent="0.25">
      <c r="B42" s="6" t="s">
        <v>29</v>
      </c>
      <c r="C42" s="13">
        <v>1044332</v>
      </c>
      <c r="D42" s="13">
        <v>1044332</v>
      </c>
      <c r="E42" s="14">
        <f t="shared" si="6"/>
        <v>0</v>
      </c>
      <c r="F42" s="15">
        <v>1050</v>
      </c>
      <c r="G42" s="16">
        <f t="shared" si="7"/>
        <v>0</v>
      </c>
    </row>
    <row r="43" spans="2:7" x14ac:dyDescent="0.25">
      <c r="B43" s="6" t="s">
        <v>30</v>
      </c>
      <c r="C43" s="13">
        <v>1012522</v>
      </c>
      <c r="D43" s="13">
        <v>1012523</v>
      </c>
      <c r="E43" s="14">
        <f t="shared" si="6"/>
        <v>1</v>
      </c>
      <c r="F43" s="15">
        <v>1050</v>
      </c>
      <c r="G43" s="16">
        <f t="shared" si="7"/>
        <v>1050</v>
      </c>
    </row>
    <row r="44" spans="2:7" x14ac:dyDescent="0.25">
      <c r="B44" s="6" t="s">
        <v>31</v>
      </c>
      <c r="C44" s="13">
        <v>1154445</v>
      </c>
      <c r="D44" s="13">
        <v>1155521</v>
      </c>
      <c r="E44" s="14">
        <f t="shared" si="6"/>
        <v>1076</v>
      </c>
      <c r="F44" s="15">
        <v>1050</v>
      </c>
      <c r="G44" s="16">
        <f t="shared" si="7"/>
        <v>1129800</v>
      </c>
    </row>
    <row r="45" spans="2:7" x14ac:dyDescent="0.25">
      <c r="B45" s="12"/>
      <c r="C45" s="7"/>
      <c r="D45" s="7"/>
      <c r="E45" s="7"/>
      <c r="F45" s="7"/>
      <c r="G45" s="8"/>
    </row>
    <row r="46" spans="2:7" x14ac:dyDescent="0.25">
      <c r="B46" s="6" t="s">
        <v>24</v>
      </c>
      <c r="C46" s="13">
        <v>948707</v>
      </c>
      <c r="D46" s="13">
        <v>951114</v>
      </c>
      <c r="E46" s="14">
        <f t="shared" ref="E46:E53" si="8">D46-C46</f>
        <v>2407</v>
      </c>
      <c r="F46" s="15">
        <v>1082</v>
      </c>
      <c r="G46" s="16">
        <f t="shared" ref="G46:G53" si="9">E46*F46</f>
        <v>2604374</v>
      </c>
    </row>
    <row r="47" spans="2:7" x14ac:dyDescent="0.25">
      <c r="B47" s="6" t="s">
        <v>25</v>
      </c>
      <c r="C47" s="13">
        <v>913374</v>
      </c>
      <c r="D47" s="13">
        <v>913374</v>
      </c>
      <c r="E47" s="14">
        <f t="shared" si="8"/>
        <v>0</v>
      </c>
      <c r="F47" s="15">
        <v>1082</v>
      </c>
      <c r="G47" s="16">
        <f t="shared" si="9"/>
        <v>0</v>
      </c>
    </row>
    <row r="48" spans="2:7" x14ac:dyDescent="0.25">
      <c r="B48" s="6" t="s">
        <v>26</v>
      </c>
      <c r="C48" s="13">
        <v>1372215</v>
      </c>
      <c r="D48" s="13">
        <v>1374128</v>
      </c>
      <c r="E48" s="14">
        <f t="shared" si="8"/>
        <v>1913</v>
      </c>
      <c r="F48" s="15">
        <v>1082</v>
      </c>
      <c r="G48" s="16">
        <f t="shared" si="9"/>
        <v>2069866</v>
      </c>
    </row>
    <row r="49" spans="2:7" x14ac:dyDescent="0.25">
      <c r="B49" s="6" t="s">
        <v>27</v>
      </c>
      <c r="C49" s="13">
        <v>1151178</v>
      </c>
      <c r="D49" s="13">
        <v>1151178</v>
      </c>
      <c r="E49" s="14">
        <f t="shared" si="8"/>
        <v>0</v>
      </c>
      <c r="F49" s="15">
        <v>1082</v>
      </c>
      <c r="G49" s="16">
        <f t="shared" si="9"/>
        <v>0</v>
      </c>
    </row>
    <row r="50" spans="2:7" x14ac:dyDescent="0.25">
      <c r="B50" s="6" t="s">
        <v>28</v>
      </c>
      <c r="C50" s="13">
        <v>1215271</v>
      </c>
      <c r="D50" s="13">
        <v>1215271</v>
      </c>
      <c r="E50" s="14">
        <f t="shared" si="8"/>
        <v>0</v>
      </c>
      <c r="F50" s="15">
        <v>1082</v>
      </c>
      <c r="G50" s="16">
        <f t="shared" si="9"/>
        <v>0</v>
      </c>
    </row>
    <row r="51" spans="2:7" x14ac:dyDescent="0.25">
      <c r="B51" s="6" t="s">
        <v>29</v>
      </c>
      <c r="C51" s="13">
        <v>1044332</v>
      </c>
      <c r="D51" s="13">
        <v>1044332</v>
      </c>
      <c r="E51" s="14">
        <f t="shared" si="8"/>
        <v>0</v>
      </c>
      <c r="F51" s="15">
        <v>1082</v>
      </c>
      <c r="G51" s="16">
        <f t="shared" si="9"/>
        <v>0</v>
      </c>
    </row>
    <row r="52" spans="2:7" x14ac:dyDescent="0.25">
      <c r="B52" s="6" t="s">
        <v>30</v>
      </c>
      <c r="C52" s="13">
        <v>1012523</v>
      </c>
      <c r="D52" s="13">
        <v>1012567</v>
      </c>
      <c r="E52" s="14">
        <f t="shared" si="8"/>
        <v>44</v>
      </c>
      <c r="F52" s="15">
        <v>1082</v>
      </c>
      <c r="G52" s="16">
        <f t="shared" si="9"/>
        <v>47608</v>
      </c>
    </row>
    <row r="53" spans="2:7" x14ac:dyDescent="0.25">
      <c r="B53" s="6" t="s">
        <v>31</v>
      </c>
      <c r="C53" s="13">
        <v>1155521</v>
      </c>
      <c r="D53" s="13">
        <v>1157743</v>
      </c>
      <c r="E53" s="14">
        <f t="shared" si="8"/>
        <v>2222</v>
      </c>
      <c r="F53" s="15">
        <v>1082</v>
      </c>
      <c r="G53" s="16">
        <f t="shared" si="9"/>
        <v>2404204</v>
      </c>
    </row>
    <row r="54" spans="2:7" x14ac:dyDescent="0.25">
      <c r="B54" s="12"/>
      <c r="C54" s="7"/>
      <c r="D54" s="7"/>
      <c r="E54" s="7"/>
      <c r="F54" s="7"/>
      <c r="G54" s="8"/>
    </row>
    <row r="55" spans="2:7" x14ac:dyDescent="0.25">
      <c r="B55" s="6" t="s">
        <v>24</v>
      </c>
      <c r="C55" s="13">
        <v>951114</v>
      </c>
      <c r="D55" s="13">
        <v>951806</v>
      </c>
      <c r="E55" s="14">
        <f t="shared" ref="E55:E62" si="10">D55-C55</f>
        <v>692</v>
      </c>
      <c r="F55" s="15">
        <v>1240</v>
      </c>
      <c r="G55" s="16">
        <f t="shared" ref="G55:G62" si="11">E55*F55</f>
        <v>858080</v>
      </c>
    </row>
    <row r="56" spans="2:7" x14ac:dyDescent="0.25">
      <c r="B56" s="6" t="s">
        <v>25</v>
      </c>
      <c r="C56" s="13">
        <v>913374</v>
      </c>
      <c r="D56" s="13">
        <v>913553</v>
      </c>
      <c r="E56" s="14">
        <f t="shared" si="10"/>
        <v>179</v>
      </c>
      <c r="F56" s="15">
        <v>1240</v>
      </c>
      <c r="G56" s="16">
        <f t="shared" si="11"/>
        <v>221960</v>
      </c>
    </row>
    <row r="57" spans="2:7" x14ac:dyDescent="0.25">
      <c r="B57" s="6" t="s">
        <v>26</v>
      </c>
      <c r="C57" s="13">
        <v>1374128</v>
      </c>
      <c r="D57" s="13">
        <v>1374786</v>
      </c>
      <c r="E57" s="14">
        <f t="shared" si="10"/>
        <v>658</v>
      </c>
      <c r="F57" s="15">
        <v>1240</v>
      </c>
      <c r="G57" s="16">
        <f t="shared" si="11"/>
        <v>815920</v>
      </c>
    </row>
    <row r="58" spans="2:7" x14ac:dyDescent="0.25">
      <c r="B58" s="6" t="s">
        <v>27</v>
      </c>
      <c r="C58" s="13">
        <v>1151178</v>
      </c>
      <c r="D58" s="13">
        <v>1151178</v>
      </c>
      <c r="E58" s="14">
        <f t="shared" si="10"/>
        <v>0</v>
      </c>
      <c r="F58" s="15">
        <v>1240</v>
      </c>
      <c r="G58" s="16">
        <f t="shared" si="11"/>
        <v>0</v>
      </c>
    </row>
    <row r="59" spans="2:7" x14ac:dyDescent="0.25">
      <c r="B59" s="6" t="s">
        <v>28</v>
      </c>
      <c r="C59" s="13">
        <v>1215271</v>
      </c>
      <c r="D59" s="13">
        <v>1215271</v>
      </c>
      <c r="E59" s="14">
        <f t="shared" si="10"/>
        <v>0</v>
      </c>
      <c r="F59" s="15">
        <v>1240</v>
      </c>
      <c r="G59" s="16">
        <f t="shared" si="11"/>
        <v>0</v>
      </c>
    </row>
    <row r="60" spans="2:7" x14ac:dyDescent="0.25">
      <c r="B60" s="6" t="s">
        <v>29</v>
      </c>
      <c r="C60" s="13">
        <v>1044332</v>
      </c>
      <c r="D60" s="13">
        <v>1044332</v>
      </c>
      <c r="E60" s="14">
        <f t="shared" si="10"/>
        <v>0</v>
      </c>
      <c r="F60" s="15">
        <v>1240</v>
      </c>
      <c r="G60" s="16">
        <f t="shared" si="11"/>
        <v>0</v>
      </c>
    </row>
    <row r="61" spans="2:7" x14ac:dyDescent="0.25">
      <c r="B61" s="6" t="s">
        <v>30</v>
      </c>
      <c r="C61" s="13">
        <v>1012567</v>
      </c>
      <c r="D61" s="13">
        <v>1012655</v>
      </c>
      <c r="E61" s="14">
        <f t="shared" si="10"/>
        <v>88</v>
      </c>
      <c r="F61" s="15">
        <v>1240</v>
      </c>
      <c r="G61" s="16">
        <f t="shared" si="11"/>
        <v>109120</v>
      </c>
    </row>
    <row r="62" spans="2:7" x14ac:dyDescent="0.25">
      <c r="B62" s="6" t="s">
        <v>31</v>
      </c>
      <c r="C62" s="13">
        <v>1157743</v>
      </c>
      <c r="D62" s="13">
        <v>1158890</v>
      </c>
      <c r="E62" s="14">
        <f t="shared" si="10"/>
        <v>1147</v>
      </c>
      <c r="F62" s="15">
        <v>1240</v>
      </c>
      <c r="G62" s="16">
        <f t="shared" si="11"/>
        <v>1422280</v>
      </c>
    </row>
    <row r="63" spans="2:7" x14ac:dyDescent="0.25">
      <c r="B63" s="12"/>
      <c r="C63" s="7"/>
      <c r="D63" s="7"/>
      <c r="E63" s="7"/>
      <c r="F63" s="7"/>
      <c r="G63" s="8"/>
    </row>
    <row r="64" spans="2:7" x14ac:dyDescent="0.25">
      <c r="B64" s="6" t="s">
        <v>24</v>
      </c>
      <c r="C64" s="13">
        <v>951806</v>
      </c>
      <c r="D64" s="13">
        <v>953410</v>
      </c>
      <c r="E64" s="14">
        <f t="shared" ref="E64:E71" si="12">D64-C64</f>
        <v>1604</v>
      </c>
      <c r="F64" s="15">
        <v>1300</v>
      </c>
      <c r="G64" s="16">
        <f t="shared" ref="G64:G71" si="13">E64*F64</f>
        <v>2085200</v>
      </c>
    </row>
    <row r="65" spans="2:7" x14ac:dyDescent="0.25">
      <c r="B65" s="6" t="s">
        <v>25</v>
      </c>
      <c r="C65" s="13">
        <v>913553</v>
      </c>
      <c r="D65" s="13">
        <v>913553</v>
      </c>
      <c r="E65" s="14">
        <f t="shared" si="12"/>
        <v>0</v>
      </c>
      <c r="F65" s="15">
        <v>1300</v>
      </c>
      <c r="G65" s="16">
        <f t="shared" si="13"/>
        <v>0</v>
      </c>
    </row>
    <row r="66" spans="2:7" x14ac:dyDescent="0.25">
      <c r="B66" s="6" t="s">
        <v>26</v>
      </c>
      <c r="C66" s="13">
        <v>1374786</v>
      </c>
      <c r="D66" s="13">
        <v>1376667</v>
      </c>
      <c r="E66" s="14">
        <f t="shared" si="12"/>
        <v>1881</v>
      </c>
      <c r="F66" s="15">
        <v>1300</v>
      </c>
      <c r="G66" s="16">
        <f t="shared" si="13"/>
        <v>2445300</v>
      </c>
    </row>
    <row r="67" spans="2:7" x14ac:dyDescent="0.25">
      <c r="B67" s="6" t="s">
        <v>27</v>
      </c>
      <c r="C67" s="13">
        <v>1151178</v>
      </c>
      <c r="D67" s="13">
        <v>1151178</v>
      </c>
      <c r="E67" s="14">
        <f t="shared" si="12"/>
        <v>0</v>
      </c>
      <c r="F67" s="15">
        <v>1300</v>
      </c>
      <c r="G67" s="16">
        <f t="shared" si="13"/>
        <v>0</v>
      </c>
    </row>
    <row r="68" spans="2:7" x14ac:dyDescent="0.25">
      <c r="B68" s="6" t="s">
        <v>28</v>
      </c>
      <c r="C68" s="13">
        <v>1215271</v>
      </c>
      <c r="D68" s="13">
        <v>1215271</v>
      </c>
      <c r="E68" s="14">
        <f t="shared" si="12"/>
        <v>0</v>
      </c>
      <c r="F68" s="15">
        <v>1300</v>
      </c>
      <c r="G68" s="16">
        <f t="shared" si="13"/>
        <v>0</v>
      </c>
    </row>
    <row r="69" spans="2:7" x14ac:dyDescent="0.25">
      <c r="B69" s="6" t="s">
        <v>29</v>
      </c>
      <c r="C69" s="13">
        <v>1044332</v>
      </c>
      <c r="D69" s="13">
        <v>1044332</v>
      </c>
      <c r="E69" s="14">
        <f t="shared" si="12"/>
        <v>0</v>
      </c>
      <c r="F69" s="15">
        <v>1300</v>
      </c>
      <c r="G69" s="16">
        <f t="shared" si="13"/>
        <v>0</v>
      </c>
    </row>
    <row r="70" spans="2:7" x14ac:dyDescent="0.25">
      <c r="B70" s="6" t="s">
        <v>30</v>
      </c>
      <c r="C70" s="13">
        <v>1012655</v>
      </c>
      <c r="D70" s="13">
        <v>1012655</v>
      </c>
      <c r="E70" s="14">
        <f t="shared" si="12"/>
        <v>0</v>
      </c>
      <c r="F70" s="15">
        <v>1300</v>
      </c>
      <c r="G70" s="16">
        <f t="shared" si="13"/>
        <v>0</v>
      </c>
    </row>
    <row r="71" spans="2:7" x14ac:dyDescent="0.25">
      <c r="B71" s="6" t="s">
        <v>31</v>
      </c>
      <c r="C71" s="13">
        <v>1158890</v>
      </c>
      <c r="D71" s="13">
        <v>1160469</v>
      </c>
      <c r="E71" s="14">
        <f t="shared" si="12"/>
        <v>1579</v>
      </c>
      <c r="F71" s="15">
        <v>1300</v>
      </c>
      <c r="G71" s="16">
        <f t="shared" si="13"/>
        <v>2052700</v>
      </c>
    </row>
    <row r="72" spans="2:7" x14ac:dyDescent="0.25">
      <c r="B72" s="12"/>
      <c r="C72" s="7"/>
      <c r="D72" s="7"/>
      <c r="E72" s="7"/>
      <c r="F72" s="7"/>
      <c r="G72" s="8"/>
    </row>
    <row r="73" spans="2:7" x14ac:dyDescent="0.25">
      <c r="B73" s="6" t="s">
        <v>24</v>
      </c>
      <c r="C73" s="13">
        <v>953410</v>
      </c>
      <c r="D73" s="13">
        <v>957344</v>
      </c>
      <c r="E73" s="14">
        <f t="shared" ref="E73:E80" si="14">D73-C73</f>
        <v>3934</v>
      </c>
      <c r="F73" s="15">
        <v>1200</v>
      </c>
      <c r="G73" s="16">
        <f t="shared" ref="G73:G80" si="15">E73*F73</f>
        <v>4720800</v>
      </c>
    </row>
    <row r="74" spans="2:7" x14ac:dyDescent="0.25">
      <c r="B74" s="6" t="s">
        <v>25</v>
      </c>
      <c r="C74" s="13">
        <v>913553</v>
      </c>
      <c r="D74" s="13">
        <v>913553</v>
      </c>
      <c r="E74" s="14">
        <f t="shared" si="14"/>
        <v>0</v>
      </c>
      <c r="F74" s="15">
        <v>1200</v>
      </c>
      <c r="G74" s="16">
        <f t="shared" si="15"/>
        <v>0</v>
      </c>
    </row>
    <row r="75" spans="2:7" x14ac:dyDescent="0.25">
      <c r="B75" s="6" t="s">
        <v>26</v>
      </c>
      <c r="C75" s="13">
        <v>1376667</v>
      </c>
      <c r="D75" s="13">
        <v>1380042</v>
      </c>
      <c r="E75" s="14">
        <f t="shared" si="14"/>
        <v>3375</v>
      </c>
      <c r="F75" s="15">
        <v>1200</v>
      </c>
      <c r="G75" s="16">
        <f t="shared" si="15"/>
        <v>4050000</v>
      </c>
    </row>
    <row r="76" spans="2:7" x14ac:dyDescent="0.25">
      <c r="B76" s="6" t="s">
        <v>27</v>
      </c>
      <c r="C76" s="13">
        <v>1151178</v>
      </c>
      <c r="D76" s="13">
        <v>1151655</v>
      </c>
      <c r="E76" s="14">
        <f t="shared" si="14"/>
        <v>477</v>
      </c>
      <c r="F76" s="15">
        <v>1200</v>
      </c>
      <c r="G76" s="16">
        <f t="shared" si="15"/>
        <v>572400</v>
      </c>
    </row>
    <row r="77" spans="2:7" x14ac:dyDescent="0.25">
      <c r="B77" s="6" t="s">
        <v>28</v>
      </c>
      <c r="C77" s="13">
        <v>1215271</v>
      </c>
      <c r="D77" s="13">
        <v>1215271</v>
      </c>
      <c r="E77" s="14">
        <f t="shared" si="14"/>
        <v>0</v>
      </c>
      <c r="F77" s="15">
        <v>1200</v>
      </c>
      <c r="G77" s="16">
        <f t="shared" si="15"/>
        <v>0</v>
      </c>
    </row>
    <row r="78" spans="2:7" x14ac:dyDescent="0.25">
      <c r="B78" s="6" t="s">
        <v>29</v>
      </c>
      <c r="C78" s="13">
        <v>1044332</v>
      </c>
      <c r="D78" s="13">
        <v>1044332</v>
      </c>
      <c r="E78" s="14">
        <f t="shared" si="14"/>
        <v>0</v>
      </c>
      <c r="F78" s="15">
        <v>1200</v>
      </c>
      <c r="G78" s="16">
        <f t="shared" si="15"/>
        <v>0</v>
      </c>
    </row>
    <row r="79" spans="2:7" x14ac:dyDescent="0.25">
      <c r="B79" s="6" t="s">
        <v>30</v>
      </c>
      <c r="C79" s="13">
        <v>1012655</v>
      </c>
      <c r="D79" s="13">
        <v>1012655</v>
      </c>
      <c r="E79" s="14">
        <f t="shared" si="14"/>
        <v>0</v>
      </c>
      <c r="F79" s="15">
        <v>1200</v>
      </c>
      <c r="G79" s="16">
        <f t="shared" si="15"/>
        <v>0</v>
      </c>
    </row>
    <row r="80" spans="2:7" x14ac:dyDescent="0.25">
      <c r="B80" s="6" t="s">
        <v>31</v>
      </c>
      <c r="C80" s="13">
        <v>1160469</v>
      </c>
      <c r="D80" s="13">
        <v>1164809</v>
      </c>
      <c r="E80" s="14">
        <f t="shared" si="14"/>
        <v>4340</v>
      </c>
      <c r="F80" s="15">
        <v>1200</v>
      </c>
      <c r="G80" s="16">
        <f t="shared" si="15"/>
        <v>5208000</v>
      </c>
    </row>
    <row r="81" spans="2:7" x14ac:dyDescent="0.25">
      <c r="B81" s="12"/>
      <c r="C81" s="7"/>
      <c r="D81" s="7"/>
      <c r="E81" s="7"/>
      <c r="F81" s="7"/>
      <c r="G81" s="8"/>
    </row>
    <row r="82" spans="2:7" x14ac:dyDescent="0.25">
      <c r="B82" s="6" t="s">
        <v>24</v>
      </c>
      <c r="C82" s="13">
        <v>957344</v>
      </c>
      <c r="D82" s="13">
        <v>960398</v>
      </c>
      <c r="E82" s="14">
        <f t="shared" ref="E82:E89" si="16">D82-C82</f>
        <v>3054</v>
      </c>
      <c r="F82" s="15">
        <v>1300</v>
      </c>
      <c r="G82" s="16">
        <f t="shared" ref="G82:G89" si="17">E82*F82</f>
        <v>3970200</v>
      </c>
    </row>
    <row r="83" spans="2:7" x14ac:dyDescent="0.25">
      <c r="B83" s="6" t="s">
        <v>25</v>
      </c>
      <c r="C83" s="13">
        <v>913553</v>
      </c>
      <c r="D83" s="13">
        <v>914073</v>
      </c>
      <c r="E83" s="14">
        <f t="shared" si="16"/>
        <v>520</v>
      </c>
      <c r="F83" s="15">
        <v>1300</v>
      </c>
      <c r="G83" s="16">
        <f t="shared" si="17"/>
        <v>676000</v>
      </c>
    </row>
    <row r="84" spans="2:7" x14ac:dyDescent="0.25">
      <c r="B84" s="6" t="s">
        <v>26</v>
      </c>
      <c r="C84" s="13">
        <v>1380042</v>
      </c>
      <c r="D84" s="13">
        <v>1382321</v>
      </c>
      <c r="E84" s="14">
        <f t="shared" si="16"/>
        <v>2279</v>
      </c>
      <c r="F84" s="15">
        <v>1300</v>
      </c>
      <c r="G84" s="16">
        <f t="shared" si="17"/>
        <v>2962700</v>
      </c>
    </row>
    <row r="85" spans="2:7" x14ac:dyDescent="0.25">
      <c r="B85" s="6" t="s">
        <v>27</v>
      </c>
      <c r="C85" s="13">
        <v>1151655</v>
      </c>
      <c r="D85" s="13">
        <v>1152527</v>
      </c>
      <c r="E85" s="14">
        <f t="shared" si="16"/>
        <v>872</v>
      </c>
      <c r="F85" s="15">
        <v>1300</v>
      </c>
      <c r="G85" s="16">
        <f t="shared" si="17"/>
        <v>1133600</v>
      </c>
    </row>
    <row r="86" spans="2:7" x14ac:dyDescent="0.25">
      <c r="B86" s="6" t="s">
        <v>28</v>
      </c>
      <c r="C86" s="13">
        <v>1215271</v>
      </c>
      <c r="D86" s="13">
        <v>1215271</v>
      </c>
      <c r="E86" s="14">
        <f t="shared" si="16"/>
        <v>0</v>
      </c>
      <c r="F86" s="15">
        <v>1300</v>
      </c>
      <c r="G86" s="16">
        <f t="shared" si="17"/>
        <v>0</v>
      </c>
    </row>
    <row r="87" spans="2:7" x14ac:dyDescent="0.25">
      <c r="B87" s="6" t="s">
        <v>29</v>
      </c>
      <c r="C87" s="13">
        <v>1044332</v>
      </c>
      <c r="D87" s="13">
        <v>1044332</v>
      </c>
      <c r="E87" s="14">
        <f t="shared" si="16"/>
        <v>0</v>
      </c>
      <c r="F87" s="15">
        <v>1300</v>
      </c>
      <c r="G87" s="16">
        <f t="shared" si="17"/>
        <v>0</v>
      </c>
    </row>
    <row r="88" spans="2:7" x14ac:dyDescent="0.25">
      <c r="B88" s="6" t="s">
        <v>30</v>
      </c>
      <c r="C88" s="13">
        <v>1012655</v>
      </c>
      <c r="D88" s="13">
        <v>1012690</v>
      </c>
      <c r="E88" s="14">
        <f t="shared" si="16"/>
        <v>35</v>
      </c>
      <c r="F88" s="15">
        <v>1300</v>
      </c>
      <c r="G88" s="16">
        <f t="shared" si="17"/>
        <v>45500</v>
      </c>
    </row>
    <row r="89" spans="2:7" x14ac:dyDescent="0.25">
      <c r="B89" s="6" t="s">
        <v>31</v>
      </c>
      <c r="C89" s="13">
        <v>1164809</v>
      </c>
      <c r="D89" s="13">
        <v>1168342</v>
      </c>
      <c r="E89" s="14">
        <f t="shared" si="16"/>
        <v>3533</v>
      </c>
      <c r="F89" s="15">
        <v>1300</v>
      </c>
      <c r="G89" s="16">
        <f t="shared" si="17"/>
        <v>4592900</v>
      </c>
    </row>
    <row r="90" spans="2:7" x14ac:dyDescent="0.25">
      <c r="B90" s="12"/>
      <c r="C90" s="7"/>
      <c r="D90" s="7"/>
      <c r="E90" s="7"/>
      <c r="F90" s="7"/>
      <c r="G90" s="8"/>
    </row>
    <row r="91" spans="2:7" x14ac:dyDescent="0.25">
      <c r="B91" s="17" t="s">
        <v>32</v>
      </c>
      <c r="C91" s="18" t="s">
        <v>33</v>
      </c>
      <c r="D91" s="7"/>
      <c r="E91" s="19">
        <f>SUM(E10:E89)</f>
        <v>68455</v>
      </c>
      <c r="F91" s="7"/>
      <c r="G91" s="20">
        <f>SUM(G10:G89)</f>
        <v>74558937</v>
      </c>
    </row>
    <row r="92" spans="2:7" x14ac:dyDescent="0.25">
      <c r="B92" s="12"/>
      <c r="C92" s="7"/>
      <c r="D92" s="7"/>
      <c r="E92" s="7"/>
      <c r="F92" s="7"/>
      <c r="G92" s="8"/>
    </row>
    <row r="93" spans="2:7" x14ac:dyDescent="0.25">
      <c r="B93" s="21" t="s">
        <v>34</v>
      </c>
      <c r="C93" s="4" t="s">
        <v>35</v>
      </c>
      <c r="D93" s="7"/>
      <c r="E93" s="7"/>
      <c r="F93" s="7"/>
      <c r="G93" s="16">
        <f>E93*F93</f>
        <v>0</v>
      </c>
    </row>
    <row r="94" spans="2:7" x14ac:dyDescent="0.25">
      <c r="B94" s="12"/>
      <c r="C94" s="7"/>
      <c r="D94" s="7"/>
      <c r="E94" s="7"/>
      <c r="F94" s="7"/>
      <c r="G94" s="16">
        <f>E94*F94</f>
        <v>0</v>
      </c>
    </row>
    <row r="95" spans="2:7" x14ac:dyDescent="0.25">
      <c r="B95" s="12"/>
      <c r="C95" s="7"/>
      <c r="D95" s="7"/>
      <c r="E95" s="7"/>
      <c r="F95" s="7"/>
      <c r="G95" s="16">
        <f>E95*F95</f>
        <v>0</v>
      </c>
    </row>
    <row r="96" spans="2:7" x14ac:dyDescent="0.25">
      <c r="B96" s="12"/>
      <c r="C96" s="7"/>
      <c r="D96" s="7"/>
      <c r="E96" s="7"/>
      <c r="F96" s="7"/>
      <c r="G96" s="16">
        <f>E96*F96</f>
        <v>0</v>
      </c>
    </row>
    <row r="97" spans="2:7" x14ac:dyDescent="0.25">
      <c r="B97" s="12"/>
      <c r="C97" s="7"/>
      <c r="D97" s="7"/>
      <c r="E97" s="7"/>
      <c r="F97" s="7"/>
      <c r="G97" s="16">
        <f>E97*F97</f>
        <v>0</v>
      </c>
    </row>
    <row r="98" spans="2:7" x14ac:dyDescent="0.25">
      <c r="B98" s="17" t="s">
        <v>36</v>
      </c>
      <c r="C98" s="18" t="s">
        <v>37</v>
      </c>
      <c r="D98" s="7"/>
      <c r="E98" s="19">
        <f>E91-SUM(E93:E97)</f>
        <v>68455</v>
      </c>
      <c r="F98" s="7"/>
      <c r="G98" s="20">
        <f>G91-SUM(G93:G97)</f>
        <v>74558937</v>
      </c>
    </row>
    <row r="99" spans="2:7" x14ac:dyDescent="0.25">
      <c r="B99" s="12"/>
      <c r="C99" s="7"/>
      <c r="D99" s="7"/>
      <c r="E99" s="7"/>
      <c r="F99" s="7"/>
      <c r="G99" s="8"/>
    </row>
    <row r="100" spans="2:7" x14ac:dyDescent="0.25">
      <c r="B100" s="12"/>
      <c r="C100" s="4" t="s">
        <v>38</v>
      </c>
      <c r="D100" s="7"/>
      <c r="E100" s="7"/>
      <c r="F100" s="7"/>
      <c r="G100" s="8"/>
    </row>
    <row r="101" spans="2:7" x14ac:dyDescent="0.25">
      <c r="B101" s="12"/>
      <c r="C101" s="22" t="s">
        <v>39</v>
      </c>
      <c r="D101" s="7"/>
      <c r="E101" s="15">
        <v>50</v>
      </c>
      <c r="F101" s="15">
        <v>850</v>
      </c>
      <c r="G101" s="16">
        <f t="shared" ref="G101:G112" si="18">E101*F101</f>
        <v>42500</v>
      </c>
    </row>
    <row r="102" spans="2:7" x14ac:dyDescent="0.25">
      <c r="B102" s="12"/>
      <c r="C102" s="22" t="s">
        <v>39</v>
      </c>
      <c r="D102" s="7"/>
      <c r="E102" s="15">
        <v>100</v>
      </c>
      <c r="F102" s="15">
        <v>1300</v>
      </c>
      <c r="G102" s="16">
        <f t="shared" si="18"/>
        <v>130000</v>
      </c>
    </row>
    <row r="103" spans="2:7" x14ac:dyDescent="0.25">
      <c r="B103" s="12"/>
      <c r="C103" s="7"/>
      <c r="D103" s="7"/>
      <c r="E103" s="7"/>
      <c r="F103" s="7"/>
      <c r="G103" s="16">
        <f t="shared" si="18"/>
        <v>0</v>
      </c>
    </row>
    <row r="104" spans="2:7" x14ac:dyDescent="0.25">
      <c r="B104" s="12"/>
      <c r="C104" s="7"/>
      <c r="D104" s="7"/>
      <c r="E104" s="7"/>
      <c r="F104" s="7"/>
      <c r="G104" s="16">
        <f t="shared" si="18"/>
        <v>0</v>
      </c>
    </row>
    <row r="105" spans="2:7" x14ac:dyDescent="0.25">
      <c r="B105" s="12"/>
      <c r="C105" s="7"/>
      <c r="D105" s="7"/>
      <c r="E105" s="7"/>
      <c r="F105" s="7"/>
      <c r="G105" s="16">
        <f t="shared" si="18"/>
        <v>0</v>
      </c>
    </row>
    <row r="106" spans="2:7" x14ac:dyDescent="0.25">
      <c r="B106" s="12"/>
      <c r="C106" s="7"/>
      <c r="D106" s="7"/>
      <c r="E106" s="7"/>
      <c r="F106" s="7"/>
      <c r="G106" s="16">
        <f t="shared" si="18"/>
        <v>0</v>
      </c>
    </row>
    <row r="107" spans="2:7" x14ac:dyDescent="0.25">
      <c r="B107" s="12"/>
      <c r="C107" s="7"/>
      <c r="D107" s="7"/>
      <c r="E107" s="7"/>
      <c r="F107" s="7"/>
      <c r="G107" s="16">
        <f t="shared" si="18"/>
        <v>0</v>
      </c>
    </row>
    <row r="108" spans="2:7" x14ac:dyDescent="0.25">
      <c r="B108" s="12"/>
      <c r="C108" s="7"/>
      <c r="D108" s="7"/>
      <c r="E108" s="7"/>
      <c r="F108" s="7"/>
      <c r="G108" s="16">
        <f t="shared" si="18"/>
        <v>0</v>
      </c>
    </row>
    <row r="109" spans="2:7" x14ac:dyDescent="0.25">
      <c r="B109" s="12"/>
      <c r="C109" s="7"/>
      <c r="D109" s="7"/>
      <c r="E109" s="7"/>
      <c r="F109" s="7"/>
      <c r="G109" s="16">
        <f t="shared" si="18"/>
        <v>0</v>
      </c>
    </row>
    <row r="110" spans="2:7" x14ac:dyDescent="0.25">
      <c r="B110" s="12"/>
      <c r="C110" s="7"/>
      <c r="D110" s="7"/>
      <c r="E110" s="7"/>
      <c r="F110" s="7"/>
      <c r="G110" s="16">
        <f t="shared" si="18"/>
        <v>0</v>
      </c>
    </row>
    <row r="111" spans="2:7" x14ac:dyDescent="0.25">
      <c r="B111" s="12"/>
      <c r="C111" s="7"/>
      <c r="D111" s="7"/>
      <c r="E111" s="7"/>
      <c r="F111" s="7"/>
      <c r="G111" s="16">
        <f t="shared" si="18"/>
        <v>0</v>
      </c>
    </row>
    <row r="112" spans="2:7" x14ac:dyDescent="0.25">
      <c r="B112" s="12"/>
      <c r="C112" s="7"/>
      <c r="D112" s="7"/>
      <c r="E112" s="7"/>
      <c r="F112" s="7"/>
      <c r="G112" s="16">
        <f t="shared" si="18"/>
        <v>0</v>
      </c>
    </row>
    <row r="113" spans="2:7" x14ac:dyDescent="0.25">
      <c r="B113" s="17" t="s">
        <v>40</v>
      </c>
      <c r="C113" s="18" t="s">
        <v>41</v>
      </c>
      <c r="D113" s="7"/>
      <c r="E113" s="19">
        <f>SUM(E101:E112)</f>
        <v>150</v>
      </c>
      <c r="F113" s="7"/>
      <c r="G113" s="20">
        <f>SUM(G101:G112)</f>
        <v>172500</v>
      </c>
    </row>
    <row r="114" spans="2:7" x14ac:dyDescent="0.25">
      <c r="B114" s="12"/>
      <c r="C114" s="7"/>
      <c r="D114" s="7"/>
      <c r="E114" s="7"/>
      <c r="F114" s="7"/>
      <c r="G114" s="8"/>
    </row>
    <row r="115" spans="2:7" x14ac:dyDescent="0.25">
      <c r="B115" s="17" t="s">
        <v>42</v>
      </c>
      <c r="C115" s="18" t="s">
        <v>43</v>
      </c>
      <c r="D115" s="7"/>
      <c r="E115" s="19">
        <f>E98-E113</f>
        <v>68305</v>
      </c>
      <c r="F115" s="7"/>
      <c r="G115" s="20">
        <f>G98-G113</f>
        <v>74386437</v>
      </c>
    </row>
    <row r="116" spans="2:7" x14ac:dyDescent="0.25">
      <c r="B116" s="12"/>
      <c r="C116" s="7"/>
      <c r="D116" s="7"/>
      <c r="E116" s="7"/>
      <c r="F116" s="7"/>
      <c r="G116" s="8"/>
    </row>
    <row r="117" spans="2:7" x14ac:dyDescent="0.25">
      <c r="B117" s="12"/>
      <c r="C117" s="7"/>
      <c r="D117" s="7"/>
      <c r="E117" s="7"/>
      <c r="F117" s="7"/>
      <c r="G117" s="8"/>
    </row>
    <row r="118" spans="2:7" x14ac:dyDescent="0.25">
      <c r="B118" s="12"/>
      <c r="C118" s="7"/>
      <c r="D118" s="7"/>
      <c r="E118" s="7"/>
      <c r="F118" s="7"/>
      <c r="G118" s="8"/>
    </row>
    <row r="119" spans="2:7" x14ac:dyDescent="0.25">
      <c r="B119" s="6" t="s">
        <v>44</v>
      </c>
      <c r="C119" s="88" t="s">
        <v>45</v>
      </c>
      <c r="D119" s="88"/>
      <c r="E119" s="7"/>
      <c r="F119" s="7"/>
      <c r="G119" s="8"/>
    </row>
    <row r="120" spans="2:7" x14ac:dyDescent="0.25">
      <c r="B120" s="9" t="s">
        <v>18</v>
      </c>
      <c r="C120" s="10" t="s">
        <v>19</v>
      </c>
      <c r="D120" s="10" t="s">
        <v>20</v>
      </c>
      <c r="E120" s="10" t="s">
        <v>21</v>
      </c>
      <c r="F120" s="10" t="s">
        <v>22</v>
      </c>
      <c r="G120" s="11" t="s">
        <v>23</v>
      </c>
    </row>
    <row r="121" spans="2:7" x14ac:dyDescent="0.25">
      <c r="B121" s="12"/>
      <c r="C121" s="7"/>
      <c r="D121" s="7"/>
      <c r="E121" s="7"/>
      <c r="F121" s="7"/>
      <c r="G121" s="8"/>
    </row>
    <row r="122" spans="2:7" x14ac:dyDescent="0.25">
      <c r="B122" s="6" t="s">
        <v>46</v>
      </c>
      <c r="C122" s="13">
        <v>305625</v>
      </c>
      <c r="D122" s="13">
        <v>306057</v>
      </c>
      <c r="E122" s="14">
        <f>D122-C122</f>
        <v>432</v>
      </c>
      <c r="F122" s="15">
        <v>990</v>
      </c>
      <c r="G122" s="16">
        <f>E122*F122</f>
        <v>427680</v>
      </c>
    </row>
    <row r="123" spans="2:7" x14ac:dyDescent="0.25">
      <c r="B123" s="6" t="s">
        <v>47</v>
      </c>
      <c r="C123" s="13">
        <v>255734</v>
      </c>
      <c r="D123" s="13">
        <v>256080</v>
      </c>
      <c r="E123" s="14">
        <f>D123-C123</f>
        <v>346</v>
      </c>
      <c r="F123" s="15">
        <v>990</v>
      </c>
      <c r="G123" s="16">
        <f>E123*F123</f>
        <v>342540</v>
      </c>
    </row>
    <row r="124" spans="2:7" x14ac:dyDescent="0.25">
      <c r="B124" s="12"/>
      <c r="C124" s="7"/>
      <c r="D124" s="7"/>
      <c r="E124" s="7"/>
      <c r="F124" s="7"/>
      <c r="G124" s="8"/>
    </row>
    <row r="125" spans="2:7" x14ac:dyDescent="0.25">
      <c r="B125" s="6" t="s">
        <v>46</v>
      </c>
      <c r="C125" s="13">
        <v>306057</v>
      </c>
      <c r="D125" s="13">
        <v>306286</v>
      </c>
      <c r="E125" s="14">
        <f>D125-C125</f>
        <v>229</v>
      </c>
      <c r="F125" s="15">
        <v>1050</v>
      </c>
      <c r="G125" s="16">
        <f>E125*F125</f>
        <v>240450</v>
      </c>
    </row>
    <row r="126" spans="2:7" x14ac:dyDescent="0.25">
      <c r="B126" s="6" t="s">
        <v>47</v>
      </c>
      <c r="C126" s="13">
        <v>256080</v>
      </c>
      <c r="D126" s="13">
        <v>256575</v>
      </c>
      <c r="E126" s="14">
        <f>D126-C126</f>
        <v>495</v>
      </c>
      <c r="F126" s="15">
        <v>1050</v>
      </c>
      <c r="G126" s="16">
        <f>E126*F126</f>
        <v>519750</v>
      </c>
    </row>
    <row r="127" spans="2:7" x14ac:dyDescent="0.25">
      <c r="B127" s="12"/>
      <c r="C127" s="7"/>
      <c r="D127" s="7"/>
      <c r="E127" s="7"/>
      <c r="F127" s="7"/>
      <c r="G127" s="8"/>
    </row>
    <row r="128" spans="2:7" x14ac:dyDescent="0.25">
      <c r="B128" s="6" t="s">
        <v>46</v>
      </c>
      <c r="C128" s="13">
        <v>306286</v>
      </c>
      <c r="D128" s="13">
        <v>306298</v>
      </c>
      <c r="E128" s="14">
        <f>D128-C128</f>
        <v>12</v>
      </c>
      <c r="F128" s="15">
        <v>1180</v>
      </c>
      <c r="G128" s="16">
        <f>E128*F128</f>
        <v>14160</v>
      </c>
    </row>
    <row r="129" spans="2:7" x14ac:dyDescent="0.25">
      <c r="B129" s="6" t="s">
        <v>47</v>
      </c>
      <c r="C129" s="13">
        <v>256575</v>
      </c>
      <c r="D129" s="13">
        <v>256742</v>
      </c>
      <c r="E129" s="14">
        <f>D129-C129</f>
        <v>167</v>
      </c>
      <c r="F129" s="15">
        <v>1180</v>
      </c>
      <c r="G129" s="16">
        <f>E129*F129</f>
        <v>197060</v>
      </c>
    </row>
    <row r="130" spans="2:7" x14ac:dyDescent="0.25">
      <c r="B130" s="12"/>
      <c r="C130" s="7"/>
      <c r="D130" s="7"/>
      <c r="E130" s="7"/>
      <c r="F130" s="7"/>
      <c r="G130" s="8"/>
    </row>
    <row r="131" spans="2:7" x14ac:dyDescent="0.25">
      <c r="B131" s="6" t="s">
        <v>46</v>
      </c>
      <c r="C131" s="13">
        <v>306298</v>
      </c>
      <c r="D131" s="13">
        <v>306333</v>
      </c>
      <c r="E131" s="14">
        <f>D131-C131</f>
        <v>35</v>
      </c>
      <c r="F131" s="15">
        <v>1200</v>
      </c>
      <c r="G131" s="16">
        <f>E131*F131</f>
        <v>42000</v>
      </c>
    </row>
    <row r="132" spans="2:7" x14ac:dyDescent="0.25">
      <c r="B132" s="6" t="s">
        <v>47</v>
      </c>
      <c r="C132" s="13">
        <v>256742</v>
      </c>
      <c r="D132" s="13">
        <v>256900</v>
      </c>
      <c r="E132" s="14">
        <f>D132-C132</f>
        <v>158</v>
      </c>
      <c r="F132" s="15">
        <v>1200</v>
      </c>
      <c r="G132" s="16">
        <f>E132*F132</f>
        <v>189600</v>
      </c>
    </row>
    <row r="133" spans="2:7" x14ac:dyDescent="0.25">
      <c r="B133" s="12"/>
      <c r="C133" s="7"/>
      <c r="D133" s="7"/>
      <c r="E133" s="7"/>
      <c r="F133" s="7"/>
      <c r="G133" s="8"/>
    </row>
    <row r="134" spans="2:7" x14ac:dyDescent="0.25">
      <c r="B134" s="6" t="s">
        <v>46</v>
      </c>
      <c r="C134" s="13">
        <v>306333</v>
      </c>
      <c r="D134" s="13">
        <v>306359</v>
      </c>
      <c r="E134" s="14">
        <f>D134-C134</f>
        <v>26</v>
      </c>
      <c r="F134" s="15">
        <v>1400</v>
      </c>
      <c r="G134" s="16">
        <f>E134*F134</f>
        <v>36400</v>
      </c>
    </row>
    <row r="135" spans="2:7" x14ac:dyDescent="0.25">
      <c r="B135" s="6" t="s">
        <v>47</v>
      </c>
      <c r="C135" s="13">
        <v>256900</v>
      </c>
      <c r="D135" s="13">
        <v>256937</v>
      </c>
      <c r="E135" s="14">
        <f>D135-C135</f>
        <v>37</v>
      </c>
      <c r="F135" s="15">
        <v>1400</v>
      </c>
      <c r="G135" s="16">
        <f>E135*F135</f>
        <v>51800</v>
      </c>
    </row>
    <row r="136" spans="2:7" x14ac:dyDescent="0.25">
      <c r="B136" s="12"/>
      <c r="C136" s="7"/>
      <c r="D136" s="7"/>
      <c r="E136" s="7"/>
      <c r="F136" s="7"/>
      <c r="G136" s="8"/>
    </row>
    <row r="137" spans="2:7" x14ac:dyDescent="0.25">
      <c r="B137" s="6" t="s">
        <v>46</v>
      </c>
      <c r="C137" s="13">
        <v>306359</v>
      </c>
      <c r="D137" s="13">
        <v>306759</v>
      </c>
      <c r="E137" s="14">
        <f>D137-C137</f>
        <v>400</v>
      </c>
      <c r="F137" s="15">
        <v>1450</v>
      </c>
      <c r="G137" s="16">
        <f>E137*F137</f>
        <v>580000</v>
      </c>
    </row>
    <row r="138" spans="2:7" x14ac:dyDescent="0.25">
      <c r="B138" s="6" t="s">
        <v>47</v>
      </c>
      <c r="C138" s="13">
        <v>256937</v>
      </c>
      <c r="D138" s="13">
        <v>257489</v>
      </c>
      <c r="E138" s="14">
        <f>D138-C138</f>
        <v>552</v>
      </c>
      <c r="F138" s="15">
        <v>1450</v>
      </c>
      <c r="G138" s="16">
        <f>E138*F138</f>
        <v>800400</v>
      </c>
    </row>
    <row r="139" spans="2:7" x14ac:dyDescent="0.25">
      <c r="B139" s="12"/>
      <c r="C139" s="7"/>
      <c r="D139" s="7"/>
      <c r="E139" s="7"/>
      <c r="F139" s="7"/>
      <c r="G139" s="8"/>
    </row>
    <row r="140" spans="2:7" x14ac:dyDescent="0.25">
      <c r="B140" s="6" t="s">
        <v>46</v>
      </c>
      <c r="C140" s="13">
        <v>306759</v>
      </c>
      <c r="D140" s="13">
        <v>306842</v>
      </c>
      <c r="E140" s="14">
        <f>D140-C140</f>
        <v>83</v>
      </c>
      <c r="F140" s="15">
        <v>1465</v>
      </c>
      <c r="G140" s="16">
        <f>E140*F140</f>
        <v>121595</v>
      </c>
    </row>
    <row r="141" spans="2:7" x14ac:dyDescent="0.25">
      <c r="B141" s="6" t="s">
        <v>47</v>
      </c>
      <c r="C141" s="13">
        <v>257489</v>
      </c>
      <c r="D141" s="13">
        <v>257533</v>
      </c>
      <c r="E141" s="14">
        <f>D141-C141</f>
        <v>44</v>
      </c>
      <c r="F141" s="15">
        <v>1465</v>
      </c>
      <c r="G141" s="16">
        <f>E141*F141</f>
        <v>64460</v>
      </c>
    </row>
    <row r="142" spans="2:7" x14ac:dyDescent="0.25">
      <c r="B142" s="12"/>
      <c r="C142" s="7"/>
      <c r="D142" s="7"/>
      <c r="E142" s="7"/>
      <c r="F142" s="7"/>
      <c r="G142" s="8"/>
    </row>
    <row r="143" spans="2:7" x14ac:dyDescent="0.25">
      <c r="B143" s="6" t="s">
        <v>46</v>
      </c>
      <c r="C143" s="13">
        <v>306842</v>
      </c>
      <c r="D143" s="13">
        <v>307503</v>
      </c>
      <c r="E143" s="14">
        <f>D143-C143</f>
        <v>661</v>
      </c>
      <c r="F143" s="15">
        <v>1770</v>
      </c>
      <c r="G143" s="16">
        <f>E143*F143</f>
        <v>1169970</v>
      </c>
    </row>
    <row r="144" spans="2:7" x14ac:dyDescent="0.25">
      <c r="B144" s="6" t="s">
        <v>47</v>
      </c>
      <c r="C144" s="13">
        <v>257533</v>
      </c>
      <c r="D144" s="13">
        <v>258478</v>
      </c>
      <c r="E144" s="14">
        <f>D144-C144</f>
        <v>945</v>
      </c>
      <c r="F144" s="15">
        <v>1770</v>
      </c>
      <c r="G144" s="16">
        <f>E144*F144</f>
        <v>1672650</v>
      </c>
    </row>
    <row r="145" spans="2:7" x14ac:dyDescent="0.25">
      <c r="B145" s="12"/>
      <c r="C145" s="7"/>
      <c r="D145" s="7"/>
      <c r="E145" s="7"/>
      <c r="F145" s="7"/>
      <c r="G145" s="8"/>
    </row>
    <row r="146" spans="2:7" x14ac:dyDescent="0.25">
      <c r="B146" s="6" t="s">
        <v>46</v>
      </c>
      <c r="C146" s="13">
        <v>307503</v>
      </c>
      <c r="D146" s="13">
        <v>307781</v>
      </c>
      <c r="E146" s="14">
        <f>D146-C146</f>
        <v>278</v>
      </c>
      <c r="F146" s="15">
        <v>1700</v>
      </c>
      <c r="G146" s="16">
        <f>E146*F146</f>
        <v>472600</v>
      </c>
    </row>
    <row r="147" spans="2:7" x14ac:dyDescent="0.25">
      <c r="B147" s="6" t="s">
        <v>47</v>
      </c>
      <c r="C147" s="13">
        <v>258478</v>
      </c>
      <c r="D147" s="13">
        <v>259015</v>
      </c>
      <c r="E147" s="14">
        <f>D147-C147</f>
        <v>537</v>
      </c>
      <c r="F147" s="15">
        <v>1700</v>
      </c>
      <c r="G147" s="16">
        <f>E147*F147</f>
        <v>912900</v>
      </c>
    </row>
    <row r="148" spans="2:7" x14ac:dyDescent="0.25">
      <c r="B148" s="12"/>
      <c r="C148" s="7"/>
      <c r="D148" s="7"/>
      <c r="E148" s="7"/>
      <c r="F148" s="7"/>
      <c r="G148" s="8"/>
    </row>
    <row r="149" spans="2:7" x14ac:dyDescent="0.25">
      <c r="B149" s="6" t="s">
        <v>46</v>
      </c>
      <c r="C149" s="13">
        <v>307781</v>
      </c>
      <c r="D149" s="13">
        <v>307913</v>
      </c>
      <c r="E149" s="14">
        <f>D149-C149</f>
        <v>132</v>
      </c>
      <c r="F149" s="15">
        <v>1670</v>
      </c>
      <c r="G149" s="16">
        <f>E149*F149</f>
        <v>220440</v>
      </c>
    </row>
    <row r="150" spans="2:7" x14ac:dyDescent="0.25">
      <c r="B150" s="6" t="s">
        <v>47</v>
      </c>
      <c r="C150" s="13">
        <v>259015</v>
      </c>
      <c r="D150" s="13">
        <v>259216</v>
      </c>
      <c r="E150" s="14">
        <f>D150-C150</f>
        <v>201</v>
      </c>
      <c r="F150" s="15">
        <v>1670</v>
      </c>
      <c r="G150" s="16">
        <f>E150*F150</f>
        <v>335670</v>
      </c>
    </row>
    <row r="151" spans="2:7" x14ac:dyDescent="0.25">
      <c r="B151" s="12"/>
      <c r="C151" s="7"/>
      <c r="D151" s="7"/>
      <c r="E151" s="7"/>
      <c r="F151" s="7"/>
      <c r="G151" s="8"/>
    </row>
    <row r="152" spans="2:7" x14ac:dyDescent="0.25">
      <c r="B152" s="17" t="s">
        <v>32</v>
      </c>
      <c r="C152" s="18" t="s">
        <v>48</v>
      </c>
      <c r="D152" s="7"/>
      <c r="E152" s="19">
        <f>SUM(E122:E150)</f>
        <v>5770</v>
      </c>
      <c r="F152" s="7"/>
      <c r="G152" s="20">
        <f>SUM(G122:G150)</f>
        <v>8412125</v>
      </c>
    </row>
    <row r="153" spans="2:7" x14ac:dyDescent="0.25">
      <c r="B153" s="12"/>
      <c r="C153" s="7"/>
      <c r="D153" s="7"/>
      <c r="E153" s="7"/>
      <c r="F153" s="7"/>
      <c r="G153" s="8"/>
    </row>
    <row r="154" spans="2:7" x14ac:dyDescent="0.25">
      <c r="B154" s="21" t="s">
        <v>34</v>
      </c>
      <c r="C154" s="4" t="s">
        <v>49</v>
      </c>
      <c r="D154" s="7"/>
      <c r="E154" s="7"/>
      <c r="F154" s="7"/>
      <c r="G154" s="16">
        <f>E154*F154</f>
        <v>0</v>
      </c>
    </row>
    <row r="155" spans="2:7" x14ac:dyDescent="0.25">
      <c r="B155" s="12"/>
      <c r="C155" s="7"/>
      <c r="D155" s="7"/>
      <c r="E155" s="7"/>
      <c r="F155" s="7"/>
      <c r="G155" s="16">
        <f>E155*F155</f>
        <v>0</v>
      </c>
    </row>
    <row r="156" spans="2:7" x14ac:dyDescent="0.25">
      <c r="B156" s="12"/>
      <c r="C156" s="7"/>
      <c r="D156" s="7"/>
      <c r="E156" s="7"/>
      <c r="F156" s="7"/>
      <c r="G156" s="16">
        <f>E156*F156</f>
        <v>0</v>
      </c>
    </row>
    <row r="157" spans="2:7" x14ac:dyDescent="0.25">
      <c r="B157" s="12"/>
      <c r="C157" s="7"/>
      <c r="D157" s="7"/>
      <c r="E157" s="7"/>
      <c r="F157" s="7"/>
      <c r="G157" s="16">
        <f>E157*F157</f>
        <v>0</v>
      </c>
    </row>
    <row r="158" spans="2:7" x14ac:dyDescent="0.25">
      <c r="B158" s="12"/>
      <c r="C158" s="7"/>
      <c r="D158" s="7"/>
      <c r="E158" s="7"/>
      <c r="F158" s="7"/>
      <c r="G158" s="16">
        <f>E158*F158</f>
        <v>0</v>
      </c>
    </row>
    <row r="159" spans="2:7" x14ac:dyDescent="0.25">
      <c r="B159" s="17" t="s">
        <v>36</v>
      </c>
      <c r="C159" s="18" t="s">
        <v>50</v>
      </c>
      <c r="D159" s="7"/>
      <c r="E159" s="19">
        <f>E152-SUM(E154:E158)</f>
        <v>5770</v>
      </c>
      <c r="F159" s="7"/>
      <c r="G159" s="20">
        <f>G152-SUM(G154:G158)</f>
        <v>8412125</v>
      </c>
    </row>
    <row r="160" spans="2:7" x14ac:dyDescent="0.25">
      <c r="B160" s="12"/>
      <c r="C160" s="7"/>
      <c r="D160" s="7"/>
      <c r="E160" s="7"/>
      <c r="F160" s="7"/>
      <c r="G160" s="8"/>
    </row>
    <row r="161" spans="2:7" x14ac:dyDescent="0.25">
      <c r="B161" s="12"/>
      <c r="C161" s="4" t="s">
        <v>51</v>
      </c>
      <c r="D161" s="7"/>
      <c r="E161" s="7"/>
      <c r="F161" s="7"/>
      <c r="G161" s="8"/>
    </row>
    <row r="162" spans="2:7" x14ac:dyDescent="0.25">
      <c r="B162" s="12"/>
      <c r="C162" s="22" t="s">
        <v>52</v>
      </c>
      <c r="D162" s="7"/>
      <c r="E162" s="15">
        <v>64</v>
      </c>
      <c r="F162" s="15">
        <v>990</v>
      </c>
      <c r="G162" s="16">
        <f t="shared" ref="G162:G173" si="19">E162*F162</f>
        <v>63360</v>
      </c>
    </row>
    <row r="163" spans="2:7" x14ac:dyDescent="0.25">
      <c r="B163" s="12"/>
      <c r="C163" s="22" t="s">
        <v>52</v>
      </c>
      <c r="D163" s="7"/>
      <c r="E163" s="15">
        <v>92</v>
      </c>
      <c r="F163" s="15">
        <v>1050</v>
      </c>
      <c r="G163" s="16">
        <f t="shared" si="19"/>
        <v>96600</v>
      </c>
    </row>
    <row r="164" spans="2:7" x14ac:dyDescent="0.25">
      <c r="B164" s="12"/>
      <c r="C164" s="22" t="s">
        <v>52</v>
      </c>
      <c r="D164" s="7"/>
      <c r="E164" s="15">
        <v>5</v>
      </c>
      <c r="F164" s="15">
        <v>1180</v>
      </c>
      <c r="G164" s="16">
        <f t="shared" si="19"/>
        <v>5900</v>
      </c>
    </row>
    <row r="165" spans="2:7" x14ac:dyDescent="0.25">
      <c r="B165" s="12"/>
      <c r="C165" s="22" t="s">
        <v>52</v>
      </c>
      <c r="D165" s="7"/>
      <c r="E165" s="15">
        <v>25</v>
      </c>
      <c r="F165" s="15">
        <v>1200</v>
      </c>
      <c r="G165" s="16">
        <f t="shared" si="19"/>
        <v>30000</v>
      </c>
    </row>
    <row r="166" spans="2:7" x14ac:dyDescent="0.25">
      <c r="B166" s="12"/>
      <c r="C166" s="22" t="s">
        <v>52</v>
      </c>
      <c r="D166" s="7"/>
      <c r="E166" s="15">
        <v>79</v>
      </c>
      <c r="F166" s="15">
        <v>1450</v>
      </c>
      <c r="G166" s="16">
        <f t="shared" si="19"/>
        <v>114550</v>
      </c>
    </row>
    <row r="167" spans="2:7" x14ac:dyDescent="0.25">
      <c r="B167" s="12"/>
      <c r="C167" s="22" t="s">
        <v>52</v>
      </c>
      <c r="D167" s="7"/>
      <c r="E167" s="15">
        <v>13</v>
      </c>
      <c r="F167" s="15">
        <v>1465</v>
      </c>
      <c r="G167" s="16">
        <f t="shared" si="19"/>
        <v>19045</v>
      </c>
    </row>
    <row r="168" spans="2:7" x14ac:dyDescent="0.25">
      <c r="B168" s="12"/>
      <c r="C168" s="22" t="s">
        <v>52</v>
      </c>
      <c r="D168" s="7"/>
      <c r="E168" s="15">
        <v>32</v>
      </c>
      <c r="F168" s="15">
        <v>1670</v>
      </c>
      <c r="G168" s="16">
        <f t="shared" si="19"/>
        <v>53440</v>
      </c>
    </row>
    <row r="169" spans="2:7" x14ac:dyDescent="0.25">
      <c r="B169" s="12"/>
      <c r="C169" s="22" t="s">
        <v>52</v>
      </c>
      <c r="D169" s="7"/>
      <c r="E169" s="15">
        <v>96</v>
      </c>
      <c r="F169" s="15">
        <v>1700</v>
      </c>
      <c r="G169" s="16">
        <f t="shared" si="19"/>
        <v>163200</v>
      </c>
    </row>
    <row r="170" spans="2:7" x14ac:dyDescent="0.25">
      <c r="B170" s="12"/>
      <c r="C170" s="22" t="s">
        <v>52</v>
      </c>
      <c r="D170" s="7"/>
      <c r="E170" s="15">
        <v>125</v>
      </c>
      <c r="F170" s="15">
        <v>1770</v>
      </c>
      <c r="G170" s="16">
        <f t="shared" si="19"/>
        <v>221250</v>
      </c>
    </row>
    <row r="171" spans="2:7" x14ac:dyDescent="0.25">
      <c r="B171" s="12"/>
      <c r="C171" s="7"/>
      <c r="D171" s="7"/>
      <c r="E171" s="7"/>
      <c r="F171" s="7"/>
      <c r="G171" s="16">
        <f t="shared" si="19"/>
        <v>0</v>
      </c>
    </row>
    <row r="172" spans="2:7" x14ac:dyDescent="0.25">
      <c r="B172" s="12"/>
      <c r="C172" s="7"/>
      <c r="D172" s="7"/>
      <c r="E172" s="7"/>
      <c r="F172" s="7"/>
      <c r="G172" s="16">
        <f t="shared" si="19"/>
        <v>0</v>
      </c>
    </row>
    <row r="173" spans="2:7" x14ac:dyDescent="0.25">
      <c r="B173" s="12"/>
      <c r="C173" s="7"/>
      <c r="D173" s="7"/>
      <c r="E173" s="7"/>
      <c r="F173" s="7"/>
      <c r="G173" s="16">
        <f t="shared" si="19"/>
        <v>0</v>
      </c>
    </row>
    <row r="174" spans="2:7" x14ac:dyDescent="0.25">
      <c r="B174" s="17" t="s">
        <v>40</v>
      </c>
      <c r="C174" s="18" t="s">
        <v>53</v>
      </c>
      <c r="D174" s="7"/>
      <c r="E174" s="19">
        <f>SUM(E162:E173)</f>
        <v>531</v>
      </c>
      <c r="F174" s="7"/>
      <c r="G174" s="20">
        <f>SUM(G162:G173)</f>
        <v>767345</v>
      </c>
    </row>
    <row r="175" spans="2:7" x14ac:dyDescent="0.25">
      <c r="B175" s="12"/>
      <c r="C175" s="7"/>
      <c r="D175" s="7"/>
      <c r="E175" s="7"/>
      <c r="F175" s="7"/>
      <c r="G175" s="8"/>
    </row>
    <row r="176" spans="2:7" x14ac:dyDescent="0.25">
      <c r="B176" s="17" t="s">
        <v>42</v>
      </c>
      <c r="C176" s="18" t="s">
        <v>54</v>
      </c>
      <c r="D176" s="7"/>
      <c r="E176" s="19">
        <f>E159-E174</f>
        <v>5239</v>
      </c>
      <c r="F176" s="7"/>
      <c r="G176" s="20">
        <f>G159-G174</f>
        <v>7644780</v>
      </c>
    </row>
    <row r="177" spans="2:7" x14ac:dyDescent="0.25">
      <c r="B177" s="12"/>
      <c r="C177" s="7"/>
      <c r="D177" s="7"/>
      <c r="E177" s="7"/>
      <c r="F177" s="7"/>
      <c r="G177" s="8"/>
    </row>
    <row r="178" spans="2:7" x14ac:dyDescent="0.25">
      <c r="B178" s="12"/>
      <c r="C178" s="7"/>
      <c r="D178" s="7"/>
      <c r="E178" s="7"/>
      <c r="F178" s="7"/>
      <c r="G178" s="8"/>
    </row>
    <row r="179" spans="2:7" x14ac:dyDescent="0.25">
      <c r="B179" s="12"/>
      <c r="C179" s="7"/>
      <c r="D179" s="7"/>
      <c r="E179" s="7"/>
      <c r="F179" s="7"/>
      <c r="G179" s="8"/>
    </row>
    <row r="180" spans="2:7" x14ac:dyDescent="0.25">
      <c r="B180" s="6" t="s">
        <v>55</v>
      </c>
      <c r="C180" s="88" t="s">
        <v>56</v>
      </c>
      <c r="D180" s="88"/>
      <c r="E180" s="7"/>
      <c r="F180" s="7"/>
      <c r="G180" s="8"/>
    </row>
    <row r="181" spans="2:7" x14ac:dyDescent="0.25">
      <c r="B181" s="9" t="s">
        <v>18</v>
      </c>
      <c r="C181" s="10" t="s">
        <v>19</v>
      </c>
      <c r="D181" s="10" t="s">
        <v>20</v>
      </c>
      <c r="E181" s="10" t="s">
        <v>21</v>
      </c>
      <c r="F181" s="10" t="s">
        <v>22</v>
      </c>
      <c r="G181" s="11" t="s">
        <v>23</v>
      </c>
    </row>
    <row r="182" spans="2:7" x14ac:dyDescent="0.25">
      <c r="B182" s="12"/>
      <c r="C182" s="7"/>
      <c r="D182" s="7"/>
      <c r="E182" s="7"/>
      <c r="F182" s="7"/>
      <c r="G182" s="8"/>
    </row>
    <row r="183" spans="2:7" x14ac:dyDescent="0.25">
      <c r="B183" s="6" t="s">
        <v>57</v>
      </c>
      <c r="C183" s="13">
        <v>70080</v>
      </c>
      <c r="D183" s="13">
        <v>70080</v>
      </c>
      <c r="E183" s="14">
        <f>D183-C183</f>
        <v>0</v>
      </c>
      <c r="F183" s="15">
        <v>1450</v>
      </c>
      <c r="G183" s="16">
        <f>E183*F183</f>
        <v>0</v>
      </c>
    </row>
    <row r="184" spans="2:7" x14ac:dyDescent="0.25">
      <c r="B184" s="6" t="s">
        <v>58</v>
      </c>
      <c r="C184" s="13">
        <v>98301</v>
      </c>
      <c r="D184" s="13">
        <v>98301</v>
      </c>
      <c r="E184" s="14">
        <f>D184-C184</f>
        <v>0</v>
      </c>
      <c r="F184" s="15">
        <v>1450</v>
      </c>
      <c r="G184" s="16">
        <f>E184*F184</f>
        <v>0</v>
      </c>
    </row>
    <row r="185" spans="2:7" x14ac:dyDescent="0.25">
      <c r="B185" s="12"/>
      <c r="C185" s="7"/>
      <c r="D185" s="7"/>
      <c r="E185" s="7"/>
      <c r="F185" s="7"/>
      <c r="G185" s="8"/>
    </row>
    <row r="186" spans="2:7" x14ac:dyDescent="0.25">
      <c r="B186" s="17" t="s">
        <v>32</v>
      </c>
      <c r="C186" s="18" t="s">
        <v>59</v>
      </c>
      <c r="D186" s="7"/>
      <c r="E186" s="19">
        <f>SUM(E183:E184)</f>
        <v>0</v>
      </c>
      <c r="F186" s="7"/>
      <c r="G186" s="20">
        <f>SUM(G183:G184)</f>
        <v>0</v>
      </c>
    </row>
    <row r="187" spans="2:7" x14ac:dyDescent="0.25">
      <c r="B187" s="12"/>
      <c r="C187" s="7"/>
      <c r="D187" s="7"/>
      <c r="E187" s="7"/>
      <c r="F187" s="7"/>
      <c r="G187" s="8"/>
    </row>
    <row r="188" spans="2:7" x14ac:dyDescent="0.25">
      <c r="B188" s="21" t="s">
        <v>34</v>
      </c>
      <c r="C188" s="4" t="s">
        <v>60</v>
      </c>
      <c r="D188" s="7"/>
      <c r="E188" s="7"/>
      <c r="F188" s="7"/>
      <c r="G188" s="16">
        <f>E188*F188</f>
        <v>0</v>
      </c>
    </row>
    <row r="189" spans="2:7" x14ac:dyDescent="0.25">
      <c r="B189" s="12"/>
      <c r="C189" s="7"/>
      <c r="D189" s="7"/>
      <c r="E189" s="7"/>
      <c r="F189" s="7"/>
      <c r="G189" s="16">
        <f>E189*F189</f>
        <v>0</v>
      </c>
    </row>
    <row r="190" spans="2:7" x14ac:dyDescent="0.25">
      <c r="B190" s="12"/>
      <c r="C190" s="7"/>
      <c r="D190" s="7"/>
      <c r="E190" s="7"/>
      <c r="F190" s="7"/>
      <c r="G190" s="16">
        <f>E190*F190</f>
        <v>0</v>
      </c>
    </row>
    <row r="191" spans="2:7" x14ac:dyDescent="0.25">
      <c r="B191" s="12"/>
      <c r="C191" s="7"/>
      <c r="D191" s="7"/>
      <c r="E191" s="7"/>
      <c r="F191" s="7"/>
      <c r="G191" s="16">
        <f>E191*F191</f>
        <v>0</v>
      </c>
    </row>
    <row r="192" spans="2:7" x14ac:dyDescent="0.25">
      <c r="B192" s="12"/>
      <c r="C192" s="7"/>
      <c r="D192" s="7"/>
      <c r="E192" s="7"/>
      <c r="F192" s="7"/>
      <c r="G192" s="16">
        <f>E192*F192</f>
        <v>0</v>
      </c>
    </row>
    <row r="193" spans="2:7" x14ac:dyDescent="0.25">
      <c r="B193" s="17" t="s">
        <v>36</v>
      </c>
      <c r="C193" s="18" t="s">
        <v>61</v>
      </c>
      <c r="D193" s="7"/>
      <c r="E193" s="19">
        <f>E186-SUM(E188:E192)</f>
        <v>0</v>
      </c>
      <c r="F193" s="7"/>
      <c r="G193" s="20">
        <f>G186-SUM(G188:G192)</f>
        <v>0</v>
      </c>
    </row>
    <row r="194" spans="2:7" x14ac:dyDescent="0.25">
      <c r="B194" s="12"/>
      <c r="C194" s="7"/>
      <c r="D194" s="7"/>
      <c r="E194" s="7"/>
      <c r="F194" s="7"/>
      <c r="G194" s="8"/>
    </row>
    <row r="195" spans="2:7" x14ac:dyDescent="0.25">
      <c r="B195" s="12"/>
      <c r="C195" s="4" t="s">
        <v>62</v>
      </c>
      <c r="D195" s="7"/>
      <c r="E195" s="7"/>
      <c r="F195" s="7"/>
      <c r="G195" s="8"/>
    </row>
    <row r="196" spans="2:7" x14ac:dyDescent="0.25">
      <c r="B196" s="12"/>
      <c r="C196" s="7"/>
      <c r="D196" s="7"/>
      <c r="E196" s="7"/>
      <c r="F196" s="7"/>
      <c r="G196" s="16">
        <f t="shared" ref="G196:G207" si="20">E196*F196</f>
        <v>0</v>
      </c>
    </row>
    <row r="197" spans="2:7" x14ac:dyDescent="0.25">
      <c r="B197" s="12"/>
      <c r="C197" s="7"/>
      <c r="D197" s="7"/>
      <c r="E197" s="7"/>
      <c r="F197" s="7"/>
      <c r="G197" s="16">
        <f t="shared" si="20"/>
        <v>0</v>
      </c>
    </row>
    <row r="198" spans="2:7" x14ac:dyDescent="0.25">
      <c r="B198" s="12"/>
      <c r="C198" s="7"/>
      <c r="D198" s="7"/>
      <c r="E198" s="7"/>
      <c r="F198" s="7"/>
      <c r="G198" s="16">
        <f t="shared" si="20"/>
        <v>0</v>
      </c>
    </row>
    <row r="199" spans="2:7" x14ac:dyDescent="0.25">
      <c r="B199" s="12"/>
      <c r="C199" s="7"/>
      <c r="D199" s="7"/>
      <c r="E199" s="7"/>
      <c r="F199" s="7"/>
      <c r="G199" s="16">
        <f t="shared" si="20"/>
        <v>0</v>
      </c>
    </row>
    <row r="200" spans="2:7" x14ac:dyDescent="0.25">
      <c r="B200" s="12"/>
      <c r="C200" s="7"/>
      <c r="D200" s="7"/>
      <c r="E200" s="7"/>
      <c r="F200" s="7"/>
      <c r="G200" s="16">
        <f t="shared" si="20"/>
        <v>0</v>
      </c>
    </row>
    <row r="201" spans="2:7" x14ac:dyDescent="0.25">
      <c r="B201" s="12"/>
      <c r="C201" s="7"/>
      <c r="D201" s="7"/>
      <c r="E201" s="7"/>
      <c r="F201" s="7"/>
      <c r="G201" s="16">
        <f t="shared" si="20"/>
        <v>0</v>
      </c>
    </row>
    <row r="202" spans="2:7" x14ac:dyDescent="0.25">
      <c r="B202" s="12"/>
      <c r="C202" s="7"/>
      <c r="D202" s="7"/>
      <c r="E202" s="7"/>
      <c r="F202" s="7"/>
      <c r="G202" s="16">
        <f t="shared" si="20"/>
        <v>0</v>
      </c>
    </row>
    <row r="203" spans="2:7" x14ac:dyDescent="0.25">
      <c r="B203" s="12"/>
      <c r="C203" s="7"/>
      <c r="D203" s="7"/>
      <c r="E203" s="7"/>
      <c r="F203" s="7"/>
      <c r="G203" s="16">
        <f t="shared" si="20"/>
        <v>0</v>
      </c>
    </row>
    <row r="204" spans="2:7" x14ac:dyDescent="0.25">
      <c r="B204" s="12"/>
      <c r="C204" s="7"/>
      <c r="D204" s="7"/>
      <c r="E204" s="7"/>
      <c r="F204" s="7"/>
      <c r="G204" s="16">
        <f t="shared" si="20"/>
        <v>0</v>
      </c>
    </row>
    <row r="205" spans="2:7" x14ac:dyDescent="0.25">
      <c r="B205" s="12"/>
      <c r="C205" s="7"/>
      <c r="D205" s="7"/>
      <c r="E205" s="7"/>
      <c r="F205" s="7"/>
      <c r="G205" s="16">
        <f t="shared" si="20"/>
        <v>0</v>
      </c>
    </row>
    <row r="206" spans="2:7" x14ac:dyDescent="0.25">
      <c r="B206" s="12"/>
      <c r="C206" s="7"/>
      <c r="D206" s="7"/>
      <c r="E206" s="7"/>
      <c r="F206" s="7"/>
      <c r="G206" s="16">
        <f t="shared" si="20"/>
        <v>0</v>
      </c>
    </row>
    <row r="207" spans="2:7" x14ac:dyDescent="0.25">
      <c r="B207" s="12"/>
      <c r="C207" s="7"/>
      <c r="D207" s="7"/>
      <c r="E207" s="7"/>
      <c r="F207" s="7"/>
      <c r="G207" s="16">
        <f t="shared" si="20"/>
        <v>0</v>
      </c>
    </row>
    <row r="208" spans="2:7" x14ac:dyDescent="0.25">
      <c r="B208" s="17" t="s">
        <v>40</v>
      </c>
      <c r="C208" s="18" t="s">
        <v>63</v>
      </c>
      <c r="D208" s="7"/>
      <c r="E208" s="19">
        <f>SUM(E196:E207)</f>
        <v>0</v>
      </c>
      <c r="F208" s="7"/>
      <c r="G208" s="20">
        <f>SUM(G196:G207)</f>
        <v>0</v>
      </c>
    </row>
    <row r="209" spans="2:7" x14ac:dyDescent="0.25">
      <c r="B209" s="12"/>
      <c r="C209" s="7"/>
      <c r="D209" s="7"/>
      <c r="E209" s="7"/>
      <c r="F209" s="7"/>
      <c r="G209" s="8"/>
    </row>
    <row r="210" spans="2:7" x14ac:dyDescent="0.25">
      <c r="B210" s="17" t="s">
        <v>42</v>
      </c>
      <c r="C210" s="18" t="s">
        <v>64</v>
      </c>
      <c r="D210" s="7"/>
      <c r="E210" s="19">
        <f>E193-E208</f>
        <v>0</v>
      </c>
      <c r="F210" s="7"/>
      <c r="G210" s="20">
        <f>G193-G208</f>
        <v>0</v>
      </c>
    </row>
    <row r="211" spans="2:7" x14ac:dyDescent="0.25">
      <c r="B211" s="12"/>
      <c r="C211" s="7"/>
      <c r="D211" s="7"/>
      <c r="E211" s="7"/>
      <c r="F211" s="7"/>
      <c r="G211" s="8"/>
    </row>
    <row r="212" spans="2:7" x14ac:dyDescent="0.25">
      <c r="B212" s="12"/>
      <c r="C212" s="7"/>
      <c r="D212" s="7"/>
      <c r="E212" s="7"/>
      <c r="F212" s="7"/>
      <c r="G212" s="8"/>
    </row>
    <row r="213" spans="2:7" x14ac:dyDescent="0.25">
      <c r="B213" s="12"/>
      <c r="C213" s="7"/>
      <c r="D213" s="7"/>
      <c r="E213" s="7"/>
      <c r="F213" s="7"/>
      <c r="G213" s="8"/>
    </row>
    <row r="214" spans="2:7" x14ac:dyDescent="0.25">
      <c r="B214" s="6" t="s">
        <v>65</v>
      </c>
      <c r="C214" s="7"/>
      <c r="D214" s="7"/>
      <c r="E214" s="7"/>
      <c r="F214" s="7"/>
      <c r="G214" s="8"/>
    </row>
    <row r="215" spans="2:7" x14ac:dyDescent="0.25">
      <c r="B215" s="12"/>
      <c r="C215" s="7"/>
      <c r="D215" s="7"/>
      <c r="E215" s="7"/>
      <c r="F215" s="7"/>
      <c r="G215" s="8"/>
    </row>
    <row r="216" spans="2:7" x14ac:dyDescent="0.25">
      <c r="B216" s="6" t="s">
        <v>66</v>
      </c>
      <c r="C216" s="7"/>
      <c r="D216" s="7"/>
      <c r="E216" s="7"/>
      <c r="F216" s="7"/>
      <c r="G216" s="20">
        <f>G115+G176+G210</f>
        <v>82031217</v>
      </c>
    </row>
    <row r="217" spans="2:7" x14ac:dyDescent="0.25">
      <c r="B217" s="12"/>
      <c r="C217" s="7"/>
      <c r="D217" s="7"/>
      <c r="E217" s="7"/>
      <c r="F217" s="7"/>
      <c r="G217" s="8"/>
    </row>
    <row r="218" spans="2:7" x14ac:dyDescent="0.25">
      <c r="B218" s="6" t="s">
        <v>67</v>
      </c>
      <c r="C218" s="7"/>
      <c r="D218" s="7"/>
      <c r="E218" s="7"/>
      <c r="F218" s="7"/>
      <c r="G218" s="20">
        <f>'9.Expenses for the Month'!E38</f>
        <v>0</v>
      </c>
    </row>
    <row r="219" spans="2:7" x14ac:dyDescent="0.25">
      <c r="B219" s="12"/>
      <c r="C219" s="7"/>
      <c r="D219" s="7"/>
      <c r="E219" s="7"/>
      <c r="F219" s="7"/>
      <c r="G219" s="8"/>
    </row>
    <row r="220" spans="2:7" x14ac:dyDescent="0.25">
      <c r="B220" s="6" t="s">
        <v>68</v>
      </c>
      <c r="C220" s="7"/>
      <c r="D220" s="7"/>
      <c r="E220" s="7"/>
      <c r="F220" s="7"/>
      <c r="G220" s="20">
        <f>G216-G218</f>
        <v>82031217</v>
      </c>
    </row>
    <row r="221" spans="2:7" x14ac:dyDescent="0.25">
      <c r="B221" s="12"/>
      <c r="C221" s="7"/>
      <c r="D221" s="7"/>
      <c r="E221" s="7"/>
      <c r="F221" s="7"/>
      <c r="G221" s="8"/>
    </row>
    <row r="222" spans="2:7" x14ac:dyDescent="0.25">
      <c r="B222" s="6" t="s">
        <v>69</v>
      </c>
      <c r="C222" s="7"/>
      <c r="D222" s="7"/>
      <c r="E222" s="7"/>
      <c r="F222" s="7"/>
      <c r="G222" s="20">
        <f>'4.Lodgement Sheet'!T172</f>
        <v>0</v>
      </c>
    </row>
    <row r="223" spans="2:7" x14ac:dyDescent="0.25">
      <c r="B223" s="12"/>
      <c r="C223" s="7"/>
      <c r="D223" s="7"/>
      <c r="E223" s="7"/>
      <c r="F223" s="7"/>
      <c r="G223" s="8"/>
    </row>
    <row r="224" spans="2:7" x14ac:dyDescent="0.25">
      <c r="B224" s="6" t="s">
        <v>70</v>
      </c>
      <c r="C224" s="7"/>
      <c r="D224" s="7"/>
      <c r="E224" s="7"/>
      <c r="F224" s="7"/>
      <c r="G224" s="20">
        <f>'4.Lodgement Sheet'!Q172</f>
        <v>0</v>
      </c>
    </row>
    <row r="225" spans="2:7" x14ac:dyDescent="0.25">
      <c r="B225" s="12"/>
      <c r="C225" s="7"/>
      <c r="D225" s="7"/>
      <c r="E225" s="7"/>
      <c r="F225" s="7"/>
      <c r="G225" s="8"/>
    </row>
    <row r="226" spans="2:7" x14ac:dyDescent="0.25">
      <c r="B226" s="6" t="s">
        <v>71</v>
      </c>
      <c r="C226" s="7"/>
      <c r="D226" s="7"/>
      <c r="E226" s="7"/>
      <c r="F226" s="7"/>
      <c r="G226" s="20">
        <f>'Customers'' Ledger'!C43</f>
        <v>0</v>
      </c>
    </row>
    <row r="227" spans="2:7" x14ac:dyDescent="0.25">
      <c r="B227" s="12"/>
      <c r="C227" s="7"/>
      <c r="D227" s="7"/>
      <c r="E227" s="7"/>
      <c r="F227" s="7"/>
      <c r="G227" s="8"/>
    </row>
    <row r="228" spans="2:7" x14ac:dyDescent="0.25">
      <c r="B228" s="6" t="s">
        <v>72</v>
      </c>
      <c r="C228" s="7"/>
      <c r="D228" s="7"/>
      <c r="E228" s="7"/>
      <c r="F228" s="7"/>
      <c r="G228" s="20">
        <f>'Customers'' Ledger'!J43</f>
        <v>0</v>
      </c>
    </row>
    <row r="229" spans="2:7" x14ac:dyDescent="0.25">
      <c r="B229" s="12"/>
      <c r="C229" s="7"/>
      <c r="D229" s="7"/>
      <c r="E229" s="7"/>
      <c r="F229" s="7"/>
      <c r="G229" s="8"/>
    </row>
    <row r="230" spans="2:7" x14ac:dyDescent="0.25">
      <c r="B230" s="6" t="s">
        <v>73</v>
      </c>
      <c r="C230" s="7"/>
      <c r="D230" s="7"/>
      <c r="E230" s="7"/>
      <c r="F230" s="7"/>
      <c r="G230" s="20">
        <f>(G222+G224+G226-G228)-G220</f>
        <v>-82031217</v>
      </c>
    </row>
  </sheetData>
  <sheetProtection sheet="1"/>
  <mergeCells count="5">
    <mergeCell ref="D3:E3"/>
    <mergeCell ref="C5:F5"/>
    <mergeCell ref="C7:D7"/>
    <mergeCell ref="C119:D119"/>
    <mergeCell ref="C180:D180"/>
  </mergeCells>
  <pageMargins left="0.7" right="0.7" top="0.75" bottom="0.75" header="0.3" footer="0.3"/>
  <pageSetup scale="1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C2:D86"/>
  <sheetViews>
    <sheetView showGridLines="0" tabSelected="1" view="pageBreakPreview" zoomScaleNormal="100" workbookViewId="0">
      <selection activeCell="D17" sqref="D17"/>
    </sheetView>
  </sheetViews>
  <sheetFormatPr defaultRowHeight="15.75" customHeight="1" x14ac:dyDescent="0.25"/>
  <cols>
    <col min="1" max="1" width="9.28515625" customWidth="1"/>
    <col min="2" max="2" width="6.28515625" customWidth="1"/>
    <col min="3" max="3" width="73" customWidth="1"/>
    <col min="4" max="4" width="31.28515625" customWidth="1"/>
    <col min="5" max="9" width="9.28515625" customWidth="1"/>
    <col min="10" max="10" width="13.28515625" customWidth="1"/>
  </cols>
  <sheetData>
    <row r="2" spans="3:4" ht="18.75" customHeight="1" x14ac:dyDescent="0.25">
      <c r="C2" s="23" t="s">
        <v>74</v>
      </c>
    </row>
    <row r="3" spans="3:4" ht="18.75" customHeight="1" x14ac:dyDescent="0.25">
      <c r="C3" s="23" t="s">
        <v>75</v>
      </c>
    </row>
    <row r="6" spans="3:4" ht="25.5" customHeight="1" x14ac:dyDescent="0.25">
      <c r="C6" s="24" t="s">
        <v>76</v>
      </c>
      <c r="D6" s="25" t="s">
        <v>77</v>
      </c>
    </row>
    <row r="7" spans="3:4" x14ac:dyDescent="0.25">
      <c r="C7" s="6" t="s">
        <v>78</v>
      </c>
      <c r="D7" s="26">
        <f>'10.Record of Stock Position'!C8</f>
        <v>43950</v>
      </c>
    </row>
    <row r="8" spans="3:4" x14ac:dyDescent="0.25">
      <c r="C8" s="12"/>
      <c r="D8" s="8"/>
    </row>
    <row r="9" spans="3:4" x14ac:dyDescent="0.25">
      <c r="C9" s="6" t="s">
        <v>79</v>
      </c>
      <c r="D9" s="26">
        <f>'8.Product Received'!F52</f>
        <v>44600</v>
      </c>
    </row>
    <row r="10" spans="3:4" x14ac:dyDescent="0.25">
      <c r="C10" s="12"/>
      <c r="D10" s="8"/>
    </row>
    <row r="11" spans="3:4" x14ac:dyDescent="0.25">
      <c r="C11" s="6" t="s">
        <v>80</v>
      </c>
      <c r="D11" s="26">
        <f>+D7+D9</f>
        <v>88550</v>
      </c>
    </row>
    <row r="12" spans="3:4" x14ac:dyDescent="0.25">
      <c r="C12" s="12"/>
      <c r="D12" s="8"/>
    </row>
    <row r="13" spans="3:4" x14ac:dyDescent="0.25">
      <c r="C13" s="6" t="s">
        <v>81</v>
      </c>
      <c r="D13" s="27">
        <f>'10.Record of Stock Position'!F40</f>
        <v>20500</v>
      </c>
    </row>
    <row r="14" spans="3:4" x14ac:dyDescent="0.25">
      <c r="C14" s="12"/>
      <c r="D14" s="8"/>
    </row>
    <row r="15" spans="3:4" x14ac:dyDescent="0.25">
      <c r="C15" s="6" t="s">
        <v>82</v>
      </c>
      <c r="D15" s="27">
        <f>D11-D13</f>
        <v>68050</v>
      </c>
    </row>
    <row r="16" spans="3:4" x14ac:dyDescent="0.25">
      <c r="C16" s="12"/>
      <c r="D16" s="8"/>
    </row>
    <row r="17" spans="3:4" x14ac:dyDescent="0.25">
      <c r="C17" s="6" t="s">
        <v>83</v>
      </c>
      <c r="D17" s="27">
        <f>'2. Sales&gt;&gt;Cash Position'!E98</f>
        <v>68455</v>
      </c>
    </row>
    <row r="18" spans="3:4" x14ac:dyDescent="0.25">
      <c r="C18" s="12"/>
      <c r="D18" s="8"/>
    </row>
    <row r="19" spans="3:4" x14ac:dyDescent="0.25">
      <c r="C19" s="6" t="s">
        <v>84</v>
      </c>
      <c r="D19" s="27">
        <f>D17-D15</f>
        <v>405</v>
      </c>
    </row>
    <row r="20" spans="3:4" x14ac:dyDescent="0.25">
      <c r="C20" s="12"/>
      <c r="D20" s="8"/>
    </row>
    <row r="21" spans="3:4" x14ac:dyDescent="0.25">
      <c r="C21" s="12"/>
      <c r="D21" s="8"/>
    </row>
    <row r="22" spans="3:4" x14ac:dyDescent="0.25">
      <c r="C22" s="12"/>
      <c r="D22" s="8"/>
    </row>
    <row r="23" spans="3:4" ht="15" x14ac:dyDescent="0.25">
      <c r="C23" s="6" t="s">
        <v>85</v>
      </c>
      <c r="D23" s="26">
        <f>'8.Product Received'!D52</f>
        <v>0</v>
      </c>
    </row>
    <row r="24" spans="3:4" ht="15" x14ac:dyDescent="0.25">
      <c r="C24" s="12"/>
      <c r="D24" s="8"/>
    </row>
    <row r="25" spans="3:4" ht="15" x14ac:dyDescent="0.25">
      <c r="C25" s="6" t="s">
        <v>86</v>
      </c>
      <c r="D25" s="26">
        <f>'8.Product Received'!F52</f>
        <v>44600</v>
      </c>
    </row>
    <row r="26" spans="3:4" ht="15" x14ac:dyDescent="0.25">
      <c r="C26" s="12"/>
      <c r="D26" s="8"/>
    </row>
    <row r="27" spans="3:4" ht="15" x14ac:dyDescent="0.25">
      <c r="C27" s="6" t="s">
        <v>87</v>
      </c>
      <c r="D27" s="27">
        <f>D25-D23</f>
        <v>44600</v>
      </c>
    </row>
    <row r="28" spans="3:4" ht="15" x14ac:dyDescent="0.25">
      <c r="C28" s="12"/>
      <c r="D28" s="8"/>
    </row>
    <row r="29" spans="3:4" ht="15" x14ac:dyDescent="0.25">
      <c r="C29" s="12"/>
      <c r="D29" s="8"/>
    </row>
    <row r="30" spans="3:4" ht="15" x14ac:dyDescent="0.25">
      <c r="C30" s="12"/>
      <c r="D30" s="8"/>
    </row>
    <row r="31" spans="3:4" ht="15" x14ac:dyDescent="0.25">
      <c r="C31" s="12"/>
      <c r="D31" s="8"/>
    </row>
    <row r="32" spans="3:4" ht="15" x14ac:dyDescent="0.25">
      <c r="C32" s="12"/>
      <c r="D32" s="8"/>
    </row>
    <row r="33" spans="3:4" ht="25.5" customHeight="1" x14ac:dyDescent="0.25">
      <c r="C33" s="24" t="s">
        <v>88</v>
      </c>
      <c r="D33" s="25" t="s">
        <v>77</v>
      </c>
    </row>
    <row r="34" spans="3:4" ht="15" x14ac:dyDescent="0.25">
      <c r="C34" s="6" t="s">
        <v>78</v>
      </c>
      <c r="D34" s="26">
        <f>'10.Record of Stock Position'!I8</f>
        <v>10750</v>
      </c>
    </row>
    <row r="35" spans="3:4" ht="15" x14ac:dyDescent="0.25">
      <c r="C35" s="12"/>
      <c r="D35" s="8"/>
    </row>
    <row r="36" spans="3:4" ht="15" x14ac:dyDescent="0.25">
      <c r="C36" s="6" t="s">
        <v>79</v>
      </c>
      <c r="D36" s="26">
        <f>'8.Product Received'!K52</f>
        <v>14800</v>
      </c>
    </row>
    <row r="37" spans="3:4" ht="15" x14ac:dyDescent="0.25">
      <c r="C37" s="12"/>
      <c r="D37" s="8"/>
    </row>
    <row r="38" spans="3:4" ht="15" x14ac:dyDescent="0.25">
      <c r="C38" s="6" t="s">
        <v>80</v>
      </c>
      <c r="D38" s="26">
        <f>+D34+D36</f>
        <v>25550</v>
      </c>
    </row>
    <row r="39" spans="3:4" ht="15" x14ac:dyDescent="0.25">
      <c r="C39" s="12"/>
      <c r="D39" s="8"/>
    </row>
    <row r="40" spans="3:4" ht="15" x14ac:dyDescent="0.25">
      <c r="C40" s="6" t="s">
        <v>81</v>
      </c>
      <c r="D40" s="27">
        <f>'10.Record of Stock Position'!L40</f>
        <v>34400</v>
      </c>
    </row>
    <row r="41" spans="3:4" ht="15" x14ac:dyDescent="0.25">
      <c r="C41" s="12"/>
      <c r="D41" s="8"/>
    </row>
    <row r="42" spans="3:4" ht="15" x14ac:dyDescent="0.25">
      <c r="C42" s="6" t="s">
        <v>82</v>
      </c>
      <c r="D42" s="27">
        <f>D38-D40</f>
        <v>-8850</v>
      </c>
    </row>
    <row r="43" spans="3:4" ht="15" x14ac:dyDescent="0.25">
      <c r="C43" s="12"/>
      <c r="D43" s="8"/>
    </row>
    <row r="44" spans="3:4" ht="15" x14ac:dyDescent="0.25">
      <c r="C44" s="6" t="s">
        <v>83</v>
      </c>
      <c r="D44" s="27">
        <f>'2. Sales&gt;&gt;Cash Position'!E159</f>
        <v>5770</v>
      </c>
    </row>
    <row r="45" spans="3:4" ht="15" x14ac:dyDescent="0.25">
      <c r="C45" s="12"/>
      <c r="D45" s="8"/>
    </row>
    <row r="46" spans="3:4" ht="15" x14ac:dyDescent="0.25">
      <c r="C46" s="6" t="s">
        <v>84</v>
      </c>
      <c r="D46" s="27">
        <f>D44-D42</f>
        <v>14620</v>
      </c>
    </row>
    <row r="47" spans="3:4" ht="15" x14ac:dyDescent="0.25">
      <c r="C47" s="12"/>
      <c r="D47" s="8"/>
    </row>
    <row r="48" spans="3:4" ht="15" x14ac:dyDescent="0.25">
      <c r="C48" s="12"/>
      <c r="D48" s="8"/>
    </row>
    <row r="49" spans="3:4" ht="15" x14ac:dyDescent="0.25">
      <c r="C49" s="12"/>
      <c r="D49" s="8"/>
    </row>
    <row r="50" spans="3:4" ht="15" x14ac:dyDescent="0.25">
      <c r="C50" s="6" t="s">
        <v>85</v>
      </c>
      <c r="D50" s="26">
        <f>'8.Product Received'!I52</f>
        <v>0</v>
      </c>
    </row>
    <row r="51" spans="3:4" ht="15" x14ac:dyDescent="0.25">
      <c r="C51" s="12"/>
      <c r="D51" s="8"/>
    </row>
    <row r="52" spans="3:4" ht="15" x14ac:dyDescent="0.25">
      <c r="C52" s="6" t="s">
        <v>86</v>
      </c>
      <c r="D52" s="26">
        <f>'8.Product Received'!K52</f>
        <v>14800</v>
      </c>
    </row>
    <row r="53" spans="3:4" ht="15" x14ac:dyDescent="0.25">
      <c r="C53" s="12"/>
      <c r="D53" s="8"/>
    </row>
    <row r="54" spans="3:4" ht="15" x14ac:dyDescent="0.25">
      <c r="C54" s="6" t="s">
        <v>87</v>
      </c>
      <c r="D54" s="27">
        <f>D52-D50</f>
        <v>14800</v>
      </c>
    </row>
    <row r="55" spans="3:4" ht="15" x14ac:dyDescent="0.25">
      <c r="C55" s="12"/>
      <c r="D55" s="8"/>
    </row>
    <row r="56" spans="3:4" ht="15" x14ac:dyDescent="0.25">
      <c r="C56" s="12"/>
      <c r="D56" s="8"/>
    </row>
    <row r="57" spans="3:4" ht="15" x14ac:dyDescent="0.25">
      <c r="C57" s="12"/>
      <c r="D57" s="8"/>
    </row>
    <row r="58" spans="3:4" ht="15" x14ac:dyDescent="0.25">
      <c r="C58" s="12"/>
      <c r="D58" s="8"/>
    </row>
    <row r="59" spans="3:4" ht="15" x14ac:dyDescent="0.25">
      <c r="C59" s="12"/>
      <c r="D59" s="8"/>
    </row>
    <row r="60" spans="3:4" ht="25.5" customHeight="1" x14ac:dyDescent="0.25">
      <c r="C60" s="24" t="s">
        <v>89</v>
      </c>
      <c r="D60" s="25" t="s">
        <v>77</v>
      </c>
    </row>
    <row r="61" spans="3:4" ht="15" x14ac:dyDescent="0.25">
      <c r="C61" s="6" t="s">
        <v>78</v>
      </c>
      <c r="D61" s="26">
        <f>'10.Record of Stock Position'!O8</f>
        <v>1100</v>
      </c>
    </row>
    <row r="62" spans="3:4" ht="15" x14ac:dyDescent="0.25">
      <c r="C62" s="12"/>
      <c r="D62" s="8"/>
    </row>
    <row r="63" spans="3:4" ht="15" x14ac:dyDescent="0.25">
      <c r="C63" s="6" t="s">
        <v>79</v>
      </c>
      <c r="D63" s="26">
        <f>'8.Product Received'!P52</f>
        <v>0</v>
      </c>
    </row>
    <row r="64" spans="3:4" ht="15" x14ac:dyDescent="0.25">
      <c r="C64" s="12"/>
      <c r="D64" s="8"/>
    </row>
    <row r="65" spans="3:4" ht="15" x14ac:dyDescent="0.25">
      <c r="C65" s="6" t="s">
        <v>80</v>
      </c>
      <c r="D65" s="26">
        <f>+D61+D63</f>
        <v>1100</v>
      </c>
    </row>
    <row r="66" spans="3:4" ht="15" x14ac:dyDescent="0.25">
      <c r="C66" s="12"/>
      <c r="D66" s="8"/>
    </row>
    <row r="67" spans="3:4" ht="15" x14ac:dyDescent="0.25">
      <c r="C67" s="6" t="s">
        <v>81</v>
      </c>
      <c r="D67" s="27">
        <f>'10.Record of Stock Position'!R40</f>
        <v>1100</v>
      </c>
    </row>
    <row r="68" spans="3:4" ht="15" x14ac:dyDescent="0.25">
      <c r="C68" s="12"/>
      <c r="D68" s="8"/>
    </row>
    <row r="69" spans="3:4" ht="15" x14ac:dyDescent="0.25">
      <c r="C69" s="6" t="s">
        <v>82</v>
      </c>
      <c r="D69" s="27">
        <f>D65-D67</f>
        <v>0</v>
      </c>
    </row>
    <row r="70" spans="3:4" ht="15" x14ac:dyDescent="0.25">
      <c r="C70" s="12"/>
      <c r="D70" s="8"/>
    </row>
    <row r="71" spans="3:4" ht="15" x14ac:dyDescent="0.25">
      <c r="C71" s="6" t="s">
        <v>83</v>
      </c>
      <c r="D71" s="27">
        <f>'2. Sales&gt;&gt;Cash Position'!E193</f>
        <v>0</v>
      </c>
    </row>
    <row r="72" spans="3:4" ht="15" x14ac:dyDescent="0.25">
      <c r="C72" s="12"/>
      <c r="D72" s="8"/>
    </row>
    <row r="73" spans="3:4" ht="15" x14ac:dyDescent="0.25">
      <c r="C73" s="6" t="s">
        <v>84</v>
      </c>
      <c r="D73" s="27">
        <f>D71-D69</f>
        <v>0</v>
      </c>
    </row>
    <row r="74" spans="3:4" ht="15" x14ac:dyDescent="0.25">
      <c r="C74" s="12"/>
      <c r="D74" s="8"/>
    </row>
    <row r="75" spans="3:4" ht="15" x14ac:dyDescent="0.25">
      <c r="C75" s="12"/>
      <c r="D75" s="8"/>
    </row>
    <row r="76" spans="3:4" ht="15" x14ac:dyDescent="0.25">
      <c r="C76" s="12"/>
      <c r="D76" s="8"/>
    </row>
    <row r="77" spans="3:4" ht="15" x14ac:dyDescent="0.25">
      <c r="C77" s="6" t="s">
        <v>85</v>
      </c>
      <c r="D77" s="26">
        <f>'8.Product Received'!N52</f>
        <v>0</v>
      </c>
    </row>
    <row r="78" spans="3:4" ht="15" x14ac:dyDescent="0.25">
      <c r="C78" s="12"/>
      <c r="D78" s="8"/>
    </row>
    <row r="79" spans="3:4" ht="15" x14ac:dyDescent="0.25">
      <c r="C79" s="6" t="s">
        <v>86</v>
      </c>
      <c r="D79" s="26">
        <f>'8.Product Received'!P52</f>
        <v>0</v>
      </c>
    </row>
    <row r="80" spans="3:4" ht="15" x14ac:dyDescent="0.25">
      <c r="C80" s="12"/>
      <c r="D80" s="8"/>
    </row>
    <row r="81" spans="3:4" ht="15" x14ac:dyDescent="0.25">
      <c r="C81" s="6" t="s">
        <v>87</v>
      </c>
      <c r="D81" s="27">
        <f>D79-D77</f>
        <v>0</v>
      </c>
    </row>
    <row r="82" spans="3:4" ht="15" x14ac:dyDescent="0.25">
      <c r="C82" s="12"/>
      <c r="D82" s="8"/>
    </row>
    <row r="83" spans="3:4" ht="15" x14ac:dyDescent="0.25">
      <c r="C83" s="12"/>
      <c r="D83" s="8"/>
    </row>
    <row r="84" spans="3:4" ht="15" x14ac:dyDescent="0.25">
      <c r="C84" s="12"/>
      <c r="D84" s="8"/>
    </row>
    <row r="85" spans="3:4" ht="15" x14ac:dyDescent="0.25">
      <c r="C85" s="12"/>
      <c r="D85" s="8"/>
    </row>
    <row r="86" spans="3:4" ht="15" x14ac:dyDescent="0.25">
      <c r="C86" s="12"/>
      <c r="D86" s="8"/>
    </row>
  </sheetData>
  <sheetProtection sheet="1"/>
  <pageMargins left="0.25" right="0.25" top="0.75" bottom="0.75" header="0.3" footer="0.3"/>
  <pageSetup scale="3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Y172"/>
  <sheetViews>
    <sheetView showGridLines="0" view="pageBreakPreview" zoomScale="85" zoomScaleNormal="100" workbookViewId="0">
      <pane xSplit="2" ySplit="9" topLeftCell="C2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6.7109375" customWidth="1"/>
    <col min="2" max="2" width="18.42578125" customWidth="1"/>
    <col min="3" max="3" width="17.42578125" customWidth="1"/>
    <col min="4" max="4" width="4.28515625" customWidth="1"/>
    <col min="5" max="5" width="14.5703125" customWidth="1"/>
    <col min="6" max="6" width="3.28515625" customWidth="1"/>
    <col min="7" max="7" width="14.28515625" customWidth="1"/>
    <col min="8" max="8" width="3" customWidth="1"/>
    <col min="9" max="15" width="14.7109375" customWidth="1"/>
    <col min="16" max="16" width="16.7109375" customWidth="1"/>
    <col min="17" max="17" width="12.28515625" customWidth="1"/>
    <col min="18" max="18" width="24.42578125" customWidth="1"/>
    <col min="19" max="19" width="22.28515625" customWidth="1"/>
    <col min="20" max="20" width="11.28515625" customWidth="1"/>
    <col min="21" max="21" width="19.7109375" customWidth="1"/>
    <col min="22" max="22" width="3.5703125" customWidth="1"/>
    <col min="23" max="25" width="9.28515625" customWidth="1"/>
  </cols>
  <sheetData>
    <row r="2" spans="2:25" x14ac:dyDescent="0.25">
      <c r="B2" s="28" t="s">
        <v>90</v>
      </c>
      <c r="C2" s="28" t="s">
        <v>91</v>
      </c>
    </row>
    <row r="3" spans="2:25" x14ac:dyDescent="0.25">
      <c r="B3" s="28" t="s">
        <v>92</v>
      </c>
    </row>
    <row r="4" spans="2:25" ht="14.25" customHeight="1" x14ac:dyDescent="0.25">
      <c r="B4" s="28" t="s">
        <v>93</v>
      </c>
      <c r="C4" s="28" t="s">
        <v>94</v>
      </c>
    </row>
    <row r="8" spans="2:25" x14ac:dyDescent="0.25">
      <c r="B8" s="29" t="s">
        <v>95</v>
      </c>
      <c r="C8" s="30" t="s">
        <v>96</v>
      </c>
      <c r="D8" s="31"/>
      <c r="E8" s="30" t="s">
        <v>97</v>
      </c>
      <c r="F8" s="31"/>
      <c r="G8" s="30" t="s">
        <v>98</v>
      </c>
      <c r="H8" s="31"/>
      <c r="I8" s="89" t="s">
        <v>99</v>
      </c>
      <c r="J8" s="89"/>
      <c r="K8" s="89"/>
      <c r="L8" s="89"/>
      <c r="M8" s="89"/>
      <c r="N8" s="89"/>
      <c r="O8" s="89"/>
      <c r="P8" s="30" t="s">
        <v>100</v>
      </c>
      <c r="Q8" s="30" t="s">
        <v>101</v>
      </c>
      <c r="R8" s="30" t="s">
        <v>102</v>
      </c>
      <c r="S8" s="30" t="s">
        <v>103</v>
      </c>
      <c r="T8" s="30" t="s">
        <v>104</v>
      </c>
      <c r="U8" s="30" t="s">
        <v>105</v>
      </c>
      <c r="V8" s="90" t="s">
        <v>106</v>
      </c>
      <c r="W8" s="90"/>
      <c r="X8" s="90"/>
      <c r="Y8" s="90"/>
    </row>
    <row r="9" spans="2:25" x14ac:dyDescent="0.25">
      <c r="B9" s="33"/>
      <c r="C9" s="31"/>
      <c r="D9" s="31"/>
      <c r="E9" s="31"/>
      <c r="F9" s="31"/>
      <c r="G9" s="31"/>
      <c r="H9" s="31"/>
      <c r="I9" s="30" t="s">
        <v>107</v>
      </c>
      <c r="J9" s="30" t="s">
        <v>108</v>
      </c>
      <c r="K9" s="30" t="s">
        <v>107</v>
      </c>
      <c r="L9" s="31"/>
      <c r="M9" s="31"/>
      <c r="N9" s="31"/>
      <c r="O9" s="31"/>
      <c r="P9" s="30" t="s">
        <v>109</v>
      </c>
      <c r="Q9" s="31"/>
      <c r="R9" s="31"/>
      <c r="S9" s="31"/>
      <c r="T9" s="31"/>
      <c r="U9" s="31"/>
      <c r="V9" s="31"/>
      <c r="W9" s="31"/>
      <c r="X9" s="31"/>
      <c r="Y9" s="34"/>
    </row>
    <row r="11" spans="2:25" x14ac:dyDescent="0.25">
      <c r="B11" s="35">
        <v>46081.958333333328</v>
      </c>
      <c r="C11" s="36">
        <f t="shared" ref="C11:C42" si="0">E11+G11+P11</f>
        <v>4134620</v>
      </c>
      <c r="D11" s="37"/>
      <c r="E11" s="36">
        <v>588104</v>
      </c>
      <c r="F11" s="37"/>
      <c r="G11" s="37"/>
      <c r="H11" s="37"/>
      <c r="I11" s="36">
        <v>1091855</v>
      </c>
      <c r="J11" s="36">
        <v>909300</v>
      </c>
      <c r="K11" s="36">
        <v>1545361</v>
      </c>
      <c r="L11" s="37"/>
      <c r="M11" s="37"/>
      <c r="N11" s="37"/>
      <c r="O11" s="37"/>
      <c r="P11" s="36">
        <f t="shared" ref="P11:P42" si="1">SUM(I11:O11)</f>
        <v>3546516</v>
      </c>
      <c r="Q11" s="37"/>
      <c r="R11" s="36">
        <f t="shared" ref="R11:R42" si="2">E11-Q11</f>
        <v>588104</v>
      </c>
      <c r="S11" s="37"/>
      <c r="T11" s="38" t="s">
        <v>110</v>
      </c>
      <c r="U11" s="39">
        <v>46081.958333333328</v>
      </c>
      <c r="V11" s="37"/>
      <c r="W11" s="37"/>
      <c r="X11" s="37"/>
      <c r="Y11" s="40"/>
    </row>
    <row r="12" spans="2:25" x14ac:dyDescent="0.25">
      <c r="B12" s="41"/>
      <c r="C12" s="36">
        <f t="shared" si="0"/>
        <v>0</v>
      </c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6">
        <f t="shared" si="1"/>
        <v>0</v>
      </c>
      <c r="Q12" s="37"/>
      <c r="R12" s="36">
        <f t="shared" si="2"/>
        <v>0</v>
      </c>
      <c r="S12" s="36">
        <v>4134620</v>
      </c>
      <c r="T12" s="38" t="s">
        <v>111</v>
      </c>
      <c r="U12" s="37"/>
      <c r="V12" s="37"/>
      <c r="W12" s="37"/>
      <c r="X12" s="37"/>
      <c r="Y12" s="40"/>
    </row>
    <row r="13" spans="2:25" x14ac:dyDescent="0.25">
      <c r="B13" s="41"/>
      <c r="C13" s="36">
        <f t="shared" si="0"/>
        <v>0</v>
      </c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6">
        <f t="shared" si="1"/>
        <v>0</v>
      </c>
      <c r="Q13" s="37"/>
      <c r="R13" s="36">
        <f t="shared" si="2"/>
        <v>0</v>
      </c>
      <c r="S13" s="37"/>
      <c r="T13" s="37"/>
      <c r="U13" s="37"/>
      <c r="V13" s="37"/>
      <c r="W13" s="37"/>
      <c r="X13" s="37"/>
      <c r="Y13" s="40"/>
    </row>
    <row r="14" spans="2:25" x14ac:dyDescent="0.25">
      <c r="B14" s="35">
        <v>46082.958333333328</v>
      </c>
      <c r="C14" s="36">
        <f t="shared" si="0"/>
        <v>4443440</v>
      </c>
      <c r="D14" s="37"/>
      <c r="E14" s="36">
        <v>152735</v>
      </c>
      <c r="F14" s="37"/>
      <c r="G14" s="37"/>
      <c r="H14" s="37"/>
      <c r="I14" s="36">
        <v>1344855</v>
      </c>
      <c r="J14" s="36">
        <v>1415940</v>
      </c>
      <c r="K14" s="36">
        <v>1529910</v>
      </c>
      <c r="L14" s="37"/>
      <c r="M14" s="37"/>
      <c r="N14" s="37"/>
      <c r="O14" s="37"/>
      <c r="P14" s="36">
        <f t="shared" si="1"/>
        <v>4290705</v>
      </c>
      <c r="Q14" s="37"/>
      <c r="R14" s="36">
        <f t="shared" si="2"/>
        <v>152735</v>
      </c>
      <c r="S14" s="37"/>
      <c r="T14" s="38" t="s">
        <v>110</v>
      </c>
      <c r="U14" s="39">
        <v>46082.958333333328</v>
      </c>
      <c r="V14" s="37"/>
      <c r="W14" s="37"/>
      <c r="X14" s="37"/>
      <c r="Y14" s="40"/>
    </row>
    <row r="15" spans="2:25" x14ac:dyDescent="0.25">
      <c r="B15" s="41"/>
      <c r="C15" s="36">
        <f t="shared" si="0"/>
        <v>0</v>
      </c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6">
        <f t="shared" si="1"/>
        <v>0</v>
      </c>
      <c r="Q15" s="37"/>
      <c r="R15" s="36">
        <f t="shared" si="2"/>
        <v>0</v>
      </c>
      <c r="S15" s="36">
        <v>4443440</v>
      </c>
      <c r="T15" s="38" t="s">
        <v>111</v>
      </c>
      <c r="U15" s="37"/>
      <c r="V15" s="37"/>
      <c r="W15" s="37"/>
      <c r="X15" s="37"/>
      <c r="Y15" s="40"/>
    </row>
    <row r="16" spans="2:25" x14ac:dyDescent="0.25">
      <c r="B16" s="41"/>
      <c r="C16" s="36">
        <f t="shared" si="0"/>
        <v>0</v>
      </c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6">
        <f t="shared" si="1"/>
        <v>0</v>
      </c>
      <c r="Q16" s="37"/>
      <c r="R16" s="36">
        <f t="shared" si="2"/>
        <v>0</v>
      </c>
      <c r="S16" s="37"/>
      <c r="T16" s="37"/>
      <c r="U16" s="37"/>
      <c r="V16" s="37"/>
      <c r="W16" s="37"/>
      <c r="X16" s="37"/>
      <c r="Y16" s="40"/>
    </row>
    <row r="17" spans="2:25" x14ac:dyDescent="0.25">
      <c r="B17" s="35">
        <v>46083.958333333328</v>
      </c>
      <c r="C17" s="36">
        <f t="shared" si="0"/>
        <v>4212500</v>
      </c>
      <c r="D17" s="37"/>
      <c r="E17" s="36">
        <v>188601</v>
      </c>
      <c r="F17" s="37"/>
      <c r="G17" s="37"/>
      <c r="H17" s="37"/>
      <c r="I17" s="36">
        <v>1182858</v>
      </c>
      <c r="J17" s="36">
        <v>1214600</v>
      </c>
      <c r="K17" s="36">
        <v>1626441</v>
      </c>
      <c r="L17" s="37"/>
      <c r="M17" s="37"/>
      <c r="N17" s="37"/>
      <c r="O17" s="37"/>
      <c r="P17" s="36">
        <f t="shared" si="1"/>
        <v>4023899</v>
      </c>
      <c r="Q17" s="37"/>
      <c r="R17" s="36">
        <f t="shared" si="2"/>
        <v>188601</v>
      </c>
      <c r="S17" s="37"/>
      <c r="T17" s="38" t="s">
        <v>110</v>
      </c>
      <c r="U17" s="39">
        <v>46083.958333333328</v>
      </c>
      <c r="V17" s="37"/>
      <c r="W17" s="37"/>
      <c r="X17" s="37"/>
      <c r="Y17" s="40"/>
    </row>
    <row r="18" spans="2:25" x14ac:dyDescent="0.25">
      <c r="B18" s="41"/>
      <c r="C18" s="36">
        <f t="shared" si="0"/>
        <v>0</v>
      </c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6">
        <f t="shared" si="1"/>
        <v>0</v>
      </c>
      <c r="Q18" s="37"/>
      <c r="R18" s="36">
        <f t="shared" si="2"/>
        <v>0</v>
      </c>
      <c r="S18" s="36">
        <v>4212500</v>
      </c>
      <c r="T18" s="38" t="s">
        <v>111</v>
      </c>
      <c r="U18" s="37"/>
      <c r="V18" s="37"/>
      <c r="W18" s="37"/>
      <c r="X18" s="37"/>
      <c r="Y18" s="40"/>
    </row>
    <row r="19" spans="2:25" x14ac:dyDescent="0.25">
      <c r="B19" s="41"/>
      <c r="C19" s="36">
        <f t="shared" si="0"/>
        <v>0</v>
      </c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6">
        <f t="shared" si="1"/>
        <v>0</v>
      </c>
      <c r="Q19" s="37"/>
      <c r="R19" s="36">
        <f t="shared" si="2"/>
        <v>0</v>
      </c>
      <c r="S19" s="37"/>
      <c r="T19" s="37"/>
      <c r="U19" s="37"/>
      <c r="V19" s="37"/>
      <c r="W19" s="37"/>
      <c r="X19" s="37"/>
      <c r="Y19" s="40"/>
    </row>
    <row r="20" spans="2:25" x14ac:dyDescent="0.25">
      <c r="B20" s="35">
        <v>46084.958333333328</v>
      </c>
      <c r="C20" s="36">
        <f t="shared" si="0"/>
        <v>4878900</v>
      </c>
      <c r="D20" s="37"/>
      <c r="E20" s="36">
        <v>199084</v>
      </c>
      <c r="F20" s="37"/>
      <c r="G20" s="37"/>
      <c r="H20" s="37"/>
      <c r="I20" s="36">
        <v>2137691</v>
      </c>
      <c r="J20" s="36">
        <v>1293287</v>
      </c>
      <c r="K20" s="36">
        <v>1248838</v>
      </c>
      <c r="L20" s="37"/>
      <c r="M20" s="37"/>
      <c r="N20" s="37"/>
      <c r="O20" s="37"/>
      <c r="P20" s="36">
        <f t="shared" si="1"/>
        <v>4679816</v>
      </c>
      <c r="Q20" s="37"/>
      <c r="R20" s="36">
        <f t="shared" si="2"/>
        <v>199084</v>
      </c>
      <c r="S20" s="37"/>
      <c r="T20" s="38" t="s">
        <v>110</v>
      </c>
      <c r="U20" s="39">
        <v>46084.958333333328</v>
      </c>
      <c r="V20" s="37"/>
      <c r="W20" s="37"/>
      <c r="X20" s="37"/>
      <c r="Y20" s="40"/>
    </row>
    <row r="21" spans="2:25" x14ac:dyDescent="0.25">
      <c r="B21" s="41"/>
      <c r="C21" s="36">
        <f t="shared" si="0"/>
        <v>0</v>
      </c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6">
        <f t="shared" si="1"/>
        <v>0</v>
      </c>
      <c r="Q21" s="37"/>
      <c r="R21" s="36">
        <f t="shared" si="2"/>
        <v>0</v>
      </c>
      <c r="S21" s="36">
        <v>4878900</v>
      </c>
      <c r="T21" s="38" t="s">
        <v>111</v>
      </c>
      <c r="U21" s="37"/>
      <c r="V21" s="37"/>
      <c r="W21" s="37"/>
      <c r="X21" s="37"/>
      <c r="Y21" s="40"/>
    </row>
    <row r="22" spans="2:25" x14ac:dyDescent="0.25">
      <c r="B22" s="41"/>
      <c r="C22" s="36">
        <f t="shared" si="0"/>
        <v>0</v>
      </c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6">
        <f t="shared" si="1"/>
        <v>0</v>
      </c>
      <c r="Q22" s="37"/>
      <c r="R22" s="36">
        <f t="shared" si="2"/>
        <v>0</v>
      </c>
      <c r="S22" s="37"/>
      <c r="T22" s="37"/>
      <c r="U22" s="37"/>
      <c r="V22" s="37"/>
      <c r="W22" s="37"/>
      <c r="X22" s="37"/>
      <c r="Y22" s="40"/>
    </row>
    <row r="23" spans="2:25" x14ac:dyDescent="0.25">
      <c r="B23" s="35">
        <v>46085.958333333328</v>
      </c>
      <c r="C23" s="36">
        <f t="shared" si="0"/>
        <v>4694870</v>
      </c>
      <c r="D23" s="37"/>
      <c r="E23" s="36">
        <v>1029079</v>
      </c>
      <c r="F23" s="37"/>
      <c r="G23" s="37"/>
      <c r="H23" s="37"/>
      <c r="I23" s="36">
        <v>831197</v>
      </c>
      <c r="J23" s="36">
        <v>1717020</v>
      </c>
      <c r="K23" s="36">
        <v>1117574</v>
      </c>
      <c r="L23" s="37"/>
      <c r="M23" s="37"/>
      <c r="N23" s="37"/>
      <c r="O23" s="37"/>
      <c r="P23" s="36">
        <f t="shared" si="1"/>
        <v>3665791</v>
      </c>
      <c r="Q23" s="37"/>
      <c r="R23" s="36">
        <f t="shared" si="2"/>
        <v>1029079</v>
      </c>
      <c r="S23" s="37"/>
      <c r="T23" s="38" t="s">
        <v>110</v>
      </c>
      <c r="U23" s="39">
        <v>46085.958333333328</v>
      </c>
      <c r="V23" s="37"/>
      <c r="W23" s="37"/>
      <c r="X23" s="37"/>
      <c r="Y23" s="40"/>
    </row>
    <row r="24" spans="2:25" x14ac:dyDescent="0.25">
      <c r="B24" s="41"/>
      <c r="C24" s="36">
        <f t="shared" si="0"/>
        <v>0</v>
      </c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6">
        <f t="shared" si="1"/>
        <v>0</v>
      </c>
      <c r="Q24" s="37"/>
      <c r="R24" s="36">
        <f t="shared" si="2"/>
        <v>0</v>
      </c>
      <c r="S24" s="36">
        <v>4694870</v>
      </c>
      <c r="T24" s="38" t="s">
        <v>111</v>
      </c>
      <c r="U24" s="37"/>
      <c r="V24" s="37"/>
      <c r="W24" s="37"/>
      <c r="X24" s="37"/>
      <c r="Y24" s="40"/>
    </row>
    <row r="25" spans="2:25" x14ac:dyDescent="0.25">
      <c r="B25" s="41"/>
      <c r="C25" s="36">
        <f t="shared" si="0"/>
        <v>0</v>
      </c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6">
        <f t="shared" si="1"/>
        <v>0</v>
      </c>
      <c r="Q25" s="37"/>
      <c r="R25" s="36">
        <f t="shared" si="2"/>
        <v>0</v>
      </c>
      <c r="S25" s="37"/>
      <c r="T25" s="37"/>
      <c r="U25" s="37"/>
      <c r="V25" s="37"/>
      <c r="W25" s="37"/>
      <c r="X25" s="37"/>
      <c r="Y25" s="40"/>
    </row>
    <row r="26" spans="2:25" x14ac:dyDescent="0.25">
      <c r="B26" s="35">
        <v>46086.958333333328</v>
      </c>
      <c r="C26" s="36">
        <f t="shared" si="0"/>
        <v>6217525</v>
      </c>
      <c r="D26" s="37"/>
      <c r="E26" s="36">
        <v>986585</v>
      </c>
      <c r="F26" s="37"/>
      <c r="G26" s="37"/>
      <c r="H26" s="37"/>
      <c r="I26" s="36">
        <v>2010654</v>
      </c>
      <c r="J26" s="36">
        <v>1700622</v>
      </c>
      <c r="K26" s="36">
        <v>1519664</v>
      </c>
      <c r="L26" s="37"/>
      <c r="M26" s="37"/>
      <c r="N26" s="37"/>
      <c r="O26" s="37"/>
      <c r="P26" s="36">
        <f t="shared" si="1"/>
        <v>5230940</v>
      </c>
      <c r="Q26" s="37"/>
      <c r="R26" s="36">
        <f t="shared" si="2"/>
        <v>986585</v>
      </c>
      <c r="S26" s="37"/>
      <c r="T26" s="38" t="s">
        <v>110</v>
      </c>
      <c r="U26" s="39">
        <v>46086.958333333328</v>
      </c>
      <c r="V26" s="37"/>
      <c r="W26" s="37"/>
      <c r="X26" s="37"/>
      <c r="Y26" s="40"/>
    </row>
    <row r="27" spans="2:25" x14ac:dyDescent="0.25">
      <c r="B27" s="41"/>
      <c r="C27" s="36">
        <f t="shared" si="0"/>
        <v>0</v>
      </c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6">
        <f t="shared" si="1"/>
        <v>0</v>
      </c>
      <c r="Q27" s="37"/>
      <c r="R27" s="36">
        <f t="shared" si="2"/>
        <v>0</v>
      </c>
      <c r="S27" s="36">
        <v>6217525</v>
      </c>
      <c r="T27" s="38" t="s">
        <v>111</v>
      </c>
      <c r="U27" s="37"/>
      <c r="V27" s="37"/>
      <c r="W27" s="37"/>
      <c r="X27" s="37"/>
      <c r="Y27" s="40"/>
    </row>
    <row r="28" spans="2:25" x14ac:dyDescent="0.25">
      <c r="B28" s="41"/>
      <c r="C28" s="36">
        <f t="shared" si="0"/>
        <v>0</v>
      </c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6">
        <f t="shared" si="1"/>
        <v>0</v>
      </c>
      <c r="Q28" s="37"/>
      <c r="R28" s="36">
        <f t="shared" si="2"/>
        <v>0</v>
      </c>
      <c r="S28" s="37"/>
      <c r="T28" s="37"/>
      <c r="U28" s="37"/>
      <c r="V28" s="37"/>
      <c r="W28" s="37"/>
      <c r="X28" s="37"/>
      <c r="Y28" s="40"/>
    </row>
    <row r="29" spans="2:25" x14ac:dyDescent="0.25">
      <c r="B29" s="35">
        <v>46087.958333333328</v>
      </c>
      <c r="C29" s="36">
        <f t="shared" si="0"/>
        <v>5622062</v>
      </c>
      <c r="D29" s="37"/>
      <c r="E29" s="36">
        <v>642004</v>
      </c>
      <c r="F29" s="37"/>
      <c r="G29" s="37"/>
      <c r="H29" s="37"/>
      <c r="I29" s="36">
        <v>2526460</v>
      </c>
      <c r="J29" s="36">
        <v>749800</v>
      </c>
      <c r="K29" s="36">
        <v>1703798</v>
      </c>
      <c r="L29" s="37"/>
      <c r="M29" s="37"/>
      <c r="N29" s="37"/>
      <c r="O29" s="37"/>
      <c r="P29" s="36">
        <f t="shared" si="1"/>
        <v>4980058</v>
      </c>
      <c r="Q29" s="37"/>
      <c r="R29" s="36">
        <f t="shared" si="2"/>
        <v>642004</v>
      </c>
      <c r="S29" s="37"/>
      <c r="T29" s="38" t="s">
        <v>110</v>
      </c>
      <c r="U29" s="39">
        <v>46087.958333333328</v>
      </c>
      <c r="V29" s="37"/>
      <c r="W29" s="37"/>
      <c r="X29" s="37"/>
      <c r="Y29" s="40"/>
    </row>
    <row r="30" spans="2:25" x14ac:dyDescent="0.25">
      <c r="B30" s="41"/>
      <c r="C30" s="36">
        <f t="shared" si="0"/>
        <v>0</v>
      </c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6">
        <f t="shared" si="1"/>
        <v>0</v>
      </c>
      <c r="Q30" s="37"/>
      <c r="R30" s="36">
        <f t="shared" si="2"/>
        <v>0</v>
      </c>
      <c r="S30" s="36">
        <v>5622062</v>
      </c>
      <c r="T30" s="38" t="s">
        <v>111</v>
      </c>
      <c r="U30" s="37"/>
      <c r="V30" s="37"/>
      <c r="W30" s="37"/>
      <c r="X30" s="37"/>
      <c r="Y30" s="40"/>
    </row>
    <row r="31" spans="2:25" x14ac:dyDescent="0.25">
      <c r="B31" s="41"/>
      <c r="C31" s="36">
        <f t="shared" si="0"/>
        <v>0</v>
      </c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6">
        <f t="shared" si="1"/>
        <v>0</v>
      </c>
      <c r="Q31" s="37"/>
      <c r="R31" s="36">
        <f t="shared" si="2"/>
        <v>0</v>
      </c>
      <c r="S31" s="37"/>
      <c r="T31" s="37"/>
      <c r="U31" s="37"/>
      <c r="V31" s="37"/>
      <c r="W31" s="37"/>
      <c r="X31" s="37"/>
      <c r="Y31" s="40"/>
    </row>
    <row r="32" spans="2:25" x14ac:dyDescent="0.25">
      <c r="B32" s="35">
        <v>46088.958333333328</v>
      </c>
      <c r="C32" s="36">
        <f t="shared" si="0"/>
        <v>4278630</v>
      </c>
      <c r="D32" s="37"/>
      <c r="E32" s="36">
        <v>230357</v>
      </c>
      <c r="F32" s="37"/>
      <c r="G32" s="37"/>
      <c r="H32" s="37"/>
      <c r="I32" s="36">
        <v>2171982</v>
      </c>
      <c r="J32" s="36">
        <v>0</v>
      </c>
      <c r="K32" s="36">
        <v>1876291</v>
      </c>
      <c r="L32" s="37"/>
      <c r="M32" s="37"/>
      <c r="N32" s="37"/>
      <c r="O32" s="37"/>
      <c r="P32" s="36">
        <f t="shared" si="1"/>
        <v>4048273</v>
      </c>
      <c r="Q32" s="37"/>
      <c r="R32" s="36">
        <f t="shared" si="2"/>
        <v>230357</v>
      </c>
      <c r="S32" s="37"/>
      <c r="T32" s="38" t="s">
        <v>110</v>
      </c>
      <c r="U32" s="39">
        <v>46088.958333333328</v>
      </c>
      <c r="V32" s="37"/>
      <c r="W32" s="37"/>
      <c r="X32" s="37"/>
      <c r="Y32" s="40"/>
    </row>
    <row r="33" spans="2:25" x14ac:dyDescent="0.25">
      <c r="B33" s="41"/>
      <c r="C33" s="36">
        <f t="shared" si="0"/>
        <v>0</v>
      </c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6">
        <f t="shared" si="1"/>
        <v>0</v>
      </c>
      <c r="Q33" s="37"/>
      <c r="R33" s="36">
        <f t="shared" si="2"/>
        <v>0</v>
      </c>
      <c r="S33" s="36">
        <v>4278630</v>
      </c>
      <c r="T33" s="38" t="s">
        <v>111</v>
      </c>
      <c r="U33" s="37"/>
      <c r="V33" s="37"/>
      <c r="W33" s="37"/>
      <c r="X33" s="37"/>
      <c r="Y33" s="40"/>
    </row>
    <row r="34" spans="2:25" x14ac:dyDescent="0.25">
      <c r="B34" s="41"/>
      <c r="C34" s="36">
        <f t="shared" si="0"/>
        <v>0</v>
      </c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6">
        <f t="shared" si="1"/>
        <v>0</v>
      </c>
      <c r="Q34" s="37"/>
      <c r="R34" s="36">
        <f t="shared" si="2"/>
        <v>0</v>
      </c>
      <c r="S34" s="37"/>
      <c r="T34" s="37"/>
      <c r="U34" s="37"/>
      <c r="V34" s="37"/>
      <c r="W34" s="37"/>
      <c r="X34" s="37"/>
      <c r="Y34" s="40"/>
    </row>
    <row r="35" spans="2:25" x14ac:dyDescent="0.25">
      <c r="B35" s="35">
        <v>46089.958333333328</v>
      </c>
      <c r="C35" s="36">
        <f t="shared" si="0"/>
        <v>4371250</v>
      </c>
      <c r="D35" s="37"/>
      <c r="E35" s="36">
        <v>526074</v>
      </c>
      <c r="F35" s="37"/>
      <c r="G35" s="37"/>
      <c r="H35" s="37"/>
      <c r="I35" s="36">
        <v>1456311</v>
      </c>
      <c r="J35" s="36">
        <v>0</v>
      </c>
      <c r="K35" s="36">
        <v>2388865</v>
      </c>
      <c r="L35" s="37"/>
      <c r="M35" s="37"/>
      <c r="N35" s="37"/>
      <c r="O35" s="37"/>
      <c r="P35" s="36">
        <f t="shared" si="1"/>
        <v>3845176</v>
      </c>
      <c r="Q35" s="37"/>
      <c r="R35" s="36">
        <f t="shared" si="2"/>
        <v>526074</v>
      </c>
      <c r="S35" s="37"/>
      <c r="T35" s="38" t="s">
        <v>110</v>
      </c>
      <c r="U35" s="39">
        <v>46089.958333333328</v>
      </c>
      <c r="V35" s="37"/>
      <c r="W35" s="37"/>
      <c r="X35" s="37"/>
      <c r="Y35" s="40"/>
    </row>
    <row r="36" spans="2:25" x14ac:dyDescent="0.25">
      <c r="B36" s="41"/>
      <c r="C36" s="36">
        <f t="shared" si="0"/>
        <v>0</v>
      </c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6">
        <f t="shared" si="1"/>
        <v>0</v>
      </c>
      <c r="Q36" s="37"/>
      <c r="R36" s="36">
        <f t="shared" si="2"/>
        <v>0</v>
      </c>
      <c r="S36" s="36">
        <v>4371250</v>
      </c>
      <c r="T36" s="38" t="s">
        <v>111</v>
      </c>
      <c r="U36" s="37"/>
      <c r="V36" s="37"/>
      <c r="W36" s="37"/>
      <c r="X36" s="37"/>
      <c r="Y36" s="40"/>
    </row>
    <row r="37" spans="2:25" x14ac:dyDescent="0.25">
      <c r="B37" s="41"/>
      <c r="C37" s="36">
        <f t="shared" si="0"/>
        <v>0</v>
      </c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6">
        <f t="shared" si="1"/>
        <v>0</v>
      </c>
      <c r="Q37" s="37"/>
      <c r="R37" s="36">
        <f t="shared" si="2"/>
        <v>0</v>
      </c>
      <c r="S37" s="37"/>
      <c r="T37" s="37"/>
      <c r="U37" s="37"/>
      <c r="V37" s="37"/>
      <c r="W37" s="37"/>
      <c r="X37" s="37"/>
      <c r="Y37" s="40"/>
    </row>
    <row r="38" spans="2:25" x14ac:dyDescent="0.25">
      <c r="B38" s="35">
        <v>46090.958333333328</v>
      </c>
      <c r="C38" s="36">
        <f t="shared" si="0"/>
        <v>5930570</v>
      </c>
      <c r="D38" s="37"/>
      <c r="E38" s="36">
        <v>218723</v>
      </c>
      <c r="F38" s="37"/>
      <c r="G38" s="37"/>
      <c r="H38" s="37"/>
      <c r="I38" s="36">
        <v>3569487</v>
      </c>
      <c r="J38" s="36">
        <v>0</v>
      </c>
      <c r="K38" s="36">
        <v>2142360</v>
      </c>
      <c r="L38" s="37"/>
      <c r="M38" s="37"/>
      <c r="N38" s="37"/>
      <c r="O38" s="37"/>
      <c r="P38" s="36">
        <f t="shared" si="1"/>
        <v>5711847</v>
      </c>
      <c r="Q38" s="37"/>
      <c r="R38" s="36">
        <f t="shared" si="2"/>
        <v>218723</v>
      </c>
      <c r="S38" s="37"/>
      <c r="T38" s="38" t="s">
        <v>110</v>
      </c>
      <c r="U38" s="39">
        <v>46090.958333333328</v>
      </c>
      <c r="V38" s="37"/>
      <c r="W38" s="37"/>
      <c r="X38" s="37"/>
      <c r="Y38" s="40"/>
    </row>
    <row r="39" spans="2:25" x14ac:dyDescent="0.25">
      <c r="B39" s="41"/>
      <c r="C39" s="36">
        <f t="shared" si="0"/>
        <v>0</v>
      </c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6">
        <f t="shared" si="1"/>
        <v>0</v>
      </c>
      <c r="Q39" s="37"/>
      <c r="R39" s="36">
        <f t="shared" si="2"/>
        <v>0</v>
      </c>
      <c r="S39" s="36">
        <v>5930570</v>
      </c>
      <c r="T39" s="38" t="s">
        <v>111</v>
      </c>
      <c r="U39" s="37"/>
      <c r="V39" s="37"/>
      <c r="W39" s="37"/>
      <c r="X39" s="37"/>
      <c r="Y39" s="40"/>
    </row>
    <row r="40" spans="2:25" x14ac:dyDescent="0.25">
      <c r="B40" s="41"/>
      <c r="C40" s="36">
        <f t="shared" si="0"/>
        <v>0</v>
      </c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6">
        <f t="shared" si="1"/>
        <v>0</v>
      </c>
      <c r="Q40" s="37"/>
      <c r="R40" s="36">
        <f t="shared" si="2"/>
        <v>0</v>
      </c>
      <c r="S40" s="37"/>
      <c r="T40" s="37"/>
      <c r="U40" s="37"/>
      <c r="V40" s="37"/>
      <c r="W40" s="37"/>
      <c r="X40" s="37"/>
      <c r="Y40" s="40"/>
    </row>
    <row r="41" spans="2:25" x14ac:dyDescent="0.25">
      <c r="B41" s="35">
        <v>46091.958333333328</v>
      </c>
      <c r="C41" s="36">
        <f t="shared" si="0"/>
        <v>6087330</v>
      </c>
      <c r="D41" s="37"/>
      <c r="E41" s="36">
        <v>618226</v>
      </c>
      <c r="F41" s="37"/>
      <c r="G41" s="37"/>
      <c r="H41" s="37"/>
      <c r="I41" s="36">
        <v>2168584</v>
      </c>
      <c r="J41" s="36">
        <v>0</v>
      </c>
      <c r="K41" s="36">
        <v>3300520</v>
      </c>
      <c r="L41" s="37"/>
      <c r="M41" s="37"/>
      <c r="N41" s="37"/>
      <c r="O41" s="37"/>
      <c r="P41" s="36">
        <f t="shared" si="1"/>
        <v>5469104</v>
      </c>
      <c r="Q41" s="37"/>
      <c r="R41" s="36">
        <f t="shared" si="2"/>
        <v>618226</v>
      </c>
      <c r="S41" s="37"/>
      <c r="T41" s="38" t="s">
        <v>110</v>
      </c>
      <c r="U41" s="39">
        <v>46091.958333333328</v>
      </c>
      <c r="V41" s="37"/>
      <c r="W41" s="37"/>
      <c r="X41" s="37"/>
      <c r="Y41" s="40"/>
    </row>
    <row r="42" spans="2:25" x14ac:dyDescent="0.25">
      <c r="B42" s="41"/>
      <c r="C42" s="36">
        <f t="shared" si="0"/>
        <v>0</v>
      </c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6">
        <f t="shared" si="1"/>
        <v>0</v>
      </c>
      <c r="Q42" s="37"/>
      <c r="R42" s="36">
        <f t="shared" si="2"/>
        <v>0</v>
      </c>
      <c r="S42" s="36">
        <v>6087330</v>
      </c>
      <c r="T42" s="38" t="s">
        <v>111</v>
      </c>
      <c r="U42" s="37"/>
      <c r="V42" s="37"/>
      <c r="W42" s="37"/>
      <c r="X42" s="37"/>
      <c r="Y42" s="40"/>
    </row>
    <row r="43" spans="2:25" x14ac:dyDescent="0.25">
      <c r="B43" s="41"/>
      <c r="C43" s="36">
        <f t="shared" ref="C43:C74" si="3">E43+G43+P43</f>
        <v>0</v>
      </c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6">
        <f t="shared" ref="P43:P74" si="4">SUM(I43:O43)</f>
        <v>0</v>
      </c>
      <c r="Q43" s="37"/>
      <c r="R43" s="36">
        <f t="shared" ref="R43:R74" si="5">E43-Q43</f>
        <v>0</v>
      </c>
      <c r="S43" s="37"/>
      <c r="T43" s="37"/>
      <c r="U43" s="37"/>
      <c r="V43" s="37"/>
      <c r="W43" s="37"/>
      <c r="X43" s="37"/>
      <c r="Y43" s="40"/>
    </row>
    <row r="44" spans="2:25" x14ac:dyDescent="0.25">
      <c r="B44" s="35">
        <v>46092.958333333328</v>
      </c>
      <c r="C44" s="36">
        <f t="shared" si="3"/>
        <v>5831850</v>
      </c>
      <c r="D44" s="37"/>
      <c r="E44" s="36">
        <v>574180</v>
      </c>
      <c r="F44" s="37"/>
      <c r="G44" s="37"/>
      <c r="H44" s="37"/>
      <c r="I44" s="36">
        <v>1135560</v>
      </c>
      <c r="J44" s="36">
        <v>0</v>
      </c>
      <c r="K44" s="36">
        <v>4122110</v>
      </c>
      <c r="L44" s="37"/>
      <c r="M44" s="37"/>
      <c r="N44" s="37"/>
      <c r="O44" s="37"/>
      <c r="P44" s="36">
        <f t="shared" si="4"/>
        <v>5257670</v>
      </c>
      <c r="Q44" s="37"/>
      <c r="R44" s="36">
        <f t="shared" si="5"/>
        <v>574180</v>
      </c>
      <c r="S44" s="37"/>
      <c r="T44" s="38" t="s">
        <v>110</v>
      </c>
      <c r="U44" s="39">
        <v>46092.958333333328</v>
      </c>
      <c r="V44" s="37"/>
      <c r="W44" s="37"/>
      <c r="X44" s="37"/>
      <c r="Y44" s="40"/>
    </row>
    <row r="45" spans="2:25" x14ac:dyDescent="0.25">
      <c r="B45" s="41"/>
      <c r="C45" s="36">
        <f t="shared" si="3"/>
        <v>0</v>
      </c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6">
        <f t="shared" si="4"/>
        <v>0</v>
      </c>
      <c r="Q45" s="37"/>
      <c r="R45" s="36">
        <f t="shared" si="5"/>
        <v>0</v>
      </c>
      <c r="S45" s="36">
        <v>5831850</v>
      </c>
      <c r="T45" s="38" t="s">
        <v>111</v>
      </c>
      <c r="U45" s="37"/>
      <c r="V45" s="37"/>
      <c r="W45" s="37"/>
      <c r="X45" s="37"/>
      <c r="Y45" s="40"/>
    </row>
    <row r="46" spans="2:25" x14ac:dyDescent="0.25">
      <c r="B46" s="41"/>
      <c r="C46" s="36">
        <f t="shared" si="3"/>
        <v>0</v>
      </c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6">
        <f t="shared" si="4"/>
        <v>0</v>
      </c>
      <c r="Q46" s="37"/>
      <c r="R46" s="36">
        <f t="shared" si="5"/>
        <v>0</v>
      </c>
      <c r="S46" s="37"/>
      <c r="T46" s="37"/>
      <c r="U46" s="37"/>
      <c r="V46" s="37"/>
      <c r="W46" s="37"/>
      <c r="X46" s="37"/>
      <c r="Y46" s="40"/>
    </row>
    <row r="47" spans="2:25" x14ac:dyDescent="0.25">
      <c r="B47" s="35">
        <v>46093.958333333328</v>
      </c>
      <c r="C47" s="36">
        <f t="shared" si="3"/>
        <v>5055700</v>
      </c>
      <c r="D47" s="37"/>
      <c r="E47" s="36">
        <v>435008</v>
      </c>
      <c r="F47" s="37"/>
      <c r="G47" s="37"/>
      <c r="H47" s="37"/>
      <c r="I47" s="36">
        <v>3053078</v>
      </c>
      <c r="J47" s="36">
        <v>0</v>
      </c>
      <c r="K47" s="36">
        <v>1567614</v>
      </c>
      <c r="L47" s="37"/>
      <c r="M47" s="37"/>
      <c r="N47" s="37"/>
      <c r="O47" s="37"/>
      <c r="P47" s="36">
        <f t="shared" si="4"/>
        <v>4620692</v>
      </c>
      <c r="Q47" s="37"/>
      <c r="R47" s="36">
        <f t="shared" si="5"/>
        <v>435008</v>
      </c>
      <c r="S47" s="37"/>
      <c r="T47" s="38" t="s">
        <v>110</v>
      </c>
      <c r="U47" s="39">
        <v>46093.958333333328</v>
      </c>
      <c r="V47" s="37"/>
      <c r="W47" s="37"/>
      <c r="X47" s="37"/>
      <c r="Y47" s="40"/>
    </row>
    <row r="48" spans="2:25" x14ac:dyDescent="0.25">
      <c r="B48" s="41"/>
      <c r="C48" s="36">
        <f t="shared" si="3"/>
        <v>0</v>
      </c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6">
        <f t="shared" si="4"/>
        <v>0</v>
      </c>
      <c r="Q48" s="37"/>
      <c r="R48" s="36">
        <f t="shared" si="5"/>
        <v>0</v>
      </c>
      <c r="S48" s="36">
        <v>5055700</v>
      </c>
      <c r="T48" s="38" t="s">
        <v>111</v>
      </c>
      <c r="U48" s="37"/>
      <c r="V48" s="37"/>
      <c r="W48" s="37"/>
      <c r="X48" s="37"/>
      <c r="Y48" s="40"/>
    </row>
    <row r="49" spans="2:25" x14ac:dyDescent="0.25">
      <c r="B49" s="41"/>
      <c r="C49" s="36">
        <f t="shared" si="3"/>
        <v>0</v>
      </c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6">
        <f t="shared" si="4"/>
        <v>0</v>
      </c>
      <c r="Q49" s="37"/>
      <c r="R49" s="36">
        <f t="shared" si="5"/>
        <v>0</v>
      </c>
      <c r="S49" s="37"/>
      <c r="T49" s="37"/>
      <c r="U49" s="37"/>
      <c r="V49" s="37"/>
      <c r="W49" s="37"/>
      <c r="X49" s="37"/>
      <c r="Y49" s="40"/>
    </row>
    <row r="50" spans="2:25" x14ac:dyDescent="0.25">
      <c r="B50" s="35">
        <v>46094.958333333328</v>
      </c>
      <c r="C50" s="36">
        <f t="shared" si="3"/>
        <v>2200100</v>
      </c>
      <c r="D50" s="37"/>
      <c r="E50" s="36">
        <v>2200100</v>
      </c>
      <c r="F50" s="37"/>
      <c r="G50" s="37"/>
      <c r="H50" s="37"/>
      <c r="I50" s="36">
        <v>0</v>
      </c>
      <c r="J50" s="36">
        <v>0</v>
      </c>
      <c r="K50" s="36">
        <v>0</v>
      </c>
      <c r="L50" s="37"/>
      <c r="M50" s="37"/>
      <c r="N50" s="37"/>
      <c r="O50" s="37"/>
      <c r="P50" s="36">
        <f t="shared" si="4"/>
        <v>0</v>
      </c>
      <c r="Q50" s="37"/>
      <c r="R50" s="36">
        <f t="shared" si="5"/>
        <v>2200100</v>
      </c>
      <c r="S50" s="37"/>
      <c r="T50" s="38" t="s">
        <v>110</v>
      </c>
      <c r="U50" s="39">
        <v>46094.958333333328</v>
      </c>
      <c r="V50" s="37"/>
      <c r="W50" s="37"/>
      <c r="X50" s="37"/>
      <c r="Y50" s="40"/>
    </row>
    <row r="51" spans="2:25" x14ac:dyDescent="0.25">
      <c r="B51" s="41"/>
      <c r="C51" s="36">
        <f t="shared" si="3"/>
        <v>0</v>
      </c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6">
        <f t="shared" si="4"/>
        <v>0</v>
      </c>
      <c r="Q51" s="37"/>
      <c r="R51" s="36">
        <f t="shared" si="5"/>
        <v>0</v>
      </c>
      <c r="S51" s="36">
        <v>2200100</v>
      </c>
      <c r="T51" s="38" t="s">
        <v>111</v>
      </c>
      <c r="U51" s="37"/>
      <c r="V51" s="37"/>
      <c r="W51" s="37"/>
      <c r="X51" s="37"/>
      <c r="Y51" s="40"/>
    </row>
    <row r="52" spans="2:25" x14ac:dyDescent="0.25">
      <c r="B52" s="41"/>
      <c r="C52" s="36">
        <f t="shared" si="3"/>
        <v>0</v>
      </c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6">
        <f t="shared" si="4"/>
        <v>0</v>
      </c>
      <c r="Q52" s="37"/>
      <c r="R52" s="36">
        <f t="shared" si="5"/>
        <v>0</v>
      </c>
      <c r="S52" s="37"/>
      <c r="T52" s="37"/>
      <c r="U52" s="37"/>
      <c r="V52" s="37"/>
      <c r="W52" s="37"/>
      <c r="X52" s="37"/>
      <c r="Y52" s="40"/>
    </row>
    <row r="53" spans="2:25" x14ac:dyDescent="0.25">
      <c r="B53" s="35">
        <v>46095.958333333328</v>
      </c>
      <c r="C53" s="36">
        <f t="shared" si="3"/>
        <v>8250900</v>
      </c>
      <c r="D53" s="37"/>
      <c r="E53" s="36">
        <v>8250900</v>
      </c>
      <c r="F53" s="37"/>
      <c r="G53" s="37"/>
      <c r="H53" s="37"/>
      <c r="I53" s="36">
        <v>0</v>
      </c>
      <c r="J53" s="36">
        <v>0</v>
      </c>
      <c r="K53" s="36">
        <v>0</v>
      </c>
      <c r="L53" s="37"/>
      <c r="M53" s="37"/>
      <c r="N53" s="37"/>
      <c r="O53" s="37"/>
      <c r="P53" s="36">
        <f t="shared" si="4"/>
        <v>0</v>
      </c>
      <c r="Q53" s="37"/>
      <c r="R53" s="36">
        <f t="shared" si="5"/>
        <v>8250900</v>
      </c>
      <c r="S53" s="37"/>
      <c r="T53" s="38" t="s">
        <v>110</v>
      </c>
      <c r="U53" s="39">
        <v>46095.958333333328</v>
      </c>
      <c r="V53" s="37"/>
      <c r="W53" s="37"/>
      <c r="X53" s="37"/>
      <c r="Y53" s="40"/>
    </row>
    <row r="54" spans="2:25" x14ac:dyDescent="0.25">
      <c r="B54" s="41"/>
      <c r="C54" s="36">
        <f t="shared" si="3"/>
        <v>0</v>
      </c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6">
        <f t="shared" si="4"/>
        <v>0</v>
      </c>
      <c r="Q54" s="37"/>
      <c r="R54" s="36">
        <f t="shared" si="5"/>
        <v>0</v>
      </c>
      <c r="S54" s="36">
        <v>8250900</v>
      </c>
      <c r="T54" s="38" t="s">
        <v>111</v>
      </c>
      <c r="U54" s="37"/>
      <c r="V54" s="37"/>
      <c r="W54" s="37"/>
      <c r="X54" s="37"/>
      <c r="Y54" s="40"/>
    </row>
    <row r="55" spans="2:25" x14ac:dyDescent="0.25">
      <c r="B55" s="41"/>
      <c r="C55" s="36">
        <f t="shared" si="3"/>
        <v>0</v>
      </c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6">
        <f t="shared" si="4"/>
        <v>0</v>
      </c>
      <c r="Q55" s="37"/>
      <c r="R55" s="36">
        <f t="shared" si="5"/>
        <v>0</v>
      </c>
      <c r="S55" s="37"/>
      <c r="T55" s="37"/>
      <c r="U55" s="37"/>
      <c r="V55" s="37"/>
      <c r="W55" s="37"/>
      <c r="X55" s="37"/>
      <c r="Y55" s="40"/>
    </row>
    <row r="56" spans="2:25" x14ac:dyDescent="0.25">
      <c r="B56" s="35">
        <v>46096.958333333328</v>
      </c>
      <c r="C56" s="36">
        <f t="shared" si="3"/>
        <v>5820970</v>
      </c>
      <c r="D56" s="37"/>
      <c r="E56" s="36">
        <v>5820970</v>
      </c>
      <c r="F56" s="37"/>
      <c r="G56" s="37"/>
      <c r="H56" s="37"/>
      <c r="I56" s="36">
        <v>0</v>
      </c>
      <c r="J56" s="36">
        <v>0</v>
      </c>
      <c r="K56" s="36">
        <v>0</v>
      </c>
      <c r="L56" s="37"/>
      <c r="M56" s="37"/>
      <c r="N56" s="37"/>
      <c r="O56" s="37"/>
      <c r="P56" s="36">
        <f t="shared" si="4"/>
        <v>0</v>
      </c>
      <c r="Q56" s="37"/>
      <c r="R56" s="36">
        <f t="shared" si="5"/>
        <v>5820970</v>
      </c>
      <c r="S56" s="37"/>
      <c r="T56" s="38" t="s">
        <v>110</v>
      </c>
      <c r="U56" s="39">
        <v>46096.958333333328</v>
      </c>
      <c r="V56" s="37"/>
      <c r="W56" s="37"/>
      <c r="X56" s="37"/>
      <c r="Y56" s="40"/>
    </row>
    <row r="57" spans="2:25" x14ac:dyDescent="0.25">
      <c r="B57" s="41"/>
      <c r="C57" s="36">
        <f t="shared" si="3"/>
        <v>0</v>
      </c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6">
        <f t="shared" si="4"/>
        <v>0</v>
      </c>
      <c r="Q57" s="37"/>
      <c r="R57" s="36">
        <f t="shared" si="5"/>
        <v>0</v>
      </c>
      <c r="S57" s="36">
        <v>5820970</v>
      </c>
      <c r="T57" s="38" t="s">
        <v>111</v>
      </c>
      <c r="U57" s="37"/>
      <c r="V57" s="37"/>
      <c r="W57" s="37"/>
      <c r="X57" s="37"/>
      <c r="Y57" s="40"/>
    </row>
    <row r="58" spans="2:25" x14ac:dyDescent="0.25">
      <c r="B58" s="41"/>
      <c r="C58" s="36">
        <f t="shared" si="3"/>
        <v>0</v>
      </c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6">
        <f t="shared" si="4"/>
        <v>0</v>
      </c>
      <c r="Q58" s="37"/>
      <c r="R58" s="36">
        <f t="shared" si="5"/>
        <v>0</v>
      </c>
      <c r="S58" s="37"/>
      <c r="T58" s="37"/>
      <c r="U58" s="37"/>
      <c r="V58" s="37"/>
      <c r="W58" s="37"/>
      <c r="X58" s="37"/>
      <c r="Y58" s="40"/>
    </row>
    <row r="59" spans="2:25" x14ac:dyDescent="0.25">
      <c r="B59" s="41"/>
      <c r="C59" s="36">
        <f t="shared" si="3"/>
        <v>0</v>
      </c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6">
        <f t="shared" si="4"/>
        <v>0</v>
      </c>
      <c r="Q59" s="37"/>
      <c r="R59" s="36">
        <f t="shared" si="5"/>
        <v>0</v>
      </c>
      <c r="S59" s="37"/>
      <c r="T59" s="37"/>
      <c r="U59" s="37"/>
      <c r="V59" s="37"/>
      <c r="W59" s="37"/>
      <c r="X59" s="37"/>
      <c r="Y59" s="40"/>
    </row>
    <row r="60" spans="2:25" x14ac:dyDescent="0.25">
      <c r="B60" s="41"/>
      <c r="C60" s="36">
        <f t="shared" si="3"/>
        <v>0</v>
      </c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6">
        <f t="shared" si="4"/>
        <v>0</v>
      </c>
      <c r="Q60" s="37"/>
      <c r="R60" s="36">
        <f t="shared" si="5"/>
        <v>0</v>
      </c>
      <c r="S60" s="37"/>
      <c r="T60" s="37"/>
      <c r="U60" s="37"/>
      <c r="V60" s="37"/>
      <c r="W60" s="37"/>
      <c r="X60" s="37"/>
      <c r="Y60" s="40"/>
    </row>
    <row r="61" spans="2:25" x14ac:dyDescent="0.25">
      <c r="B61" s="41"/>
      <c r="C61" s="36">
        <f t="shared" si="3"/>
        <v>0</v>
      </c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6">
        <f t="shared" si="4"/>
        <v>0</v>
      </c>
      <c r="Q61" s="37"/>
      <c r="R61" s="36">
        <f t="shared" si="5"/>
        <v>0</v>
      </c>
      <c r="S61" s="37"/>
      <c r="T61" s="37"/>
      <c r="U61" s="37"/>
      <c r="V61" s="37"/>
      <c r="W61" s="37"/>
      <c r="X61" s="37"/>
      <c r="Y61" s="40"/>
    </row>
    <row r="62" spans="2:25" x14ac:dyDescent="0.25">
      <c r="B62" s="41"/>
      <c r="C62" s="36">
        <f t="shared" si="3"/>
        <v>0</v>
      </c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6">
        <f t="shared" si="4"/>
        <v>0</v>
      </c>
      <c r="Q62" s="37"/>
      <c r="R62" s="36">
        <f t="shared" si="5"/>
        <v>0</v>
      </c>
      <c r="S62" s="37"/>
      <c r="T62" s="37"/>
      <c r="U62" s="37"/>
      <c r="V62" s="37"/>
      <c r="W62" s="37"/>
      <c r="X62" s="37"/>
      <c r="Y62" s="40"/>
    </row>
    <row r="63" spans="2:25" x14ac:dyDescent="0.25">
      <c r="B63" s="41"/>
      <c r="C63" s="36">
        <f t="shared" si="3"/>
        <v>0</v>
      </c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6">
        <f t="shared" si="4"/>
        <v>0</v>
      </c>
      <c r="Q63" s="37"/>
      <c r="R63" s="36">
        <f t="shared" si="5"/>
        <v>0</v>
      </c>
      <c r="S63" s="37"/>
      <c r="T63" s="37"/>
      <c r="U63" s="37"/>
      <c r="V63" s="37"/>
      <c r="W63" s="37"/>
      <c r="X63" s="37"/>
      <c r="Y63" s="40"/>
    </row>
    <row r="64" spans="2:25" x14ac:dyDescent="0.25">
      <c r="B64" s="41"/>
      <c r="C64" s="36">
        <f t="shared" si="3"/>
        <v>0</v>
      </c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6">
        <f t="shared" si="4"/>
        <v>0</v>
      </c>
      <c r="Q64" s="37"/>
      <c r="R64" s="36">
        <f t="shared" si="5"/>
        <v>0</v>
      </c>
      <c r="S64" s="37"/>
      <c r="T64" s="37"/>
      <c r="U64" s="37"/>
      <c r="V64" s="37"/>
      <c r="W64" s="37"/>
      <c r="X64" s="37"/>
      <c r="Y64" s="40"/>
    </row>
    <row r="65" spans="2:25" x14ac:dyDescent="0.25">
      <c r="B65" s="41"/>
      <c r="C65" s="36">
        <f t="shared" si="3"/>
        <v>0</v>
      </c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6">
        <f t="shared" si="4"/>
        <v>0</v>
      </c>
      <c r="Q65" s="37"/>
      <c r="R65" s="36">
        <f t="shared" si="5"/>
        <v>0</v>
      </c>
      <c r="S65" s="37"/>
      <c r="T65" s="37"/>
      <c r="U65" s="37"/>
      <c r="V65" s="37"/>
      <c r="W65" s="37"/>
      <c r="X65" s="37"/>
      <c r="Y65" s="40"/>
    </row>
    <row r="66" spans="2:25" x14ac:dyDescent="0.25">
      <c r="B66" s="41"/>
      <c r="C66" s="36">
        <f t="shared" si="3"/>
        <v>0</v>
      </c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6">
        <f t="shared" si="4"/>
        <v>0</v>
      </c>
      <c r="Q66" s="37"/>
      <c r="R66" s="36">
        <f t="shared" si="5"/>
        <v>0</v>
      </c>
      <c r="S66" s="37"/>
      <c r="T66" s="37"/>
      <c r="U66" s="37"/>
      <c r="V66" s="37"/>
      <c r="W66" s="37"/>
      <c r="X66" s="37"/>
      <c r="Y66" s="40"/>
    </row>
    <row r="67" spans="2:25" x14ac:dyDescent="0.25">
      <c r="B67" s="41"/>
      <c r="C67" s="36">
        <f t="shared" si="3"/>
        <v>0</v>
      </c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6">
        <f t="shared" si="4"/>
        <v>0</v>
      </c>
      <c r="Q67" s="37"/>
      <c r="R67" s="36">
        <f t="shared" si="5"/>
        <v>0</v>
      </c>
      <c r="S67" s="37"/>
      <c r="T67" s="37"/>
      <c r="U67" s="37"/>
      <c r="V67" s="37"/>
      <c r="W67" s="37"/>
      <c r="X67" s="37"/>
      <c r="Y67" s="40"/>
    </row>
    <row r="68" spans="2:25" x14ac:dyDescent="0.25">
      <c r="B68" s="41"/>
      <c r="C68" s="36">
        <f t="shared" si="3"/>
        <v>0</v>
      </c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6">
        <f t="shared" si="4"/>
        <v>0</v>
      </c>
      <c r="Q68" s="37"/>
      <c r="R68" s="36">
        <f t="shared" si="5"/>
        <v>0</v>
      </c>
      <c r="S68" s="37"/>
      <c r="T68" s="37"/>
      <c r="U68" s="37"/>
      <c r="V68" s="37"/>
      <c r="W68" s="37"/>
      <c r="X68" s="37"/>
      <c r="Y68" s="40"/>
    </row>
    <row r="69" spans="2:25" x14ac:dyDescent="0.25">
      <c r="B69" s="41"/>
      <c r="C69" s="36">
        <f t="shared" si="3"/>
        <v>0</v>
      </c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6">
        <f t="shared" si="4"/>
        <v>0</v>
      </c>
      <c r="Q69" s="37"/>
      <c r="R69" s="36">
        <f t="shared" si="5"/>
        <v>0</v>
      </c>
      <c r="S69" s="37"/>
      <c r="T69" s="37"/>
      <c r="U69" s="37"/>
      <c r="V69" s="37"/>
      <c r="W69" s="37"/>
      <c r="X69" s="37"/>
      <c r="Y69" s="40"/>
    </row>
    <row r="70" spans="2:25" x14ac:dyDescent="0.25">
      <c r="B70" s="41"/>
      <c r="C70" s="36">
        <f t="shared" si="3"/>
        <v>0</v>
      </c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6">
        <f t="shared" si="4"/>
        <v>0</v>
      </c>
      <c r="Q70" s="37"/>
      <c r="R70" s="36">
        <f t="shared" si="5"/>
        <v>0</v>
      </c>
      <c r="S70" s="37"/>
      <c r="T70" s="37"/>
      <c r="U70" s="37"/>
      <c r="V70" s="37"/>
      <c r="W70" s="37"/>
      <c r="X70" s="37"/>
      <c r="Y70" s="40"/>
    </row>
    <row r="71" spans="2:25" x14ac:dyDescent="0.25">
      <c r="B71" s="41"/>
      <c r="C71" s="36">
        <f t="shared" si="3"/>
        <v>0</v>
      </c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6">
        <f t="shared" si="4"/>
        <v>0</v>
      </c>
      <c r="Q71" s="37"/>
      <c r="R71" s="36">
        <f t="shared" si="5"/>
        <v>0</v>
      </c>
      <c r="S71" s="37"/>
      <c r="T71" s="37"/>
      <c r="U71" s="37"/>
      <c r="V71" s="37"/>
      <c r="W71" s="37"/>
      <c r="X71" s="37"/>
      <c r="Y71" s="40"/>
    </row>
    <row r="72" spans="2:25" x14ac:dyDescent="0.25">
      <c r="B72" s="41"/>
      <c r="C72" s="36">
        <f t="shared" si="3"/>
        <v>0</v>
      </c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6">
        <f t="shared" si="4"/>
        <v>0</v>
      </c>
      <c r="Q72" s="37"/>
      <c r="R72" s="36">
        <f t="shared" si="5"/>
        <v>0</v>
      </c>
      <c r="S72" s="37"/>
      <c r="T72" s="37"/>
      <c r="U72" s="37"/>
      <c r="V72" s="37"/>
      <c r="W72" s="37"/>
      <c r="X72" s="37"/>
      <c r="Y72" s="40"/>
    </row>
    <row r="73" spans="2:25" x14ac:dyDescent="0.25">
      <c r="B73" s="41"/>
      <c r="C73" s="36">
        <f t="shared" si="3"/>
        <v>0</v>
      </c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6">
        <f t="shared" si="4"/>
        <v>0</v>
      </c>
      <c r="Q73" s="37"/>
      <c r="R73" s="36">
        <f t="shared" si="5"/>
        <v>0</v>
      </c>
      <c r="S73" s="37"/>
      <c r="T73" s="37"/>
      <c r="U73" s="37"/>
      <c r="V73" s="37"/>
      <c r="W73" s="37"/>
      <c r="X73" s="37"/>
      <c r="Y73" s="40"/>
    </row>
    <row r="74" spans="2:25" x14ac:dyDescent="0.25">
      <c r="B74" s="41"/>
      <c r="C74" s="36">
        <f t="shared" si="3"/>
        <v>0</v>
      </c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6">
        <f t="shared" si="4"/>
        <v>0</v>
      </c>
      <c r="Q74" s="37"/>
      <c r="R74" s="36">
        <f t="shared" si="5"/>
        <v>0</v>
      </c>
      <c r="S74" s="37"/>
      <c r="T74" s="37"/>
      <c r="U74" s="37"/>
      <c r="V74" s="37"/>
      <c r="W74" s="37"/>
      <c r="X74" s="37"/>
      <c r="Y74" s="40"/>
    </row>
    <row r="75" spans="2:25" x14ac:dyDescent="0.25">
      <c r="B75" s="41"/>
      <c r="C75" s="36">
        <f t="shared" ref="C75:C106" si="6">E75+G75+P75</f>
        <v>0</v>
      </c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6">
        <f t="shared" ref="P75:P106" si="7">SUM(I75:O75)</f>
        <v>0</v>
      </c>
      <c r="Q75" s="37"/>
      <c r="R75" s="36">
        <f t="shared" ref="R75:R106" si="8">E75-Q75</f>
        <v>0</v>
      </c>
      <c r="S75" s="37"/>
      <c r="T75" s="37"/>
      <c r="U75" s="37"/>
      <c r="V75" s="37"/>
      <c r="W75" s="37"/>
      <c r="X75" s="37"/>
      <c r="Y75" s="40"/>
    </row>
    <row r="76" spans="2:25" x14ac:dyDescent="0.25">
      <c r="B76" s="41"/>
      <c r="C76" s="36">
        <f t="shared" si="6"/>
        <v>0</v>
      </c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6">
        <f t="shared" si="7"/>
        <v>0</v>
      </c>
      <c r="Q76" s="37"/>
      <c r="R76" s="36">
        <f t="shared" si="8"/>
        <v>0</v>
      </c>
      <c r="S76" s="37"/>
      <c r="T76" s="37"/>
      <c r="U76" s="37"/>
      <c r="V76" s="37"/>
      <c r="W76" s="37"/>
      <c r="X76" s="37"/>
      <c r="Y76" s="40"/>
    </row>
    <row r="77" spans="2:25" x14ac:dyDescent="0.25">
      <c r="B77" s="41"/>
      <c r="C77" s="36">
        <f t="shared" si="6"/>
        <v>0</v>
      </c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6">
        <f t="shared" si="7"/>
        <v>0</v>
      </c>
      <c r="Q77" s="37"/>
      <c r="R77" s="36">
        <f t="shared" si="8"/>
        <v>0</v>
      </c>
      <c r="S77" s="37"/>
      <c r="T77" s="37"/>
      <c r="U77" s="37"/>
      <c r="V77" s="37"/>
      <c r="W77" s="37"/>
      <c r="X77" s="37"/>
      <c r="Y77" s="40"/>
    </row>
    <row r="78" spans="2:25" x14ac:dyDescent="0.25">
      <c r="B78" s="41"/>
      <c r="C78" s="36">
        <f t="shared" si="6"/>
        <v>0</v>
      </c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6">
        <f t="shared" si="7"/>
        <v>0</v>
      </c>
      <c r="Q78" s="37"/>
      <c r="R78" s="36">
        <f t="shared" si="8"/>
        <v>0</v>
      </c>
      <c r="S78" s="37"/>
      <c r="T78" s="37"/>
      <c r="U78" s="37"/>
      <c r="V78" s="37"/>
      <c r="W78" s="37"/>
      <c r="X78" s="37"/>
      <c r="Y78" s="40"/>
    </row>
    <row r="79" spans="2:25" x14ac:dyDescent="0.25">
      <c r="B79" s="41"/>
      <c r="C79" s="36">
        <f t="shared" si="6"/>
        <v>0</v>
      </c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6">
        <f t="shared" si="7"/>
        <v>0</v>
      </c>
      <c r="Q79" s="37"/>
      <c r="R79" s="36">
        <f t="shared" si="8"/>
        <v>0</v>
      </c>
      <c r="S79" s="37"/>
      <c r="T79" s="37"/>
      <c r="U79" s="37"/>
      <c r="V79" s="37"/>
      <c r="W79" s="37"/>
      <c r="X79" s="37"/>
      <c r="Y79" s="40"/>
    </row>
    <row r="80" spans="2:25" x14ac:dyDescent="0.25">
      <c r="B80" s="41"/>
      <c r="C80" s="36">
        <f t="shared" si="6"/>
        <v>0</v>
      </c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6">
        <f t="shared" si="7"/>
        <v>0</v>
      </c>
      <c r="Q80" s="37"/>
      <c r="R80" s="36">
        <f t="shared" si="8"/>
        <v>0</v>
      </c>
      <c r="S80" s="37"/>
      <c r="T80" s="37"/>
      <c r="U80" s="37"/>
      <c r="V80" s="37"/>
      <c r="W80" s="37"/>
      <c r="X80" s="37"/>
      <c r="Y80" s="40"/>
    </row>
    <row r="81" spans="2:25" x14ac:dyDescent="0.25">
      <c r="B81" s="41"/>
      <c r="C81" s="36">
        <f t="shared" si="6"/>
        <v>0</v>
      </c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6">
        <f t="shared" si="7"/>
        <v>0</v>
      </c>
      <c r="Q81" s="37"/>
      <c r="R81" s="36">
        <f t="shared" si="8"/>
        <v>0</v>
      </c>
      <c r="S81" s="37"/>
      <c r="T81" s="37"/>
      <c r="U81" s="37"/>
      <c r="V81" s="37"/>
      <c r="W81" s="37"/>
      <c r="X81" s="37"/>
      <c r="Y81" s="40"/>
    </row>
    <row r="82" spans="2:25" x14ac:dyDescent="0.25">
      <c r="B82" s="41"/>
      <c r="C82" s="36">
        <f t="shared" si="6"/>
        <v>0</v>
      </c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6">
        <f t="shared" si="7"/>
        <v>0</v>
      </c>
      <c r="Q82" s="37"/>
      <c r="R82" s="36">
        <f t="shared" si="8"/>
        <v>0</v>
      </c>
      <c r="S82" s="37"/>
      <c r="T82" s="37"/>
      <c r="U82" s="37"/>
      <c r="V82" s="37"/>
      <c r="W82" s="37"/>
      <c r="X82" s="37"/>
      <c r="Y82" s="40"/>
    </row>
    <row r="83" spans="2:25" x14ac:dyDescent="0.25">
      <c r="B83" s="41"/>
      <c r="C83" s="36">
        <f t="shared" si="6"/>
        <v>0</v>
      </c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6">
        <f t="shared" si="7"/>
        <v>0</v>
      </c>
      <c r="Q83" s="37"/>
      <c r="R83" s="36">
        <f t="shared" si="8"/>
        <v>0</v>
      </c>
      <c r="S83" s="37"/>
      <c r="T83" s="37"/>
      <c r="U83" s="37"/>
      <c r="V83" s="37"/>
      <c r="W83" s="37"/>
      <c r="X83" s="37"/>
      <c r="Y83" s="40"/>
    </row>
    <row r="84" spans="2:25" x14ac:dyDescent="0.25">
      <c r="B84" s="41"/>
      <c r="C84" s="36">
        <f t="shared" si="6"/>
        <v>0</v>
      </c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6">
        <f t="shared" si="7"/>
        <v>0</v>
      </c>
      <c r="Q84" s="37"/>
      <c r="R84" s="36">
        <f t="shared" si="8"/>
        <v>0</v>
      </c>
      <c r="S84" s="37"/>
      <c r="T84" s="37"/>
      <c r="U84" s="37"/>
      <c r="V84" s="37"/>
      <c r="W84" s="37"/>
      <c r="X84" s="37"/>
      <c r="Y84" s="40"/>
    </row>
    <row r="85" spans="2:25" x14ac:dyDescent="0.25">
      <c r="B85" s="41"/>
      <c r="C85" s="36">
        <f t="shared" si="6"/>
        <v>0</v>
      </c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6">
        <f t="shared" si="7"/>
        <v>0</v>
      </c>
      <c r="Q85" s="37"/>
      <c r="R85" s="36">
        <f t="shared" si="8"/>
        <v>0</v>
      </c>
      <c r="S85" s="37"/>
      <c r="T85" s="37"/>
      <c r="U85" s="37"/>
      <c r="V85" s="37"/>
      <c r="W85" s="37"/>
      <c r="X85" s="37"/>
      <c r="Y85" s="40"/>
    </row>
    <row r="86" spans="2:25" x14ac:dyDescent="0.25">
      <c r="B86" s="41"/>
      <c r="C86" s="36">
        <f t="shared" si="6"/>
        <v>0</v>
      </c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6">
        <f t="shared" si="7"/>
        <v>0</v>
      </c>
      <c r="Q86" s="37"/>
      <c r="R86" s="36">
        <f t="shared" si="8"/>
        <v>0</v>
      </c>
      <c r="S86" s="37"/>
      <c r="T86" s="37"/>
      <c r="U86" s="37"/>
      <c r="V86" s="37"/>
      <c r="W86" s="37"/>
      <c r="X86" s="37"/>
      <c r="Y86" s="40"/>
    </row>
    <row r="87" spans="2:25" x14ac:dyDescent="0.25">
      <c r="B87" s="41"/>
      <c r="C87" s="36">
        <f t="shared" si="6"/>
        <v>0</v>
      </c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6">
        <f t="shared" si="7"/>
        <v>0</v>
      </c>
      <c r="Q87" s="37"/>
      <c r="R87" s="36">
        <f t="shared" si="8"/>
        <v>0</v>
      </c>
      <c r="S87" s="37"/>
      <c r="T87" s="37"/>
      <c r="U87" s="37"/>
      <c r="V87" s="37"/>
      <c r="W87" s="37"/>
      <c r="X87" s="37"/>
      <c r="Y87" s="40"/>
    </row>
    <row r="88" spans="2:25" x14ac:dyDescent="0.25">
      <c r="B88" s="41"/>
      <c r="C88" s="36">
        <f t="shared" si="6"/>
        <v>0</v>
      </c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6">
        <f t="shared" si="7"/>
        <v>0</v>
      </c>
      <c r="Q88" s="37"/>
      <c r="R88" s="36">
        <f t="shared" si="8"/>
        <v>0</v>
      </c>
      <c r="S88" s="37"/>
      <c r="T88" s="37"/>
      <c r="U88" s="37"/>
      <c r="V88" s="37"/>
      <c r="W88" s="37"/>
      <c r="X88" s="37"/>
      <c r="Y88" s="40"/>
    </row>
    <row r="89" spans="2:25" x14ac:dyDescent="0.25">
      <c r="B89" s="41"/>
      <c r="C89" s="36">
        <f t="shared" si="6"/>
        <v>0</v>
      </c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6">
        <f t="shared" si="7"/>
        <v>0</v>
      </c>
      <c r="Q89" s="37"/>
      <c r="R89" s="36">
        <f t="shared" si="8"/>
        <v>0</v>
      </c>
      <c r="S89" s="37"/>
      <c r="T89" s="37"/>
      <c r="U89" s="37"/>
      <c r="V89" s="37"/>
      <c r="W89" s="37"/>
      <c r="X89" s="37"/>
      <c r="Y89" s="40"/>
    </row>
    <row r="90" spans="2:25" x14ac:dyDescent="0.25">
      <c r="B90" s="41"/>
      <c r="C90" s="36">
        <f t="shared" si="6"/>
        <v>0</v>
      </c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6">
        <f t="shared" si="7"/>
        <v>0</v>
      </c>
      <c r="Q90" s="37"/>
      <c r="R90" s="36">
        <f t="shared" si="8"/>
        <v>0</v>
      </c>
      <c r="S90" s="37"/>
      <c r="T90" s="37"/>
      <c r="U90" s="37"/>
      <c r="V90" s="37"/>
      <c r="W90" s="37"/>
      <c r="X90" s="37"/>
      <c r="Y90" s="40"/>
    </row>
    <row r="91" spans="2:25" x14ac:dyDescent="0.25">
      <c r="B91" s="41"/>
      <c r="C91" s="36">
        <f t="shared" si="6"/>
        <v>0</v>
      </c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6">
        <f t="shared" si="7"/>
        <v>0</v>
      </c>
      <c r="Q91" s="37"/>
      <c r="R91" s="36">
        <f t="shared" si="8"/>
        <v>0</v>
      </c>
      <c r="S91" s="37"/>
      <c r="T91" s="37"/>
      <c r="U91" s="37"/>
      <c r="V91" s="37"/>
      <c r="W91" s="37"/>
      <c r="X91" s="37"/>
      <c r="Y91" s="40"/>
    </row>
    <row r="92" spans="2:25" x14ac:dyDescent="0.25">
      <c r="B92" s="41"/>
      <c r="C92" s="36">
        <f t="shared" si="6"/>
        <v>0</v>
      </c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6">
        <f t="shared" si="7"/>
        <v>0</v>
      </c>
      <c r="Q92" s="37"/>
      <c r="R92" s="36">
        <f t="shared" si="8"/>
        <v>0</v>
      </c>
      <c r="S92" s="37"/>
      <c r="T92" s="37"/>
      <c r="U92" s="37"/>
      <c r="V92" s="37"/>
      <c r="W92" s="37"/>
      <c r="X92" s="37"/>
      <c r="Y92" s="40"/>
    </row>
    <row r="93" spans="2:25" x14ac:dyDescent="0.25">
      <c r="B93" s="41"/>
      <c r="C93" s="36">
        <f t="shared" si="6"/>
        <v>0</v>
      </c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6">
        <f t="shared" si="7"/>
        <v>0</v>
      </c>
      <c r="Q93" s="37"/>
      <c r="R93" s="36">
        <f t="shared" si="8"/>
        <v>0</v>
      </c>
      <c r="S93" s="37"/>
      <c r="T93" s="37"/>
      <c r="U93" s="37"/>
      <c r="V93" s="37"/>
      <c r="W93" s="37"/>
      <c r="X93" s="37"/>
      <c r="Y93" s="40"/>
    </row>
    <row r="94" spans="2:25" x14ac:dyDescent="0.25">
      <c r="B94" s="41"/>
      <c r="C94" s="36">
        <f t="shared" si="6"/>
        <v>0</v>
      </c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6">
        <f t="shared" si="7"/>
        <v>0</v>
      </c>
      <c r="Q94" s="37"/>
      <c r="R94" s="36">
        <f t="shared" si="8"/>
        <v>0</v>
      </c>
      <c r="S94" s="37"/>
      <c r="T94" s="37"/>
      <c r="U94" s="37"/>
      <c r="V94" s="37"/>
      <c r="W94" s="37"/>
      <c r="X94" s="37"/>
      <c r="Y94" s="40"/>
    </row>
    <row r="95" spans="2:25" x14ac:dyDescent="0.25">
      <c r="B95" s="41"/>
      <c r="C95" s="36">
        <f t="shared" si="6"/>
        <v>0</v>
      </c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6">
        <f t="shared" si="7"/>
        <v>0</v>
      </c>
      <c r="Q95" s="37"/>
      <c r="R95" s="36">
        <f t="shared" si="8"/>
        <v>0</v>
      </c>
      <c r="S95" s="37"/>
      <c r="T95" s="37"/>
      <c r="U95" s="37"/>
      <c r="V95" s="37"/>
      <c r="W95" s="37"/>
      <c r="X95" s="37"/>
      <c r="Y95" s="40"/>
    </row>
    <row r="96" spans="2:25" x14ac:dyDescent="0.25">
      <c r="B96" s="41"/>
      <c r="C96" s="36">
        <f t="shared" si="6"/>
        <v>0</v>
      </c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6">
        <f t="shared" si="7"/>
        <v>0</v>
      </c>
      <c r="Q96" s="37"/>
      <c r="R96" s="36">
        <f t="shared" si="8"/>
        <v>0</v>
      </c>
      <c r="S96" s="37"/>
      <c r="T96" s="37"/>
      <c r="U96" s="37"/>
      <c r="V96" s="37"/>
      <c r="W96" s="37"/>
      <c r="X96" s="37"/>
      <c r="Y96" s="40"/>
    </row>
    <row r="97" spans="2:25" x14ac:dyDescent="0.25">
      <c r="B97" s="41"/>
      <c r="C97" s="36">
        <f t="shared" si="6"/>
        <v>0</v>
      </c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6">
        <f t="shared" si="7"/>
        <v>0</v>
      </c>
      <c r="Q97" s="37"/>
      <c r="R97" s="36">
        <f t="shared" si="8"/>
        <v>0</v>
      </c>
      <c r="S97" s="37"/>
      <c r="T97" s="37"/>
      <c r="U97" s="37"/>
      <c r="V97" s="37"/>
      <c r="W97" s="37"/>
      <c r="X97" s="37"/>
      <c r="Y97" s="40"/>
    </row>
    <row r="98" spans="2:25" x14ac:dyDescent="0.25">
      <c r="B98" s="41"/>
      <c r="C98" s="36">
        <f t="shared" si="6"/>
        <v>0</v>
      </c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6">
        <f t="shared" si="7"/>
        <v>0</v>
      </c>
      <c r="Q98" s="37"/>
      <c r="R98" s="36">
        <f t="shared" si="8"/>
        <v>0</v>
      </c>
      <c r="S98" s="37"/>
      <c r="T98" s="37"/>
      <c r="U98" s="37"/>
      <c r="V98" s="37"/>
      <c r="W98" s="37"/>
      <c r="X98" s="37"/>
      <c r="Y98" s="40"/>
    </row>
    <row r="99" spans="2:25" x14ac:dyDescent="0.25">
      <c r="B99" s="41"/>
      <c r="C99" s="36">
        <f t="shared" si="6"/>
        <v>0</v>
      </c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6">
        <f t="shared" si="7"/>
        <v>0</v>
      </c>
      <c r="Q99" s="37"/>
      <c r="R99" s="36">
        <f t="shared" si="8"/>
        <v>0</v>
      </c>
      <c r="S99" s="37"/>
      <c r="T99" s="37"/>
      <c r="U99" s="37"/>
      <c r="V99" s="37"/>
      <c r="W99" s="37"/>
      <c r="X99" s="37"/>
      <c r="Y99" s="40"/>
    </row>
    <row r="100" spans="2:25" x14ac:dyDescent="0.25">
      <c r="B100" s="41"/>
      <c r="C100" s="36">
        <f t="shared" si="6"/>
        <v>0</v>
      </c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6">
        <f t="shared" si="7"/>
        <v>0</v>
      </c>
      <c r="Q100" s="37"/>
      <c r="R100" s="36">
        <f t="shared" si="8"/>
        <v>0</v>
      </c>
      <c r="S100" s="37"/>
      <c r="T100" s="37"/>
      <c r="U100" s="37"/>
      <c r="V100" s="37"/>
      <c r="W100" s="37"/>
      <c r="X100" s="37"/>
      <c r="Y100" s="40"/>
    </row>
    <row r="101" spans="2:25" x14ac:dyDescent="0.25">
      <c r="B101" s="41"/>
      <c r="C101" s="36">
        <f t="shared" si="6"/>
        <v>0</v>
      </c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6">
        <f t="shared" si="7"/>
        <v>0</v>
      </c>
      <c r="Q101" s="37"/>
      <c r="R101" s="36">
        <f t="shared" si="8"/>
        <v>0</v>
      </c>
      <c r="S101" s="37"/>
      <c r="T101" s="37"/>
      <c r="U101" s="37"/>
      <c r="V101" s="37"/>
      <c r="W101" s="37"/>
      <c r="X101" s="37"/>
      <c r="Y101" s="40"/>
    </row>
    <row r="102" spans="2:25" x14ac:dyDescent="0.25">
      <c r="B102" s="41"/>
      <c r="C102" s="36">
        <f t="shared" si="6"/>
        <v>0</v>
      </c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6">
        <f t="shared" si="7"/>
        <v>0</v>
      </c>
      <c r="Q102" s="37"/>
      <c r="R102" s="36">
        <f t="shared" si="8"/>
        <v>0</v>
      </c>
      <c r="S102" s="37"/>
      <c r="T102" s="37"/>
      <c r="U102" s="37"/>
      <c r="V102" s="37"/>
      <c r="W102" s="37"/>
      <c r="X102" s="37"/>
      <c r="Y102" s="40"/>
    </row>
    <row r="103" spans="2:25" x14ac:dyDescent="0.25">
      <c r="B103" s="41"/>
      <c r="C103" s="36">
        <f t="shared" si="6"/>
        <v>0</v>
      </c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6">
        <f t="shared" si="7"/>
        <v>0</v>
      </c>
      <c r="Q103" s="37"/>
      <c r="R103" s="36">
        <f t="shared" si="8"/>
        <v>0</v>
      </c>
      <c r="S103" s="37"/>
      <c r="T103" s="37"/>
      <c r="U103" s="37"/>
      <c r="V103" s="37"/>
      <c r="W103" s="37"/>
      <c r="X103" s="37"/>
      <c r="Y103" s="40"/>
    </row>
    <row r="104" spans="2:25" x14ac:dyDescent="0.25">
      <c r="B104" s="41"/>
      <c r="C104" s="36">
        <f t="shared" si="6"/>
        <v>0</v>
      </c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6">
        <f t="shared" si="7"/>
        <v>0</v>
      </c>
      <c r="Q104" s="37"/>
      <c r="R104" s="36">
        <f t="shared" si="8"/>
        <v>0</v>
      </c>
      <c r="S104" s="37"/>
      <c r="T104" s="37"/>
      <c r="U104" s="37"/>
      <c r="V104" s="37"/>
      <c r="W104" s="37"/>
      <c r="X104" s="37"/>
      <c r="Y104" s="40"/>
    </row>
    <row r="105" spans="2:25" x14ac:dyDescent="0.25">
      <c r="B105" s="41"/>
      <c r="C105" s="36">
        <f t="shared" si="6"/>
        <v>0</v>
      </c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6">
        <f t="shared" si="7"/>
        <v>0</v>
      </c>
      <c r="Q105" s="37"/>
      <c r="R105" s="36">
        <f t="shared" si="8"/>
        <v>0</v>
      </c>
      <c r="S105" s="37"/>
      <c r="T105" s="37"/>
      <c r="U105" s="37"/>
      <c r="V105" s="37"/>
      <c r="W105" s="37"/>
      <c r="X105" s="37"/>
      <c r="Y105" s="40"/>
    </row>
    <row r="106" spans="2:25" x14ac:dyDescent="0.25">
      <c r="B106" s="41"/>
      <c r="C106" s="36">
        <f t="shared" si="6"/>
        <v>0</v>
      </c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6">
        <f t="shared" si="7"/>
        <v>0</v>
      </c>
      <c r="Q106" s="37"/>
      <c r="R106" s="36">
        <f t="shared" si="8"/>
        <v>0</v>
      </c>
      <c r="S106" s="37"/>
      <c r="T106" s="37"/>
      <c r="U106" s="37"/>
      <c r="V106" s="37"/>
      <c r="W106" s="37"/>
      <c r="X106" s="37"/>
      <c r="Y106" s="40"/>
    </row>
    <row r="107" spans="2:25" x14ac:dyDescent="0.25">
      <c r="B107" s="41"/>
      <c r="C107" s="36">
        <f t="shared" ref="C107:C138" si="9">E107+G107+P107</f>
        <v>0</v>
      </c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6">
        <f t="shared" ref="P107:P138" si="10">SUM(I107:O107)</f>
        <v>0</v>
      </c>
      <c r="Q107" s="37"/>
      <c r="R107" s="36">
        <f t="shared" ref="R107:R138" si="11">E107-Q107</f>
        <v>0</v>
      </c>
      <c r="S107" s="37"/>
      <c r="T107" s="37"/>
      <c r="U107" s="37"/>
      <c r="V107" s="37"/>
      <c r="W107" s="37"/>
      <c r="X107" s="37"/>
      <c r="Y107" s="40"/>
    </row>
    <row r="108" spans="2:25" x14ac:dyDescent="0.25">
      <c r="B108" s="41"/>
      <c r="C108" s="36">
        <f t="shared" si="9"/>
        <v>0</v>
      </c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6">
        <f t="shared" si="10"/>
        <v>0</v>
      </c>
      <c r="Q108" s="37"/>
      <c r="R108" s="36">
        <f t="shared" si="11"/>
        <v>0</v>
      </c>
      <c r="S108" s="37"/>
      <c r="T108" s="37"/>
      <c r="U108" s="37"/>
      <c r="V108" s="37"/>
      <c r="W108" s="37"/>
      <c r="X108" s="37"/>
      <c r="Y108" s="40"/>
    </row>
    <row r="109" spans="2:25" x14ac:dyDescent="0.25">
      <c r="B109" s="41"/>
      <c r="C109" s="36">
        <f t="shared" si="9"/>
        <v>0</v>
      </c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6">
        <f t="shared" si="10"/>
        <v>0</v>
      </c>
      <c r="Q109" s="37"/>
      <c r="R109" s="36">
        <f t="shared" si="11"/>
        <v>0</v>
      </c>
      <c r="S109" s="37"/>
      <c r="T109" s="37"/>
      <c r="U109" s="37"/>
      <c r="V109" s="37"/>
      <c r="W109" s="37"/>
      <c r="X109" s="37"/>
      <c r="Y109" s="40"/>
    </row>
    <row r="110" spans="2:25" x14ac:dyDescent="0.25">
      <c r="B110" s="41"/>
      <c r="C110" s="36">
        <f t="shared" si="9"/>
        <v>0</v>
      </c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6">
        <f t="shared" si="10"/>
        <v>0</v>
      </c>
      <c r="Q110" s="37"/>
      <c r="R110" s="36">
        <f t="shared" si="11"/>
        <v>0</v>
      </c>
      <c r="S110" s="37"/>
      <c r="T110" s="37"/>
      <c r="U110" s="37"/>
      <c r="V110" s="37"/>
      <c r="W110" s="37"/>
      <c r="X110" s="37"/>
      <c r="Y110" s="40"/>
    </row>
    <row r="111" spans="2:25" x14ac:dyDescent="0.25">
      <c r="B111" s="41"/>
      <c r="C111" s="36">
        <f t="shared" si="9"/>
        <v>0</v>
      </c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6">
        <f t="shared" si="10"/>
        <v>0</v>
      </c>
      <c r="Q111" s="37"/>
      <c r="R111" s="36">
        <f t="shared" si="11"/>
        <v>0</v>
      </c>
      <c r="S111" s="37"/>
      <c r="T111" s="37"/>
      <c r="U111" s="37"/>
      <c r="V111" s="37"/>
      <c r="W111" s="37"/>
      <c r="X111" s="37"/>
      <c r="Y111" s="40"/>
    </row>
    <row r="112" spans="2:25" x14ac:dyDescent="0.25">
      <c r="B112" s="41"/>
      <c r="C112" s="36">
        <f t="shared" si="9"/>
        <v>0</v>
      </c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6">
        <f t="shared" si="10"/>
        <v>0</v>
      </c>
      <c r="Q112" s="37"/>
      <c r="R112" s="36">
        <f t="shared" si="11"/>
        <v>0</v>
      </c>
      <c r="S112" s="37"/>
      <c r="T112" s="37"/>
      <c r="U112" s="37"/>
      <c r="V112" s="37"/>
      <c r="W112" s="37"/>
      <c r="X112" s="37"/>
      <c r="Y112" s="40"/>
    </row>
    <row r="113" spans="2:25" x14ac:dyDescent="0.25">
      <c r="B113" s="41"/>
      <c r="C113" s="36">
        <f t="shared" si="9"/>
        <v>0</v>
      </c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6">
        <f t="shared" si="10"/>
        <v>0</v>
      </c>
      <c r="Q113" s="37"/>
      <c r="R113" s="36">
        <f t="shared" si="11"/>
        <v>0</v>
      </c>
      <c r="S113" s="37"/>
      <c r="T113" s="37"/>
      <c r="U113" s="37"/>
      <c r="V113" s="37"/>
      <c r="W113" s="37"/>
      <c r="X113" s="37"/>
      <c r="Y113" s="40"/>
    </row>
    <row r="114" spans="2:25" x14ac:dyDescent="0.25">
      <c r="B114" s="41"/>
      <c r="C114" s="36">
        <f t="shared" si="9"/>
        <v>0</v>
      </c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6">
        <f t="shared" si="10"/>
        <v>0</v>
      </c>
      <c r="Q114" s="37"/>
      <c r="R114" s="36">
        <f t="shared" si="11"/>
        <v>0</v>
      </c>
      <c r="S114" s="37"/>
      <c r="T114" s="37"/>
      <c r="U114" s="37"/>
      <c r="V114" s="37"/>
      <c r="W114" s="37"/>
      <c r="X114" s="37"/>
      <c r="Y114" s="40"/>
    </row>
    <row r="115" spans="2:25" x14ac:dyDescent="0.25">
      <c r="B115" s="41"/>
      <c r="C115" s="36">
        <f t="shared" si="9"/>
        <v>0</v>
      </c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6">
        <f t="shared" si="10"/>
        <v>0</v>
      </c>
      <c r="Q115" s="37"/>
      <c r="R115" s="36">
        <f t="shared" si="11"/>
        <v>0</v>
      </c>
      <c r="S115" s="37"/>
      <c r="T115" s="37"/>
      <c r="U115" s="37"/>
      <c r="V115" s="37"/>
      <c r="W115" s="37"/>
      <c r="X115" s="37"/>
      <c r="Y115" s="40"/>
    </row>
    <row r="116" spans="2:25" x14ac:dyDescent="0.25">
      <c r="B116" s="41"/>
      <c r="C116" s="36">
        <f t="shared" si="9"/>
        <v>0</v>
      </c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6">
        <f t="shared" si="10"/>
        <v>0</v>
      </c>
      <c r="Q116" s="37"/>
      <c r="R116" s="36">
        <f t="shared" si="11"/>
        <v>0</v>
      </c>
      <c r="S116" s="37"/>
      <c r="T116" s="37"/>
      <c r="U116" s="37"/>
      <c r="V116" s="37"/>
      <c r="W116" s="37"/>
      <c r="X116" s="37"/>
      <c r="Y116" s="40"/>
    </row>
    <row r="117" spans="2:25" x14ac:dyDescent="0.25">
      <c r="B117" s="41"/>
      <c r="C117" s="36">
        <f t="shared" si="9"/>
        <v>0</v>
      </c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6">
        <f t="shared" si="10"/>
        <v>0</v>
      </c>
      <c r="Q117" s="37"/>
      <c r="R117" s="36">
        <f t="shared" si="11"/>
        <v>0</v>
      </c>
      <c r="S117" s="37"/>
      <c r="T117" s="37"/>
      <c r="U117" s="37"/>
      <c r="V117" s="37"/>
      <c r="W117" s="37"/>
      <c r="X117" s="37"/>
      <c r="Y117" s="40"/>
    </row>
    <row r="118" spans="2:25" x14ac:dyDescent="0.25">
      <c r="B118" s="41"/>
      <c r="C118" s="36">
        <f t="shared" si="9"/>
        <v>0</v>
      </c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6">
        <f t="shared" si="10"/>
        <v>0</v>
      </c>
      <c r="Q118" s="37"/>
      <c r="R118" s="36">
        <f t="shared" si="11"/>
        <v>0</v>
      </c>
      <c r="S118" s="37"/>
      <c r="T118" s="37"/>
      <c r="U118" s="37"/>
      <c r="V118" s="37"/>
      <c r="W118" s="37"/>
      <c r="X118" s="37"/>
      <c r="Y118" s="40"/>
    </row>
    <row r="119" spans="2:25" x14ac:dyDescent="0.25">
      <c r="B119" s="41"/>
      <c r="C119" s="36">
        <f t="shared" si="9"/>
        <v>0</v>
      </c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6">
        <f t="shared" si="10"/>
        <v>0</v>
      </c>
      <c r="Q119" s="37"/>
      <c r="R119" s="36">
        <f t="shared" si="11"/>
        <v>0</v>
      </c>
      <c r="S119" s="37"/>
      <c r="T119" s="37"/>
      <c r="U119" s="37"/>
      <c r="V119" s="37"/>
      <c r="W119" s="37"/>
      <c r="X119" s="37"/>
      <c r="Y119" s="40"/>
    </row>
    <row r="120" spans="2:25" x14ac:dyDescent="0.25">
      <c r="B120" s="41"/>
      <c r="C120" s="36">
        <f t="shared" si="9"/>
        <v>0</v>
      </c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6">
        <f t="shared" si="10"/>
        <v>0</v>
      </c>
      <c r="Q120" s="37"/>
      <c r="R120" s="36">
        <f t="shared" si="11"/>
        <v>0</v>
      </c>
      <c r="S120" s="37"/>
      <c r="T120" s="37"/>
      <c r="U120" s="37"/>
      <c r="V120" s="37"/>
      <c r="W120" s="37"/>
      <c r="X120" s="37"/>
      <c r="Y120" s="40"/>
    </row>
    <row r="121" spans="2:25" x14ac:dyDescent="0.25">
      <c r="B121" s="41"/>
      <c r="C121" s="36">
        <f t="shared" si="9"/>
        <v>0</v>
      </c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6">
        <f t="shared" si="10"/>
        <v>0</v>
      </c>
      <c r="Q121" s="37"/>
      <c r="R121" s="36">
        <f t="shared" si="11"/>
        <v>0</v>
      </c>
      <c r="S121" s="37"/>
      <c r="T121" s="37"/>
      <c r="U121" s="37"/>
      <c r="V121" s="37"/>
      <c r="W121" s="37"/>
      <c r="X121" s="37"/>
      <c r="Y121" s="40"/>
    </row>
    <row r="122" spans="2:25" x14ac:dyDescent="0.25">
      <c r="B122" s="41"/>
      <c r="C122" s="36">
        <f t="shared" si="9"/>
        <v>0</v>
      </c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6">
        <f t="shared" si="10"/>
        <v>0</v>
      </c>
      <c r="Q122" s="37"/>
      <c r="R122" s="36">
        <f t="shared" si="11"/>
        <v>0</v>
      </c>
      <c r="S122" s="37"/>
      <c r="T122" s="37"/>
      <c r="U122" s="37"/>
      <c r="V122" s="37"/>
      <c r="W122" s="37"/>
      <c r="X122" s="37"/>
      <c r="Y122" s="40"/>
    </row>
    <row r="123" spans="2:25" x14ac:dyDescent="0.25">
      <c r="B123" s="41"/>
      <c r="C123" s="36">
        <f t="shared" si="9"/>
        <v>0</v>
      </c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6">
        <f t="shared" si="10"/>
        <v>0</v>
      </c>
      <c r="Q123" s="37"/>
      <c r="R123" s="36">
        <f t="shared" si="11"/>
        <v>0</v>
      </c>
      <c r="S123" s="37"/>
      <c r="T123" s="37"/>
      <c r="U123" s="37"/>
      <c r="V123" s="37"/>
      <c r="W123" s="37"/>
      <c r="X123" s="37"/>
      <c r="Y123" s="40"/>
    </row>
    <row r="124" spans="2:25" x14ac:dyDescent="0.25">
      <c r="B124" s="41"/>
      <c r="C124" s="36">
        <f t="shared" si="9"/>
        <v>0</v>
      </c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6">
        <f t="shared" si="10"/>
        <v>0</v>
      </c>
      <c r="Q124" s="37"/>
      <c r="R124" s="36">
        <f t="shared" si="11"/>
        <v>0</v>
      </c>
      <c r="S124" s="37"/>
      <c r="T124" s="37"/>
      <c r="U124" s="37"/>
      <c r="V124" s="37"/>
      <c r="W124" s="37"/>
      <c r="X124" s="37"/>
      <c r="Y124" s="40"/>
    </row>
    <row r="125" spans="2:25" x14ac:dyDescent="0.25">
      <c r="B125" s="41"/>
      <c r="C125" s="36">
        <f t="shared" si="9"/>
        <v>0</v>
      </c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6">
        <f t="shared" si="10"/>
        <v>0</v>
      </c>
      <c r="Q125" s="37"/>
      <c r="R125" s="36">
        <f t="shared" si="11"/>
        <v>0</v>
      </c>
      <c r="S125" s="37"/>
      <c r="T125" s="37"/>
      <c r="U125" s="37"/>
      <c r="V125" s="37"/>
      <c r="W125" s="37"/>
      <c r="X125" s="37"/>
      <c r="Y125" s="40"/>
    </row>
    <row r="126" spans="2:25" x14ac:dyDescent="0.25">
      <c r="B126" s="41"/>
      <c r="C126" s="36">
        <f t="shared" si="9"/>
        <v>0</v>
      </c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6">
        <f t="shared" si="10"/>
        <v>0</v>
      </c>
      <c r="Q126" s="37"/>
      <c r="R126" s="36">
        <f t="shared" si="11"/>
        <v>0</v>
      </c>
      <c r="S126" s="37"/>
      <c r="T126" s="37"/>
      <c r="U126" s="37"/>
      <c r="V126" s="37"/>
      <c r="W126" s="37"/>
      <c r="X126" s="37"/>
      <c r="Y126" s="40"/>
    </row>
    <row r="127" spans="2:25" x14ac:dyDescent="0.25">
      <c r="B127" s="41"/>
      <c r="C127" s="36">
        <f t="shared" si="9"/>
        <v>0</v>
      </c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6">
        <f t="shared" si="10"/>
        <v>0</v>
      </c>
      <c r="Q127" s="37"/>
      <c r="R127" s="36">
        <f t="shared" si="11"/>
        <v>0</v>
      </c>
      <c r="S127" s="37"/>
      <c r="T127" s="37"/>
      <c r="U127" s="37"/>
      <c r="V127" s="37"/>
      <c r="W127" s="37"/>
      <c r="X127" s="37"/>
      <c r="Y127" s="40"/>
    </row>
    <row r="128" spans="2:25" x14ac:dyDescent="0.25">
      <c r="B128" s="41"/>
      <c r="C128" s="36">
        <f t="shared" si="9"/>
        <v>0</v>
      </c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6">
        <f t="shared" si="10"/>
        <v>0</v>
      </c>
      <c r="Q128" s="37"/>
      <c r="R128" s="36">
        <f t="shared" si="11"/>
        <v>0</v>
      </c>
      <c r="S128" s="37"/>
      <c r="T128" s="37"/>
      <c r="U128" s="37"/>
      <c r="V128" s="37"/>
      <c r="W128" s="37"/>
      <c r="X128" s="37"/>
      <c r="Y128" s="40"/>
    </row>
    <row r="129" spans="2:25" x14ac:dyDescent="0.25">
      <c r="B129" s="41"/>
      <c r="C129" s="36">
        <f t="shared" si="9"/>
        <v>0</v>
      </c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6">
        <f t="shared" si="10"/>
        <v>0</v>
      </c>
      <c r="Q129" s="37"/>
      <c r="R129" s="36">
        <f t="shared" si="11"/>
        <v>0</v>
      </c>
      <c r="S129" s="37"/>
      <c r="T129" s="37"/>
      <c r="U129" s="37"/>
      <c r="V129" s="37"/>
      <c r="W129" s="37"/>
      <c r="X129" s="37"/>
      <c r="Y129" s="40"/>
    </row>
    <row r="130" spans="2:25" x14ac:dyDescent="0.25">
      <c r="B130" s="41"/>
      <c r="C130" s="36">
        <f t="shared" si="9"/>
        <v>0</v>
      </c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6">
        <f t="shared" si="10"/>
        <v>0</v>
      </c>
      <c r="Q130" s="37"/>
      <c r="R130" s="36">
        <f t="shared" si="11"/>
        <v>0</v>
      </c>
      <c r="S130" s="37"/>
      <c r="T130" s="37"/>
      <c r="U130" s="37"/>
      <c r="V130" s="37"/>
      <c r="W130" s="37"/>
      <c r="X130" s="37"/>
      <c r="Y130" s="40"/>
    </row>
    <row r="131" spans="2:25" x14ac:dyDescent="0.25">
      <c r="B131" s="41"/>
      <c r="C131" s="36">
        <f t="shared" si="9"/>
        <v>0</v>
      </c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6">
        <f t="shared" si="10"/>
        <v>0</v>
      </c>
      <c r="Q131" s="37"/>
      <c r="R131" s="36">
        <f t="shared" si="11"/>
        <v>0</v>
      </c>
      <c r="S131" s="37"/>
      <c r="T131" s="37"/>
      <c r="U131" s="37"/>
      <c r="V131" s="37"/>
      <c r="W131" s="37"/>
      <c r="X131" s="37"/>
      <c r="Y131" s="40"/>
    </row>
    <row r="132" spans="2:25" x14ac:dyDescent="0.25">
      <c r="B132" s="41"/>
      <c r="C132" s="36">
        <f t="shared" si="9"/>
        <v>0</v>
      </c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6">
        <f t="shared" si="10"/>
        <v>0</v>
      </c>
      <c r="Q132" s="37"/>
      <c r="R132" s="36">
        <f t="shared" si="11"/>
        <v>0</v>
      </c>
      <c r="S132" s="37"/>
      <c r="T132" s="37"/>
      <c r="U132" s="37"/>
      <c r="V132" s="37"/>
      <c r="W132" s="37"/>
      <c r="X132" s="37"/>
      <c r="Y132" s="40"/>
    </row>
    <row r="133" spans="2:25" x14ac:dyDescent="0.25">
      <c r="B133" s="41"/>
      <c r="C133" s="36">
        <f t="shared" si="9"/>
        <v>0</v>
      </c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6">
        <f t="shared" si="10"/>
        <v>0</v>
      </c>
      <c r="Q133" s="37"/>
      <c r="R133" s="36">
        <f t="shared" si="11"/>
        <v>0</v>
      </c>
      <c r="S133" s="37"/>
      <c r="T133" s="37"/>
      <c r="U133" s="37"/>
      <c r="V133" s="37"/>
      <c r="W133" s="37"/>
      <c r="X133" s="37"/>
      <c r="Y133" s="40"/>
    </row>
    <row r="134" spans="2:25" x14ac:dyDescent="0.25">
      <c r="B134" s="41"/>
      <c r="C134" s="36">
        <f t="shared" si="9"/>
        <v>0</v>
      </c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6">
        <f t="shared" si="10"/>
        <v>0</v>
      </c>
      <c r="Q134" s="37"/>
      <c r="R134" s="36">
        <f t="shared" si="11"/>
        <v>0</v>
      </c>
      <c r="S134" s="37"/>
      <c r="T134" s="37"/>
      <c r="U134" s="37"/>
      <c r="V134" s="37"/>
      <c r="W134" s="37"/>
      <c r="X134" s="37"/>
      <c r="Y134" s="40"/>
    </row>
    <row r="135" spans="2:25" x14ac:dyDescent="0.25">
      <c r="B135" s="41"/>
      <c r="C135" s="36">
        <f t="shared" si="9"/>
        <v>0</v>
      </c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6">
        <f t="shared" si="10"/>
        <v>0</v>
      </c>
      <c r="Q135" s="37"/>
      <c r="R135" s="36">
        <f t="shared" si="11"/>
        <v>0</v>
      </c>
      <c r="S135" s="37"/>
      <c r="T135" s="37"/>
      <c r="U135" s="37"/>
      <c r="V135" s="37"/>
      <c r="W135" s="37"/>
      <c r="X135" s="37"/>
      <c r="Y135" s="40"/>
    </row>
    <row r="136" spans="2:25" x14ac:dyDescent="0.25">
      <c r="B136" s="41"/>
      <c r="C136" s="36">
        <f t="shared" si="9"/>
        <v>0</v>
      </c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6">
        <f t="shared" si="10"/>
        <v>0</v>
      </c>
      <c r="Q136" s="37"/>
      <c r="R136" s="36">
        <f t="shared" si="11"/>
        <v>0</v>
      </c>
      <c r="S136" s="37"/>
      <c r="T136" s="37"/>
      <c r="U136" s="37"/>
      <c r="V136" s="37"/>
      <c r="W136" s="37"/>
      <c r="X136" s="37"/>
      <c r="Y136" s="40"/>
    </row>
    <row r="137" spans="2:25" x14ac:dyDescent="0.25">
      <c r="B137" s="41"/>
      <c r="C137" s="36">
        <f t="shared" si="9"/>
        <v>0</v>
      </c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6">
        <f t="shared" si="10"/>
        <v>0</v>
      </c>
      <c r="Q137" s="37"/>
      <c r="R137" s="36">
        <f t="shared" si="11"/>
        <v>0</v>
      </c>
      <c r="S137" s="37"/>
      <c r="T137" s="37"/>
      <c r="U137" s="37"/>
      <c r="V137" s="37"/>
      <c r="W137" s="37"/>
      <c r="X137" s="37"/>
      <c r="Y137" s="40"/>
    </row>
    <row r="138" spans="2:25" x14ac:dyDescent="0.25">
      <c r="B138" s="41"/>
      <c r="C138" s="36">
        <f t="shared" si="9"/>
        <v>0</v>
      </c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6">
        <f t="shared" si="10"/>
        <v>0</v>
      </c>
      <c r="Q138" s="37"/>
      <c r="R138" s="36">
        <f t="shared" si="11"/>
        <v>0</v>
      </c>
      <c r="S138" s="37"/>
      <c r="T138" s="37"/>
      <c r="U138" s="37"/>
      <c r="V138" s="37"/>
      <c r="W138" s="37"/>
      <c r="X138" s="37"/>
      <c r="Y138" s="40"/>
    </row>
    <row r="139" spans="2:25" x14ac:dyDescent="0.25">
      <c r="B139" s="41"/>
      <c r="C139" s="36">
        <f t="shared" ref="C139:C171" si="12">E139+G139+P139</f>
        <v>0</v>
      </c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6">
        <f t="shared" ref="P139:P170" si="13">SUM(I139:O139)</f>
        <v>0</v>
      </c>
      <c r="Q139" s="37"/>
      <c r="R139" s="36">
        <f t="shared" ref="R139:R170" si="14">E139-Q139</f>
        <v>0</v>
      </c>
      <c r="S139" s="37"/>
      <c r="T139" s="37"/>
      <c r="U139" s="37"/>
      <c r="V139" s="37"/>
      <c r="W139" s="37"/>
      <c r="X139" s="37"/>
      <c r="Y139" s="40"/>
    </row>
    <row r="140" spans="2:25" x14ac:dyDescent="0.25">
      <c r="B140" s="41"/>
      <c r="C140" s="36">
        <f t="shared" si="12"/>
        <v>0</v>
      </c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6">
        <f t="shared" si="13"/>
        <v>0</v>
      </c>
      <c r="Q140" s="37"/>
      <c r="R140" s="36">
        <f t="shared" si="14"/>
        <v>0</v>
      </c>
      <c r="S140" s="37"/>
      <c r="T140" s="37"/>
      <c r="U140" s="37"/>
      <c r="V140" s="37"/>
      <c r="W140" s="37"/>
      <c r="X140" s="37"/>
      <c r="Y140" s="40"/>
    </row>
    <row r="141" spans="2:25" x14ac:dyDescent="0.25">
      <c r="B141" s="41"/>
      <c r="C141" s="36">
        <f t="shared" si="12"/>
        <v>0</v>
      </c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6">
        <f t="shared" si="13"/>
        <v>0</v>
      </c>
      <c r="Q141" s="37"/>
      <c r="R141" s="36">
        <f t="shared" si="14"/>
        <v>0</v>
      </c>
      <c r="S141" s="37"/>
      <c r="T141" s="37"/>
      <c r="U141" s="37"/>
      <c r="V141" s="37"/>
      <c r="W141" s="37"/>
      <c r="X141" s="37"/>
      <c r="Y141" s="40"/>
    </row>
    <row r="142" spans="2:25" x14ac:dyDescent="0.25">
      <c r="B142" s="41"/>
      <c r="C142" s="36">
        <f t="shared" si="12"/>
        <v>0</v>
      </c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6">
        <f t="shared" si="13"/>
        <v>0</v>
      </c>
      <c r="Q142" s="37"/>
      <c r="R142" s="36">
        <f t="shared" si="14"/>
        <v>0</v>
      </c>
      <c r="S142" s="37"/>
      <c r="T142" s="37"/>
      <c r="U142" s="37"/>
      <c r="V142" s="37"/>
      <c r="W142" s="37"/>
      <c r="X142" s="37"/>
      <c r="Y142" s="40"/>
    </row>
    <row r="143" spans="2:25" x14ac:dyDescent="0.25">
      <c r="B143" s="41"/>
      <c r="C143" s="36">
        <f t="shared" si="12"/>
        <v>0</v>
      </c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6">
        <f t="shared" si="13"/>
        <v>0</v>
      </c>
      <c r="Q143" s="37"/>
      <c r="R143" s="36">
        <f t="shared" si="14"/>
        <v>0</v>
      </c>
      <c r="S143" s="37"/>
      <c r="T143" s="37"/>
      <c r="U143" s="37"/>
      <c r="V143" s="37"/>
      <c r="W143" s="37"/>
      <c r="X143" s="37"/>
      <c r="Y143" s="40"/>
    </row>
    <row r="144" spans="2:25" x14ac:dyDescent="0.25">
      <c r="B144" s="41"/>
      <c r="C144" s="36">
        <f t="shared" si="12"/>
        <v>0</v>
      </c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6">
        <f t="shared" si="13"/>
        <v>0</v>
      </c>
      <c r="Q144" s="37"/>
      <c r="R144" s="36">
        <f t="shared" si="14"/>
        <v>0</v>
      </c>
      <c r="S144" s="37"/>
      <c r="T144" s="37"/>
      <c r="U144" s="37"/>
      <c r="V144" s="37"/>
      <c r="W144" s="37"/>
      <c r="X144" s="37"/>
      <c r="Y144" s="40"/>
    </row>
    <row r="145" spans="2:25" x14ac:dyDescent="0.25">
      <c r="B145" s="41"/>
      <c r="C145" s="36">
        <f t="shared" si="12"/>
        <v>0</v>
      </c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6">
        <f t="shared" si="13"/>
        <v>0</v>
      </c>
      <c r="Q145" s="37"/>
      <c r="R145" s="36">
        <f t="shared" si="14"/>
        <v>0</v>
      </c>
      <c r="S145" s="37"/>
      <c r="T145" s="37"/>
      <c r="U145" s="37"/>
      <c r="V145" s="37"/>
      <c r="W145" s="37"/>
      <c r="X145" s="37"/>
      <c r="Y145" s="40"/>
    </row>
    <row r="146" spans="2:25" x14ac:dyDescent="0.25">
      <c r="B146" s="41"/>
      <c r="C146" s="36">
        <f t="shared" si="12"/>
        <v>0</v>
      </c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6">
        <f t="shared" si="13"/>
        <v>0</v>
      </c>
      <c r="Q146" s="37"/>
      <c r="R146" s="36">
        <f t="shared" si="14"/>
        <v>0</v>
      </c>
      <c r="S146" s="37"/>
      <c r="T146" s="37"/>
      <c r="U146" s="37"/>
      <c r="V146" s="37"/>
      <c r="W146" s="37"/>
      <c r="X146" s="37"/>
      <c r="Y146" s="40"/>
    </row>
    <row r="147" spans="2:25" x14ac:dyDescent="0.25">
      <c r="B147" s="41"/>
      <c r="C147" s="36">
        <f t="shared" si="12"/>
        <v>0</v>
      </c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6">
        <f t="shared" si="13"/>
        <v>0</v>
      </c>
      <c r="Q147" s="37"/>
      <c r="R147" s="36">
        <f t="shared" si="14"/>
        <v>0</v>
      </c>
      <c r="S147" s="37"/>
      <c r="T147" s="37"/>
      <c r="U147" s="37"/>
      <c r="V147" s="37"/>
      <c r="W147" s="37"/>
      <c r="X147" s="37"/>
      <c r="Y147" s="40"/>
    </row>
    <row r="148" spans="2:25" x14ac:dyDescent="0.25">
      <c r="B148" s="41"/>
      <c r="C148" s="36">
        <f t="shared" si="12"/>
        <v>0</v>
      </c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6">
        <f t="shared" si="13"/>
        <v>0</v>
      </c>
      <c r="Q148" s="37"/>
      <c r="R148" s="36">
        <f t="shared" si="14"/>
        <v>0</v>
      </c>
      <c r="S148" s="37"/>
      <c r="T148" s="37"/>
      <c r="U148" s="37"/>
      <c r="V148" s="37"/>
      <c r="W148" s="37"/>
      <c r="X148" s="37"/>
      <c r="Y148" s="40"/>
    </row>
    <row r="149" spans="2:25" x14ac:dyDescent="0.25">
      <c r="B149" s="41"/>
      <c r="C149" s="36">
        <f t="shared" si="12"/>
        <v>0</v>
      </c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6">
        <f t="shared" si="13"/>
        <v>0</v>
      </c>
      <c r="Q149" s="37"/>
      <c r="R149" s="36">
        <f t="shared" si="14"/>
        <v>0</v>
      </c>
      <c r="S149" s="37"/>
      <c r="T149" s="37"/>
      <c r="U149" s="37"/>
      <c r="V149" s="37"/>
      <c r="W149" s="37"/>
      <c r="X149" s="37"/>
      <c r="Y149" s="40"/>
    </row>
    <row r="150" spans="2:25" x14ac:dyDescent="0.25">
      <c r="B150" s="41"/>
      <c r="C150" s="36">
        <f t="shared" si="12"/>
        <v>0</v>
      </c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6">
        <f t="shared" si="13"/>
        <v>0</v>
      </c>
      <c r="Q150" s="37"/>
      <c r="R150" s="36">
        <f t="shared" si="14"/>
        <v>0</v>
      </c>
      <c r="S150" s="37"/>
      <c r="T150" s="37"/>
      <c r="U150" s="37"/>
      <c r="V150" s="37"/>
      <c r="W150" s="37"/>
      <c r="X150" s="37"/>
      <c r="Y150" s="40"/>
    </row>
    <row r="151" spans="2:25" x14ac:dyDescent="0.25">
      <c r="B151" s="41"/>
      <c r="C151" s="36">
        <f t="shared" si="12"/>
        <v>0</v>
      </c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6">
        <f t="shared" si="13"/>
        <v>0</v>
      </c>
      <c r="Q151" s="37"/>
      <c r="R151" s="36">
        <f t="shared" si="14"/>
        <v>0</v>
      </c>
      <c r="S151" s="37"/>
      <c r="T151" s="37"/>
      <c r="U151" s="37"/>
      <c r="V151" s="37"/>
      <c r="W151" s="37"/>
      <c r="X151" s="37"/>
      <c r="Y151" s="40"/>
    </row>
    <row r="152" spans="2:25" x14ac:dyDescent="0.25">
      <c r="B152" s="41"/>
      <c r="C152" s="36">
        <f t="shared" si="12"/>
        <v>0</v>
      </c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6">
        <f t="shared" si="13"/>
        <v>0</v>
      </c>
      <c r="Q152" s="37"/>
      <c r="R152" s="36">
        <f t="shared" si="14"/>
        <v>0</v>
      </c>
      <c r="S152" s="37"/>
      <c r="T152" s="37"/>
      <c r="U152" s="37"/>
      <c r="V152" s="37"/>
      <c r="W152" s="37"/>
      <c r="X152" s="37"/>
      <c r="Y152" s="40"/>
    </row>
    <row r="153" spans="2:25" x14ac:dyDescent="0.25">
      <c r="B153" s="41"/>
      <c r="C153" s="36">
        <f t="shared" si="12"/>
        <v>0</v>
      </c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6">
        <f t="shared" si="13"/>
        <v>0</v>
      </c>
      <c r="Q153" s="37"/>
      <c r="R153" s="36">
        <f t="shared" si="14"/>
        <v>0</v>
      </c>
      <c r="S153" s="37"/>
      <c r="T153" s="37"/>
      <c r="U153" s="37"/>
      <c r="V153" s="37"/>
      <c r="W153" s="37"/>
      <c r="X153" s="37"/>
      <c r="Y153" s="40"/>
    </row>
    <row r="154" spans="2:25" x14ac:dyDescent="0.25">
      <c r="B154" s="41"/>
      <c r="C154" s="36">
        <f t="shared" si="12"/>
        <v>0</v>
      </c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6">
        <f t="shared" si="13"/>
        <v>0</v>
      </c>
      <c r="Q154" s="37"/>
      <c r="R154" s="36">
        <f t="shared" si="14"/>
        <v>0</v>
      </c>
      <c r="S154" s="37"/>
      <c r="T154" s="37"/>
      <c r="U154" s="37"/>
      <c r="V154" s="37"/>
      <c r="W154" s="37"/>
      <c r="X154" s="37"/>
      <c r="Y154" s="40"/>
    </row>
    <row r="155" spans="2:25" x14ac:dyDescent="0.25">
      <c r="B155" s="41"/>
      <c r="C155" s="36">
        <f t="shared" si="12"/>
        <v>0</v>
      </c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6">
        <f t="shared" si="13"/>
        <v>0</v>
      </c>
      <c r="Q155" s="37"/>
      <c r="R155" s="36">
        <f t="shared" si="14"/>
        <v>0</v>
      </c>
      <c r="S155" s="37"/>
      <c r="T155" s="37"/>
      <c r="U155" s="37"/>
      <c r="V155" s="37"/>
      <c r="W155" s="37"/>
      <c r="X155" s="37"/>
      <c r="Y155" s="40"/>
    </row>
    <row r="156" spans="2:25" x14ac:dyDescent="0.25">
      <c r="B156" s="41"/>
      <c r="C156" s="36">
        <f t="shared" si="12"/>
        <v>0</v>
      </c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6">
        <f t="shared" si="13"/>
        <v>0</v>
      </c>
      <c r="Q156" s="37"/>
      <c r="R156" s="36">
        <f t="shared" si="14"/>
        <v>0</v>
      </c>
      <c r="S156" s="37"/>
      <c r="T156" s="37"/>
      <c r="U156" s="37"/>
      <c r="V156" s="37"/>
      <c r="W156" s="37"/>
      <c r="X156" s="37"/>
      <c r="Y156" s="40"/>
    </row>
    <row r="157" spans="2:25" x14ac:dyDescent="0.25">
      <c r="B157" s="41"/>
      <c r="C157" s="36">
        <f t="shared" si="12"/>
        <v>0</v>
      </c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6">
        <f t="shared" si="13"/>
        <v>0</v>
      </c>
      <c r="Q157" s="37"/>
      <c r="R157" s="36">
        <f t="shared" si="14"/>
        <v>0</v>
      </c>
      <c r="S157" s="37"/>
      <c r="T157" s="37"/>
      <c r="U157" s="37"/>
      <c r="V157" s="37"/>
      <c r="W157" s="37"/>
      <c r="X157" s="37"/>
      <c r="Y157" s="40"/>
    </row>
    <row r="158" spans="2:25" x14ac:dyDescent="0.25">
      <c r="B158" s="41"/>
      <c r="C158" s="36">
        <f t="shared" si="12"/>
        <v>0</v>
      </c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6">
        <f t="shared" si="13"/>
        <v>0</v>
      </c>
      <c r="Q158" s="37"/>
      <c r="R158" s="36">
        <f t="shared" si="14"/>
        <v>0</v>
      </c>
      <c r="S158" s="37"/>
      <c r="T158" s="37"/>
      <c r="U158" s="37"/>
      <c r="V158" s="37"/>
      <c r="W158" s="37"/>
      <c r="X158" s="37"/>
      <c r="Y158" s="40"/>
    </row>
    <row r="159" spans="2:25" x14ac:dyDescent="0.25">
      <c r="B159" s="41"/>
      <c r="C159" s="36">
        <f t="shared" si="12"/>
        <v>0</v>
      </c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6">
        <f t="shared" si="13"/>
        <v>0</v>
      </c>
      <c r="Q159" s="37"/>
      <c r="R159" s="36">
        <f t="shared" si="14"/>
        <v>0</v>
      </c>
      <c r="S159" s="37"/>
      <c r="T159" s="37"/>
      <c r="U159" s="37"/>
      <c r="V159" s="37"/>
      <c r="W159" s="37"/>
      <c r="X159" s="37"/>
      <c r="Y159" s="40"/>
    </row>
    <row r="160" spans="2:25" x14ac:dyDescent="0.25">
      <c r="B160" s="41"/>
      <c r="C160" s="36">
        <f t="shared" si="12"/>
        <v>0</v>
      </c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6">
        <f t="shared" si="13"/>
        <v>0</v>
      </c>
      <c r="Q160" s="37"/>
      <c r="R160" s="36">
        <f t="shared" si="14"/>
        <v>0</v>
      </c>
      <c r="S160" s="37"/>
      <c r="T160" s="37"/>
      <c r="U160" s="37"/>
      <c r="V160" s="37"/>
      <c r="W160" s="37"/>
      <c r="X160" s="37"/>
      <c r="Y160" s="40"/>
    </row>
    <row r="161" spans="2:25" x14ac:dyDescent="0.25">
      <c r="B161" s="41"/>
      <c r="C161" s="36">
        <f t="shared" si="12"/>
        <v>0</v>
      </c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6">
        <f t="shared" si="13"/>
        <v>0</v>
      </c>
      <c r="Q161" s="37"/>
      <c r="R161" s="36">
        <f t="shared" si="14"/>
        <v>0</v>
      </c>
      <c r="S161" s="37"/>
      <c r="T161" s="37"/>
      <c r="U161" s="37"/>
      <c r="V161" s="37"/>
      <c r="W161" s="37"/>
      <c r="X161" s="37"/>
      <c r="Y161" s="40"/>
    </row>
    <row r="162" spans="2:25" x14ac:dyDescent="0.25">
      <c r="B162" s="41"/>
      <c r="C162" s="36">
        <f t="shared" si="12"/>
        <v>0</v>
      </c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6">
        <f t="shared" si="13"/>
        <v>0</v>
      </c>
      <c r="Q162" s="37"/>
      <c r="R162" s="36">
        <f t="shared" si="14"/>
        <v>0</v>
      </c>
      <c r="S162" s="37"/>
      <c r="T162" s="37"/>
      <c r="U162" s="37"/>
      <c r="V162" s="37"/>
      <c r="W162" s="37"/>
      <c r="X162" s="37"/>
      <c r="Y162" s="40"/>
    </row>
    <row r="163" spans="2:25" x14ac:dyDescent="0.25">
      <c r="B163" s="41"/>
      <c r="C163" s="36">
        <f t="shared" si="12"/>
        <v>0</v>
      </c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6">
        <f t="shared" si="13"/>
        <v>0</v>
      </c>
      <c r="Q163" s="37"/>
      <c r="R163" s="36">
        <f t="shared" si="14"/>
        <v>0</v>
      </c>
      <c r="S163" s="37"/>
      <c r="T163" s="37"/>
      <c r="U163" s="37"/>
      <c r="V163" s="37"/>
      <c r="W163" s="37"/>
      <c r="X163" s="37"/>
      <c r="Y163" s="40"/>
    </row>
    <row r="164" spans="2:25" x14ac:dyDescent="0.25">
      <c r="B164" s="41"/>
      <c r="C164" s="36">
        <f t="shared" si="12"/>
        <v>0</v>
      </c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6">
        <f t="shared" si="13"/>
        <v>0</v>
      </c>
      <c r="Q164" s="37"/>
      <c r="R164" s="36">
        <f t="shared" si="14"/>
        <v>0</v>
      </c>
      <c r="S164" s="37"/>
      <c r="T164" s="37"/>
      <c r="U164" s="37"/>
      <c r="V164" s="37"/>
      <c r="W164" s="37"/>
      <c r="X164" s="37"/>
      <c r="Y164" s="40"/>
    </row>
    <row r="165" spans="2:25" x14ac:dyDescent="0.25">
      <c r="B165" s="41"/>
      <c r="C165" s="36">
        <f t="shared" si="12"/>
        <v>0</v>
      </c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6">
        <f t="shared" si="13"/>
        <v>0</v>
      </c>
      <c r="Q165" s="37"/>
      <c r="R165" s="36">
        <f t="shared" si="14"/>
        <v>0</v>
      </c>
      <c r="S165" s="37"/>
      <c r="T165" s="37"/>
      <c r="U165" s="37"/>
      <c r="V165" s="37"/>
      <c r="W165" s="37"/>
      <c r="X165" s="37"/>
      <c r="Y165" s="40"/>
    </row>
    <row r="166" spans="2:25" x14ac:dyDescent="0.25">
      <c r="B166" s="41"/>
      <c r="C166" s="36">
        <f t="shared" si="12"/>
        <v>0</v>
      </c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6">
        <f t="shared" si="13"/>
        <v>0</v>
      </c>
      <c r="Q166" s="37"/>
      <c r="R166" s="36">
        <f t="shared" si="14"/>
        <v>0</v>
      </c>
      <c r="S166" s="37"/>
      <c r="T166" s="37"/>
      <c r="U166" s="37"/>
      <c r="V166" s="37"/>
      <c r="W166" s="37"/>
      <c r="X166" s="37"/>
      <c r="Y166" s="40"/>
    </row>
    <row r="167" spans="2:25" x14ac:dyDescent="0.25">
      <c r="B167" s="41"/>
      <c r="C167" s="36">
        <f t="shared" si="12"/>
        <v>0</v>
      </c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6">
        <f t="shared" si="13"/>
        <v>0</v>
      </c>
      <c r="Q167" s="37"/>
      <c r="R167" s="36">
        <f t="shared" si="14"/>
        <v>0</v>
      </c>
      <c r="S167" s="37"/>
      <c r="T167" s="37"/>
      <c r="U167" s="37"/>
      <c r="V167" s="37"/>
      <c r="W167" s="37"/>
      <c r="X167" s="37"/>
      <c r="Y167" s="40"/>
    </row>
    <row r="168" spans="2:25" x14ac:dyDescent="0.25">
      <c r="B168" s="41"/>
      <c r="C168" s="36">
        <f t="shared" si="12"/>
        <v>0</v>
      </c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6">
        <f t="shared" si="13"/>
        <v>0</v>
      </c>
      <c r="Q168" s="37"/>
      <c r="R168" s="36">
        <f t="shared" si="14"/>
        <v>0</v>
      </c>
      <c r="S168" s="37"/>
      <c r="T168" s="37"/>
      <c r="U168" s="37"/>
      <c r="V168" s="37"/>
      <c r="W168" s="37"/>
      <c r="X168" s="37"/>
      <c r="Y168" s="40"/>
    </row>
    <row r="169" spans="2:25" x14ac:dyDescent="0.25">
      <c r="B169" s="41"/>
      <c r="C169" s="36">
        <f t="shared" si="12"/>
        <v>0</v>
      </c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6">
        <f t="shared" si="13"/>
        <v>0</v>
      </c>
      <c r="Q169" s="37"/>
      <c r="R169" s="36">
        <f t="shared" si="14"/>
        <v>0</v>
      </c>
      <c r="S169" s="37"/>
      <c r="T169" s="37"/>
      <c r="U169" s="37"/>
      <c r="V169" s="37"/>
      <c r="W169" s="37"/>
      <c r="X169" s="37"/>
      <c r="Y169" s="40"/>
    </row>
    <row r="170" spans="2:25" x14ac:dyDescent="0.25">
      <c r="B170" s="41"/>
      <c r="C170" s="36">
        <f t="shared" si="12"/>
        <v>0</v>
      </c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6">
        <f t="shared" si="13"/>
        <v>0</v>
      </c>
      <c r="Q170" s="37"/>
      <c r="R170" s="36">
        <f t="shared" si="14"/>
        <v>0</v>
      </c>
      <c r="S170" s="37"/>
      <c r="T170" s="37"/>
      <c r="U170" s="37"/>
      <c r="V170" s="37"/>
      <c r="W170" s="37"/>
      <c r="X170" s="37"/>
      <c r="Y170" s="40"/>
    </row>
    <row r="171" spans="2:25" x14ac:dyDescent="0.25">
      <c r="B171" s="41"/>
      <c r="C171" s="36">
        <f t="shared" si="12"/>
        <v>0</v>
      </c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6">
        <f t="shared" ref="P171:P202" si="15">SUM(I171:O171)</f>
        <v>0</v>
      </c>
      <c r="Q171" s="37"/>
      <c r="R171" s="36">
        <f t="shared" ref="R171:R202" si="16">E171-Q171</f>
        <v>0</v>
      </c>
      <c r="S171" s="37"/>
      <c r="T171" s="37"/>
      <c r="U171" s="37"/>
      <c r="V171" s="37"/>
      <c r="W171" s="37"/>
      <c r="X171" s="37"/>
      <c r="Y171" s="40"/>
    </row>
    <row r="172" spans="2:25" x14ac:dyDescent="0.25">
      <c r="B172" s="42" t="s">
        <v>112</v>
      </c>
      <c r="C172" s="43">
        <f>SUM(C11:C171)</f>
        <v>82031217</v>
      </c>
      <c r="D172" s="37"/>
      <c r="E172" s="43">
        <f>SUM(E11:E171)</f>
        <v>22660730</v>
      </c>
      <c r="F172" s="37"/>
      <c r="G172" s="43">
        <f>SUM(G11:G171)</f>
        <v>0</v>
      </c>
      <c r="H172" s="37"/>
      <c r="I172" s="43">
        <f t="shared" ref="I172:S172" si="17">SUM(I11:I171)</f>
        <v>24680572</v>
      </c>
      <c r="J172" s="43">
        <f t="shared" si="17"/>
        <v>9000569</v>
      </c>
      <c r="K172" s="43">
        <f t="shared" si="17"/>
        <v>25689346</v>
      </c>
      <c r="L172" s="43">
        <f t="shared" si="17"/>
        <v>0</v>
      </c>
      <c r="M172" s="43">
        <f t="shared" si="17"/>
        <v>0</v>
      </c>
      <c r="N172" s="43">
        <f t="shared" si="17"/>
        <v>0</v>
      </c>
      <c r="O172" s="43">
        <f t="shared" si="17"/>
        <v>0</v>
      </c>
      <c r="P172" s="43">
        <f t="shared" si="17"/>
        <v>59370487</v>
      </c>
      <c r="Q172" s="43">
        <f t="shared" si="17"/>
        <v>0</v>
      </c>
      <c r="R172" s="43">
        <f t="shared" si="17"/>
        <v>22660730</v>
      </c>
      <c r="S172" s="43">
        <f t="shared" si="17"/>
        <v>82031217</v>
      </c>
      <c r="T172" s="37"/>
      <c r="U172" s="37"/>
      <c r="V172" s="37"/>
      <c r="W172" s="37"/>
      <c r="X172" s="37"/>
      <c r="Y172" s="40"/>
    </row>
  </sheetData>
  <sheetProtection sheet="1"/>
  <mergeCells count="2">
    <mergeCell ref="I8:O8"/>
    <mergeCell ref="V8:Y8"/>
  </mergeCells>
  <pageMargins left="0.7" right="0.7" top="0.75" bottom="0.75" header="0.3" footer="0.3"/>
  <pageSetup paperSize="9" scale="2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W37"/>
  <sheetViews>
    <sheetView showGridLines="0" view="pageBreakPreview" zoomScaleNormal="100" workbookViewId="0">
      <pane ySplit="5" topLeftCell="A6" activePane="bottomLeft" state="frozen"/>
      <selection pane="bottomLeft"/>
    </sheetView>
  </sheetViews>
  <sheetFormatPr defaultRowHeight="15" x14ac:dyDescent="0.25"/>
  <cols>
    <col min="1" max="1" width="9.28515625" customWidth="1"/>
    <col min="2" max="2" width="14" customWidth="1"/>
    <col min="3" max="3" width="16.7109375" customWidth="1"/>
    <col min="4" max="4" width="19.140625" customWidth="1"/>
    <col min="5" max="6" width="12" customWidth="1"/>
    <col min="7" max="7" width="15.5703125" customWidth="1"/>
    <col min="8" max="10" width="12" customWidth="1"/>
    <col min="11" max="11" width="18" customWidth="1"/>
    <col min="12" max="12" width="13.140625" customWidth="1"/>
    <col min="13" max="13" width="22.85546875" customWidth="1"/>
    <col min="14" max="15" width="12" customWidth="1"/>
    <col min="16" max="16" width="13.140625" customWidth="1"/>
    <col min="17" max="17" width="12" customWidth="1"/>
    <col min="18" max="18" width="33.5703125" customWidth="1"/>
    <col min="19" max="19" width="24" customWidth="1"/>
    <col min="20" max="20" width="18" customWidth="1"/>
    <col min="21" max="21" width="12" customWidth="1"/>
    <col min="22" max="22" width="22.85546875" customWidth="1"/>
    <col min="23" max="23" width="13.28515625" customWidth="1"/>
  </cols>
  <sheetData>
    <row r="2" spans="2:23" x14ac:dyDescent="0.25">
      <c r="C2" s="44" t="s">
        <v>113</v>
      </c>
    </row>
    <row r="5" spans="2:23" x14ac:dyDescent="0.25">
      <c r="B5" s="29" t="s">
        <v>114</v>
      </c>
      <c r="C5" s="30" t="s">
        <v>115</v>
      </c>
      <c r="D5" s="30" t="s">
        <v>116</v>
      </c>
      <c r="E5" s="30" t="s">
        <v>117</v>
      </c>
      <c r="F5" s="30" t="s">
        <v>118</v>
      </c>
      <c r="G5" s="30" t="s">
        <v>119</v>
      </c>
      <c r="H5" s="30" t="s">
        <v>120</v>
      </c>
      <c r="I5" s="30" t="s">
        <v>52</v>
      </c>
      <c r="J5" s="30" t="s">
        <v>121</v>
      </c>
      <c r="K5" s="30" t="s">
        <v>122</v>
      </c>
      <c r="L5" s="30" t="s">
        <v>39</v>
      </c>
      <c r="M5" s="30" t="s">
        <v>123</v>
      </c>
      <c r="N5" s="30" t="s">
        <v>124</v>
      </c>
      <c r="O5" s="30" t="s">
        <v>125</v>
      </c>
      <c r="P5" s="30" t="s">
        <v>126</v>
      </c>
      <c r="Q5" s="30" t="s">
        <v>127</v>
      </c>
      <c r="R5" s="30" t="s">
        <v>128</v>
      </c>
      <c r="S5" s="30" t="s">
        <v>129</v>
      </c>
      <c r="T5" s="30" t="s">
        <v>130</v>
      </c>
      <c r="U5" s="30" t="s">
        <v>131</v>
      </c>
      <c r="V5" s="30" t="s">
        <v>132</v>
      </c>
      <c r="W5" s="32" t="s">
        <v>133</v>
      </c>
    </row>
    <row r="6" spans="2:23" x14ac:dyDescent="0.25">
      <c r="B6" s="35">
        <v>46081.958333333328</v>
      </c>
      <c r="C6" s="36">
        <v>850</v>
      </c>
      <c r="D6" s="36">
        <v>0</v>
      </c>
      <c r="E6" s="36">
        <v>0</v>
      </c>
      <c r="F6" s="36">
        <v>0</v>
      </c>
      <c r="G6" s="36">
        <v>0</v>
      </c>
      <c r="H6" s="36">
        <v>0</v>
      </c>
      <c r="I6" s="36">
        <v>0</v>
      </c>
      <c r="J6" s="36">
        <v>0</v>
      </c>
      <c r="K6" s="36">
        <v>0</v>
      </c>
      <c r="L6" s="36">
        <v>50</v>
      </c>
      <c r="M6" s="36">
        <v>0</v>
      </c>
      <c r="N6" s="36">
        <v>0</v>
      </c>
      <c r="O6" s="36">
        <v>0</v>
      </c>
      <c r="P6" s="36">
        <v>0</v>
      </c>
      <c r="Q6" s="36">
        <v>0</v>
      </c>
      <c r="R6" s="36">
        <v>0</v>
      </c>
      <c r="S6" s="36">
        <v>0</v>
      </c>
      <c r="T6" s="36">
        <v>0</v>
      </c>
      <c r="U6" s="36">
        <v>0</v>
      </c>
      <c r="V6" s="36">
        <v>0</v>
      </c>
      <c r="W6" s="45">
        <v>0</v>
      </c>
    </row>
    <row r="7" spans="2:23" x14ac:dyDescent="0.25">
      <c r="B7" s="35">
        <v>46082.958333333328</v>
      </c>
      <c r="C7" s="36">
        <v>850</v>
      </c>
      <c r="D7" s="36">
        <v>0</v>
      </c>
      <c r="E7" s="36">
        <v>0</v>
      </c>
      <c r="F7" s="36">
        <v>0</v>
      </c>
      <c r="G7" s="36">
        <v>0</v>
      </c>
      <c r="H7" s="36">
        <v>0</v>
      </c>
      <c r="I7" s="36">
        <v>0</v>
      </c>
      <c r="J7" s="36">
        <v>0</v>
      </c>
      <c r="K7" s="36">
        <v>0</v>
      </c>
      <c r="L7" s="36">
        <v>0</v>
      </c>
      <c r="M7" s="36">
        <v>0</v>
      </c>
      <c r="N7" s="36">
        <v>0</v>
      </c>
      <c r="O7" s="36">
        <v>0</v>
      </c>
      <c r="P7" s="36">
        <v>0</v>
      </c>
      <c r="Q7" s="36">
        <v>0</v>
      </c>
      <c r="R7" s="36">
        <v>0</v>
      </c>
      <c r="S7" s="36">
        <v>0</v>
      </c>
      <c r="T7" s="36">
        <v>0</v>
      </c>
      <c r="U7" s="36">
        <v>0</v>
      </c>
      <c r="V7" s="36">
        <v>0</v>
      </c>
      <c r="W7" s="45">
        <v>0</v>
      </c>
    </row>
    <row r="8" spans="2:23" x14ac:dyDescent="0.25">
      <c r="B8" s="35">
        <v>46083.958333333328</v>
      </c>
      <c r="C8" s="36">
        <v>950</v>
      </c>
      <c r="D8" s="36">
        <v>0</v>
      </c>
      <c r="E8" s="36">
        <v>0</v>
      </c>
      <c r="F8" s="36">
        <v>0</v>
      </c>
      <c r="G8" s="36">
        <v>0</v>
      </c>
      <c r="H8" s="36">
        <v>0</v>
      </c>
      <c r="I8" s="36">
        <v>0</v>
      </c>
      <c r="J8" s="36">
        <v>0</v>
      </c>
      <c r="K8" s="36">
        <v>0</v>
      </c>
      <c r="L8" s="36">
        <v>0</v>
      </c>
      <c r="M8" s="36">
        <v>0</v>
      </c>
      <c r="N8" s="36">
        <v>0</v>
      </c>
      <c r="O8" s="36">
        <v>0</v>
      </c>
      <c r="P8" s="36">
        <v>0</v>
      </c>
      <c r="Q8" s="36">
        <v>0</v>
      </c>
      <c r="R8" s="36">
        <v>0</v>
      </c>
      <c r="S8" s="36">
        <v>0</v>
      </c>
      <c r="T8" s="36">
        <v>0</v>
      </c>
      <c r="U8" s="36">
        <v>0</v>
      </c>
      <c r="V8" s="36">
        <v>0</v>
      </c>
      <c r="W8" s="45">
        <v>0</v>
      </c>
    </row>
    <row r="9" spans="2:23" x14ac:dyDescent="0.25">
      <c r="B9" s="35">
        <v>46084.958333333328</v>
      </c>
      <c r="C9" s="36">
        <v>950</v>
      </c>
      <c r="D9" s="36">
        <v>0</v>
      </c>
      <c r="E9" s="36">
        <v>0</v>
      </c>
      <c r="F9" s="36">
        <v>0</v>
      </c>
      <c r="G9" s="36">
        <v>0</v>
      </c>
      <c r="H9" s="36">
        <v>0</v>
      </c>
      <c r="I9" s="36">
        <v>0</v>
      </c>
      <c r="J9" s="36">
        <v>0</v>
      </c>
      <c r="K9" s="36">
        <v>0</v>
      </c>
      <c r="L9" s="36">
        <v>0</v>
      </c>
      <c r="M9" s="36">
        <v>0</v>
      </c>
      <c r="N9" s="36">
        <v>0</v>
      </c>
      <c r="O9" s="36">
        <v>0</v>
      </c>
      <c r="P9" s="36">
        <v>0</v>
      </c>
      <c r="Q9" s="36">
        <v>0</v>
      </c>
      <c r="R9" s="36">
        <v>0</v>
      </c>
      <c r="S9" s="36">
        <v>0</v>
      </c>
      <c r="T9" s="36">
        <v>0</v>
      </c>
      <c r="U9" s="36">
        <v>0</v>
      </c>
      <c r="V9" s="36">
        <v>0</v>
      </c>
      <c r="W9" s="45">
        <v>0</v>
      </c>
    </row>
    <row r="10" spans="2:23" x14ac:dyDescent="0.25">
      <c r="B10" s="35">
        <v>46085.958333333328</v>
      </c>
      <c r="C10" s="36">
        <v>950</v>
      </c>
      <c r="D10" s="36">
        <v>0</v>
      </c>
      <c r="E10" s="36">
        <v>0</v>
      </c>
      <c r="F10" s="36">
        <v>0</v>
      </c>
      <c r="G10" s="36">
        <v>0</v>
      </c>
      <c r="H10" s="36">
        <v>0</v>
      </c>
      <c r="I10" s="36">
        <v>0</v>
      </c>
      <c r="J10" s="36">
        <v>0</v>
      </c>
      <c r="K10" s="36">
        <v>0</v>
      </c>
      <c r="L10" s="36">
        <v>0</v>
      </c>
      <c r="M10" s="36">
        <v>0</v>
      </c>
      <c r="N10" s="36">
        <v>0</v>
      </c>
      <c r="O10" s="36">
        <v>0</v>
      </c>
      <c r="P10" s="36">
        <v>0</v>
      </c>
      <c r="Q10" s="36">
        <v>0</v>
      </c>
      <c r="R10" s="36">
        <v>0</v>
      </c>
      <c r="S10" s="36">
        <v>0</v>
      </c>
      <c r="T10" s="36">
        <v>0</v>
      </c>
      <c r="U10" s="36">
        <v>0</v>
      </c>
      <c r="V10" s="36">
        <v>0</v>
      </c>
      <c r="W10" s="45">
        <v>0</v>
      </c>
    </row>
    <row r="11" spans="2:23" x14ac:dyDescent="0.25">
      <c r="B11" s="35">
        <v>46086.958333333328</v>
      </c>
      <c r="C11" s="36">
        <v>1025</v>
      </c>
      <c r="D11" s="36">
        <v>0</v>
      </c>
      <c r="E11" s="36">
        <v>0</v>
      </c>
      <c r="F11" s="36">
        <v>0</v>
      </c>
      <c r="G11" s="36">
        <v>0</v>
      </c>
      <c r="H11" s="36">
        <v>0</v>
      </c>
      <c r="I11" s="36">
        <v>0</v>
      </c>
      <c r="J11" s="36">
        <v>0</v>
      </c>
      <c r="K11" s="36">
        <v>0</v>
      </c>
      <c r="L11" s="36">
        <v>0</v>
      </c>
      <c r="M11" s="36">
        <v>0</v>
      </c>
      <c r="N11" s="36">
        <v>0</v>
      </c>
      <c r="O11" s="36">
        <v>0</v>
      </c>
      <c r="P11" s="36">
        <v>0</v>
      </c>
      <c r="Q11" s="36">
        <v>0</v>
      </c>
      <c r="R11" s="36">
        <v>0</v>
      </c>
      <c r="S11" s="36">
        <v>0</v>
      </c>
      <c r="T11" s="36">
        <v>0</v>
      </c>
      <c r="U11" s="36">
        <v>0</v>
      </c>
      <c r="V11" s="36">
        <v>0</v>
      </c>
      <c r="W11" s="45">
        <v>0</v>
      </c>
    </row>
    <row r="12" spans="2:23" x14ac:dyDescent="0.25">
      <c r="B12" s="35">
        <v>46087.958333333328</v>
      </c>
      <c r="C12" s="36">
        <v>1082</v>
      </c>
      <c r="D12" s="36">
        <v>0</v>
      </c>
      <c r="E12" s="36">
        <v>0</v>
      </c>
      <c r="F12" s="36">
        <v>0</v>
      </c>
      <c r="G12" s="36">
        <v>0</v>
      </c>
      <c r="H12" s="36">
        <v>0</v>
      </c>
      <c r="I12" s="36">
        <v>0</v>
      </c>
      <c r="J12" s="36">
        <v>0</v>
      </c>
      <c r="K12" s="36">
        <v>0</v>
      </c>
      <c r="L12" s="36">
        <v>0</v>
      </c>
      <c r="M12" s="36">
        <v>0</v>
      </c>
      <c r="N12" s="36">
        <v>0</v>
      </c>
      <c r="O12" s="36">
        <v>0</v>
      </c>
      <c r="P12" s="36">
        <v>0</v>
      </c>
      <c r="Q12" s="36">
        <v>0</v>
      </c>
      <c r="R12" s="36">
        <v>0</v>
      </c>
      <c r="S12" s="36">
        <v>0</v>
      </c>
      <c r="T12" s="36">
        <v>0</v>
      </c>
      <c r="U12" s="36">
        <v>0</v>
      </c>
      <c r="V12" s="36">
        <v>0</v>
      </c>
      <c r="W12" s="45">
        <v>0</v>
      </c>
    </row>
    <row r="13" spans="2:23" x14ac:dyDescent="0.25">
      <c r="B13" s="35">
        <v>46088.958333333328</v>
      </c>
      <c r="C13" s="36">
        <v>1082</v>
      </c>
      <c r="D13" s="36">
        <v>0</v>
      </c>
      <c r="E13" s="36">
        <v>0</v>
      </c>
      <c r="F13" s="36">
        <v>0</v>
      </c>
      <c r="G13" s="36">
        <v>0</v>
      </c>
      <c r="H13" s="36">
        <v>0</v>
      </c>
      <c r="I13" s="36">
        <v>0</v>
      </c>
      <c r="J13" s="36">
        <v>0</v>
      </c>
      <c r="K13" s="36">
        <v>0</v>
      </c>
      <c r="L13" s="36">
        <v>0</v>
      </c>
      <c r="M13" s="36">
        <v>0</v>
      </c>
      <c r="N13" s="36">
        <v>0</v>
      </c>
      <c r="O13" s="36">
        <v>0</v>
      </c>
      <c r="P13" s="36">
        <v>0</v>
      </c>
      <c r="Q13" s="36">
        <v>0</v>
      </c>
      <c r="R13" s="36">
        <v>0</v>
      </c>
      <c r="S13" s="36">
        <v>0</v>
      </c>
      <c r="T13" s="36">
        <v>0</v>
      </c>
      <c r="U13" s="36">
        <v>0</v>
      </c>
      <c r="V13" s="36">
        <v>0</v>
      </c>
      <c r="W13" s="45">
        <v>0</v>
      </c>
    </row>
    <row r="14" spans="2:23" x14ac:dyDescent="0.25">
      <c r="B14" s="35">
        <v>46089.958333333328</v>
      </c>
      <c r="C14" s="36">
        <v>1240</v>
      </c>
      <c r="D14" s="36">
        <v>0</v>
      </c>
      <c r="E14" s="36">
        <v>0</v>
      </c>
      <c r="F14" s="36">
        <v>0</v>
      </c>
      <c r="G14" s="36">
        <v>0</v>
      </c>
      <c r="H14" s="36">
        <v>0</v>
      </c>
      <c r="I14" s="36">
        <v>0</v>
      </c>
      <c r="J14" s="36">
        <v>0</v>
      </c>
      <c r="K14" s="36">
        <v>0</v>
      </c>
      <c r="L14" s="36">
        <v>0</v>
      </c>
      <c r="M14" s="36">
        <v>0</v>
      </c>
      <c r="N14" s="36">
        <v>0</v>
      </c>
      <c r="O14" s="36">
        <v>0</v>
      </c>
      <c r="P14" s="36">
        <v>0</v>
      </c>
      <c r="Q14" s="36">
        <v>0</v>
      </c>
      <c r="R14" s="36">
        <v>0</v>
      </c>
      <c r="S14" s="36">
        <v>0</v>
      </c>
      <c r="T14" s="36">
        <v>0</v>
      </c>
      <c r="U14" s="36">
        <v>0</v>
      </c>
      <c r="V14" s="36">
        <v>0</v>
      </c>
      <c r="W14" s="45">
        <v>0</v>
      </c>
    </row>
    <row r="15" spans="2:23" x14ac:dyDescent="0.25">
      <c r="B15" s="35">
        <v>46090.958333333328</v>
      </c>
      <c r="C15" s="36">
        <v>1300</v>
      </c>
      <c r="D15" s="36">
        <v>0</v>
      </c>
      <c r="E15" s="36">
        <v>0</v>
      </c>
      <c r="F15" s="36">
        <v>0</v>
      </c>
      <c r="G15" s="36">
        <v>0</v>
      </c>
      <c r="H15" s="36">
        <v>0</v>
      </c>
      <c r="I15" s="36">
        <v>0</v>
      </c>
      <c r="J15" s="36">
        <v>0</v>
      </c>
      <c r="K15" s="36">
        <v>0</v>
      </c>
      <c r="L15" s="36">
        <v>50</v>
      </c>
      <c r="M15" s="36">
        <v>0</v>
      </c>
      <c r="N15" s="36">
        <v>0</v>
      </c>
      <c r="O15" s="36">
        <v>0</v>
      </c>
      <c r="P15" s="36">
        <v>0</v>
      </c>
      <c r="Q15" s="36">
        <v>0</v>
      </c>
      <c r="R15" s="36">
        <v>0</v>
      </c>
      <c r="S15" s="36">
        <v>0</v>
      </c>
      <c r="T15" s="36">
        <v>0</v>
      </c>
      <c r="U15" s="36">
        <v>0</v>
      </c>
      <c r="V15" s="36">
        <v>0</v>
      </c>
      <c r="W15" s="45">
        <v>0</v>
      </c>
    </row>
    <row r="16" spans="2:23" x14ac:dyDescent="0.25">
      <c r="B16" s="35">
        <v>46091.958333333328</v>
      </c>
      <c r="C16" s="36">
        <v>1200</v>
      </c>
      <c r="D16" s="36">
        <v>0</v>
      </c>
      <c r="E16" s="36">
        <v>0</v>
      </c>
      <c r="F16" s="36">
        <v>0</v>
      </c>
      <c r="G16" s="36">
        <v>0</v>
      </c>
      <c r="H16" s="36">
        <v>0</v>
      </c>
      <c r="I16" s="36">
        <v>0</v>
      </c>
      <c r="J16" s="36">
        <v>0</v>
      </c>
      <c r="K16" s="36">
        <v>0</v>
      </c>
      <c r="L16" s="36">
        <v>0</v>
      </c>
      <c r="M16" s="36">
        <v>0</v>
      </c>
      <c r="N16" s="36">
        <v>0</v>
      </c>
      <c r="O16" s="36">
        <v>0</v>
      </c>
      <c r="P16" s="36">
        <v>0</v>
      </c>
      <c r="Q16" s="36">
        <v>0</v>
      </c>
      <c r="R16" s="36">
        <v>0</v>
      </c>
      <c r="S16" s="36">
        <v>0</v>
      </c>
      <c r="T16" s="36">
        <v>0</v>
      </c>
      <c r="U16" s="36">
        <v>0</v>
      </c>
      <c r="V16" s="36">
        <v>0</v>
      </c>
      <c r="W16" s="45">
        <v>0</v>
      </c>
    </row>
    <row r="17" spans="2:23" x14ac:dyDescent="0.25">
      <c r="B17" s="35">
        <v>46092.958333333328</v>
      </c>
      <c r="C17" s="36">
        <v>1200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45">
        <v>0</v>
      </c>
    </row>
    <row r="18" spans="2:23" x14ac:dyDescent="0.25">
      <c r="B18" s="35">
        <v>46093.958333333328</v>
      </c>
      <c r="C18" s="36">
        <v>1200</v>
      </c>
      <c r="D18" s="36">
        <v>0</v>
      </c>
      <c r="E18" s="36">
        <v>0</v>
      </c>
      <c r="F18" s="36">
        <v>0</v>
      </c>
      <c r="G18" s="36">
        <v>0</v>
      </c>
      <c r="H18" s="36">
        <v>0</v>
      </c>
      <c r="I18" s="36">
        <v>0</v>
      </c>
      <c r="J18" s="36">
        <v>0</v>
      </c>
      <c r="K18" s="36">
        <v>0</v>
      </c>
      <c r="L18" s="36">
        <v>0</v>
      </c>
      <c r="M18" s="36">
        <v>0</v>
      </c>
      <c r="N18" s="36">
        <v>0</v>
      </c>
      <c r="O18" s="36">
        <v>0</v>
      </c>
      <c r="P18" s="36">
        <v>0</v>
      </c>
      <c r="Q18" s="36">
        <v>0</v>
      </c>
      <c r="R18" s="36">
        <v>0</v>
      </c>
      <c r="S18" s="36">
        <v>0</v>
      </c>
      <c r="T18" s="36">
        <v>0</v>
      </c>
      <c r="U18" s="36">
        <v>0</v>
      </c>
      <c r="V18" s="36">
        <v>0</v>
      </c>
      <c r="W18" s="45">
        <v>0</v>
      </c>
    </row>
    <row r="19" spans="2:23" x14ac:dyDescent="0.25">
      <c r="B19" s="35">
        <v>46094.958333333328</v>
      </c>
      <c r="C19" s="36">
        <v>1200</v>
      </c>
      <c r="D19" s="36">
        <v>0</v>
      </c>
      <c r="E19" s="36">
        <v>0</v>
      </c>
      <c r="F19" s="36">
        <v>0</v>
      </c>
      <c r="G19" s="36">
        <v>0</v>
      </c>
      <c r="H19" s="36">
        <v>0</v>
      </c>
      <c r="I19" s="36">
        <v>0</v>
      </c>
      <c r="J19" s="36">
        <v>0</v>
      </c>
      <c r="K19" s="36">
        <v>0</v>
      </c>
      <c r="L19" s="36">
        <v>0</v>
      </c>
      <c r="M19" s="36">
        <v>0</v>
      </c>
      <c r="N19" s="36">
        <v>0</v>
      </c>
      <c r="O19" s="36">
        <v>0</v>
      </c>
      <c r="P19" s="36">
        <v>0</v>
      </c>
      <c r="Q19" s="36">
        <v>0</v>
      </c>
      <c r="R19" s="36">
        <v>0</v>
      </c>
      <c r="S19" s="36">
        <v>0</v>
      </c>
      <c r="T19" s="36">
        <v>0</v>
      </c>
      <c r="U19" s="36">
        <v>0</v>
      </c>
      <c r="V19" s="36">
        <v>0</v>
      </c>
      <c r="W19" s="45">
        <v>0</v>
      </c>
    </row>
    <row r="20" spans="2:23" x14ac:dyDescent="0.25">
      <c r="B20" s="35">
        <v>46095.958333333328</v>
      </c>
      <c r="C20" s="36">
        <v>1300</v>
      </c>
      <c r="D20" s="36">
        <v>0</v>
      </c>
      <c r="E20" s="36">
        <v>0</v>
      </c>
      <c r="F20" s="36">
        <v>0</v>
      </c>
      <c r="G20" s="36">
        <v>0</v>
      </c>
      <c r="H20" s="36">
        <v>0</v>
      </c>
      <c r="I20" s="36">
        <v>0</v>
      </c>
      <c r="J20" s="36">
        <v>0</v>
      </c>
      <c r="K20" s="36">
        <v>0</v>
      </c>
      <c r="L20" s="36">
        <v>0</v>
      </c>
      <c r="M20" s="36">
        <v>0</v>
      </c>
      <c r="N20" s="36">
        <v>0</v>
      </c>
      <c r="O20" s="36">
        <v>0</v>
      </c>
      <c r="P20" s="36">
        <v>0</v>
      </c>
      <c r="Q20" s="36">
        <v>0</v>
      </c>
      <c r="R20" s="36">
        <v>0</v>
      </c>
      <c r="S20" s="36">
        <v>0</v>
      </c>
      <c r="T20" s="36">
        <v>0</v>
      </c>
      <c r="U20" s="36">
        <v>0</v>
      </c>
      <c r="V20" s="36">
        <v>0</v>
      </c>
      <c r="W20" s="45">
        <v>0</v>
      </c>
    </row>
    <row r="21" spans="2:23" x14ac:dyDescent="0.25">
      <c r="B21" s="35">
        <v>46096.958333333328</v>
      </c>
      <c r="C21" s="36">
        <v>1300</v>
      </c>
      <c r="D21" s="36">
        <v>0</v>
      </c>
      <c r="E21" s="36">
        <v>0</v>
      </c>
      <c r="F21" s="36">
        <v>0</v>
      </c>
      <c r="G21" s="36">
        <v>0</v>
      </c>
      <c r="H21" s="36">
        <v>0</v>
      </c>
      <c r="I21" s="36">
        <v>0</v>
      </c>
      <c r="J21" s="36">
        <v>0</v>
      </c>
      <c r="K21" s="36">
        <v>0</v>
      </c>
      <c r="L21" s="36">
        <v>50</v>
      </c>
      <c r="M21" s="36">
        <v>0</v>
      </c>
      <c r="N21" s="36">
        <v>0</v>
      </c>
      <c r="O21" s="36">
        <v>0</v>
      </c>
      <c r="P21" s="36">
        <v>0</v>
      </c>
      <c r="Q21" s="36">
        <v>0</v>
      </c>
      <c r="R21" s="36">
        <v>0</v>
      </c>
      <c r="S21" s="36">
        <v>0</v>
      </c>
      <c r="T21" s="36">
        <v>0</v>
      </c>
      <c r="U21" s="36">
        <v>0</v>
      </c>
      <c r="V21" s="36">
        <v>0</v>
      </c>
      <c r="W21" s="45">
        <v>0</v>
      </c>
    </row>
    <row r="22" spans="2:23" x14ac:dyDescent="0.25">
      <c r="B22" s="35">
        <v>46097.958333333328</v>
      </c>
      <c r="C22" s="36">
        <v>1300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45">
        <v>0</v>
      </c>
    </row>
    <row r="23" spans="2:23" x14ac:dyDescent="0.25">
      <c r="B23" s="35">
        <v>46098.958333333328</v>
      </c>
      <c r="C23" s="36">
        <v>1300</v>
      </c>
      <c r="D23" s="36">
        <v>0</v>
      </c>
      <c r="E23" s="36">
        <v>0</v>
      </c>
      <c r="F23" s="36">
        <v>0</v>
      </c>
      <c r="G23" s="36">
        <v>0</v>
      </c>
      <c r="H23" s="36">
        <v>0</v>
      </c>
      <c r="I23" s="36">
        <v>0</v>
      </c>
      <c r="J23" s="36">
        <v>0</v>
      </c>
      <c r="K23" s="36">
        <v>0</v>
      </c>
      <c r="L23" s="36">
        <v>0</v>
      </c>
      <c r="M23" s="36">
        <v>0</v>
      </c>
      <c r="N23" s="36">
        <v>0</v>
      </c>
      <c r="O23" s="36">
        <v>0</v>
      </c>
      <c r="P23" s="36">
        <v>0</v>
      </c>
      <c r="Q23" s="36">
        <v>0</v>
      </c>
      <c r="R23" s="36">
        <v>0</v>
      </c>
      <c r="S23" s="36">
        <v>0</v>
      </c>
      <c r="T23" s="36">
        <v>0</v>
      </c>
      <c r="U23" s="36">
        <v>0</v>
      </c>
      <c r="V23" s="36">
        <v>0</v>
      </c>
      <c r="W23" s="45">
        <v>0</v>
      </c>
    </row>
    <row r="24" spans="2:23" x14ac:dyDescent="0.25">
      <c r="B24" s="41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40"/>
    </row>
    <row r="25" spans="2:23" x14ac:dyDescent="0.25">
      <c r="B25" s="41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40"/>
    </row>
    <row r="26" spans="2:23" x14ac:dyDescent="0.25">
      <c r="B26" s="41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40"/>
    </row>
    <row r="27" spans="2:23" x14ac:dyDescent="0.25">
      <c r="B27" s="41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40"/>
    </row>
    <row r="28" spans="2:23" x14ac:dyDescent="0.25">
      <c r="B28" s="41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40"/>
    </row>
    <row r="29" spans="2:23" x14ac:dyDescent="0.25">
      <c r="B29" s="41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40"/>
    </row>
    <row r="30" spans="2:23" x14ac:dyDescent="0.25">
      <c r="B30" s="41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40"/>
    </row>
    <row r="31" spans="2:23" x14ac:dyDescent="0.25">
      <c r="B31" s="41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40"/>
    </row>
    <row r="32" spans="2:23" x14ac:dyDescent="0.25">
      <c r="B32" s="41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40"/>
    </row>
    <row r="33" spans="2:23" x14ac:dyDescent="0.25">
      <c r="B33" s="41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40"/>
    </row>
    <row r="34" spans="2:23" x14ac:dyDescent="0.25">
      <c r="B34" s="41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40"/>
    </row>
    <row r="35" spans="2:23" x14ac:dyDescent="0.25">
      <c r="B35" s="41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40"/>
    </row>
    <row r="36" spans="2:23" x14ac:dyDescent="0.25">
      <c r="B36" s="41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40"/>
    </row>
    <row r="37" spans="2:23" x14ac:dyDescent="0.25">
      <c r="B37" s="42" t="s">
        <v>134</v>
      </c>
      <c r="C37" s="46" t="s">
        <v>12</v>
      </c>
      <c r="D37" s="43">
        <v>0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150</v>
      </c>
      <c r="M37" s="43">
        <v>0</v>
      </c>
      <c r="N37" s="43">
        <v>0</v>
      </c>
      <c r="O37" s="43">
        <v>0</v>
      </c>
      <c r="P37" s="43">
        <v>0</v>
      </c>
      <c r="Q37" s="43">
        <v>0</v>
      </c>
      <c r="R37" s="43">
        <v>0</v>
      </c>
      <c r="S37" s="43">
        <v>0</v>
      </c>
      <c r="T37" s="43">
        <v>0</v>
      </c>
      <c r="U37" s="43">
        <v>0</v>
      </c>
      <c r="V37" s="43">
        <v>0</v>
      </c>
      <c r="W37" s="47">
        <v>0</v>
      </c>
    </row>
  </sheetData>
  <pageMargins left="0.7" right="0.7" top="0.75" bottom="0.75" header="0.3" footer="0.3"/>
  <pageSetup paperSize="9" scale="4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X37"/>
  <sheetViews>
    <sheetView showGridLines="0" view="pageBreakPreview" zoomScale="87" zoomScaleNormal="100" workbookViewId="0">
      <pane ySplit="5" topLeftCell="A6" activePane="bottomLeft" state="frozen"/>
      <selection pane="bottomLeft"/>
    </sheetView>
  </sheetViews>
  <sheetFormatPr defaultRowHeight="15" x14ac:dyDescent="0.25"/>
  <cols>
    <col min="1" max="1" width="9.28515625" customWidth="1"/>
    <col min="2" max="2" width="14" customWidth="1"/>
    <col min="3" max="3" width="16.7109375" customWidth="1"/>
    <col min="4" max="4" width="19.140625" customWidth="1"/>
    <col min="5" max="6" width="12" customWidth="1"/>
    <col min="7" max="7" width="15.5703125" customWidth="1"/>
    <col min="8" max="11" width="12" customWidth="1"/>
    <col min="12" max="12" width="18" customWidth="1"/>
    <col min="13" max="13" width="13.140625" customWidth="1"/>
    <col min="14" max="14" width="22.85546875" customWidth="1"/>
    <col min="15" max="16" width="12" customWidth="1"/>
    <col min="17" max="17" width="13.140625" customWidth="1"/>
    <col min="18" max="18" width="12" customWidth="1"/>
    <col min="19" max="19" width="33.5703125" customWidth="1"/>
    <col min="20" max="20" width="24" customWidth="1"/>
    <col min="21" max="21" width="18" customWidth="1"/>
    <col min="22" max="22" width="12" customWidth="1"/>
    <col min="23" max="23" width="22.85546875" customWidth="1"/>
    <col min="24" max="24" width="13.28515625" customWidth="1"/>
  </cols>
  <sheetData>
    <row r="2" spans="2:24" x14ac:dyDescent="0.25">
      <c r="C2" s="44" t="s">
        <v>135</v>
      </c>
    </row>
    <row r="5" spans="2:24" ht="39.75" customHeight="1" x14ac:dyDescent="0.25">
      <c r="B5" s="29" t="s">
        <v>114</v>
      </c>
      <c r="C5" s="30" t="s">
        <v>115</v>
      </c>
      <c r="D5" s="30" t="s">
        <v>116</v>
      </c>
      <c r="E5" s="30" t="s">
        <v>117</v>
      </c>
      <c r="F5" s="30" t="s">
        <v>118</v>
      </c>
      <c r="G5" s="30" t="s">
        <v>119</v>
      </c>
      <c r="H5" s="30" t="s">
        <v>120</v>
      </c>
      <c r="I5" s="30" t="s">
        <v>52</v>
      </c>
      <c r="J5" s="30" t="s">
        <v>52</v>
      </c>
      <c r="K5" s="30" t="s">
        <v>121</v>
      </c>
      <c r="L5" s="30" t="s">
        <v>122</v>
      </c>
      <c r="M5" s="30" t="s">
        <v>39</v>
      </c>
      <c r="N5" s="30" t="s">
        <v>123</v>
      </c>
      <c r="O5" s="30" t="s">
        <v>124</v>
      </c>
      <c r="P5" s="30" t="s">
        <v>125</v>
      </c>
      <c r="Q5" s="30" t="s">
        <v>126</v>
      </c>
      <c r="R5" s="30" t="s">
        <v>127</v>
      </c>
      <c r="S5" s="30" t="s">
        <v>128</v>
      </c>
      <c r="T5" s="30" t="s">
        <v>129</v>
      </c>
      <c r="U5" s="30" t="s">
        <v>130</v>
      </c>
      <c r="V5" s="30" t="s">
        <v>131</v>
      </c>
      <c r="W5" s="30" t="s">
        <v>132</v>
      </c>
      <c r="X5" s="32" t="s">
        <v>133</v>
      </c>
    </row>
    <row r="6" spans="2:24" x14ac:dyDescent="0.25">
      <c r="B6" s="35">
        <v>46081.958333333328</v>
      </c>
      <c r="C6" s="36">
        <v>990</v>
      </c>
      <c r="D6" s="36">
        <v>0</v>
      </c>
      <c r="E6" s="36">
        <v>0</v>
      </c>
      <c r="F6" s="36">
        <v>0</v>
      </c>
      <c r="G6" s="36">
        <v>0</v>
      </c>
      <c r="H6" s="36">
        <v>0</v>
      </c>
      <c r="I6" s="36">
        <v>32</v>
      </c>
      <c r="J6" s="36">
        <v>0</v>
      </c>
      <c r="K6" s="36">
        <v>0</v>
      </c>
      <c r="L6" s="36">
        <v>0</v>
      </c>
      <c r="M6" s="36">
        <v>0</v>
      </c>
      <c r="N6" s="36">
        <v>0</v>
      </c>
      <c r="O6" s="36">
        <v>0</v>
      </c>
      <c r="P6" s="36">
        <v>0</v>
      </c>
      <c r="Q6" s="36">
        <v>0</v>
      </c>
      <c r="R6" s="36">
        <v>0</v>
      </c>
      <c r="S6" s="36">
        <v>0</v>
      </c>
      <c r="T6" s="36">
        <v>0</v>
      </c>
      <c r="U6" s="36">
        <v>0</v>
      </c>
      <c r="V6" s="36">
        <v>0</v>
      </c>
      <c r="W6" s="36">
        <v>0</v>
      </c>
      <c r="X6" s="45">
        <v>0</v>
      </c>
    </row>
    <row r="7" spans="2:24" x14ac:dyDescent="0.25">
      <c r="B7" s="35">
        <v>46082.958333333328</v>
      </c>
      <c r="C7" s="36">
        <v>990</v>
      </c>
      <c r="D7" s="36">
        <v>0</v>
      </c>
      <c r="E7" s="36">
        <v>0</v>
      </c>
      <c r="F7" s="36">
        <v>0</v>
      </c>
      <c r="G7" s="36">
        <v>0</v>
      </c>
      <c r="H7" s="36">
        <v>0</v>
      </c>
      <c r="I7" s="36">
        <v>32</v>
      </c>
      <c r="J7" s="36">
        <v>0</v>
      </c>
      <c r="K7" s="36">
        <v>0</v>
      </c>
      <c r="L7" s="36">
        <v>0</v>
      </c>
      <c r="M7" s="36">
        <v>0</v>
      </c>
      <c r="N7" s="36">
        <v>0</v>
      </c>
      <c r="O7" s="36">
        <v>0</v>
      </c>
      <c r="P7" s="36">
        <v>0</v>
      </c>
      <c r="Q7" s="36">
        <v>0</v>
      </c>
      <c r="R7" s="36">
        <v>0</v>
      </c>
      <c r="S7" s="36">
        <v>0</v>
      </c>
      <c r="T7" s="36">
        <v>0</v>
      </c>
      <c r="U7" s="36">
        <v>0</v>
      </c>
      <c r="V7" s="36">
        <v>0</v>
      </c>
      <c r="W7" s="36">
        <v>0</v>
      </c>
      <c r="X7" s="45">
        <v>0</v>
      </c>
    </row>
    <row r="8" spans="2:24" x14ac:dyDescent="0.25">
      <c r="B8" s="35">
        <v>46083.958333333328</v>
      </c>
      <c r="C8" s="36">
        <v>1050</v>
      </c>
      <c r="D8" s="36">
        <v>0</v>
      </c>
      <c r="E8" s="36">
        <v>0</v>
      </c>
      <c r="F8" s="36">
        <v>0</v>
      </c>
      <c r="G8" s="36">
        <v>0</v>
      </c>
      <c r="H8" s="36">
        <v>0</v>
      </c>
      <c r="I8" s="36">
        <v>33</v>
      </c>
      <c r="J8" s="36">
        <v>0</v>
      </c>
      <c r="K8" s="36">
        <v>0</v>
      </c>
      <c r="L8" s="36">
        <v>0</v>
      </c>
      <c r="M8" s="36">
        <v>0</v>
      </c>
      <c r="N8" s="36">
        <v>0</v>
      </c>
      <c r="O8" s="36">
        <v>0</v>
      </c>
      <c r="P8" s="36">
        <v>0</v>
      </c>
      <c r="Q8" s="36">
        <v>0</v>
      </c>
      <c r="R8" s="36">
        <v>0</v>
      </c>
      <c r="S8" s="36">
        <v>0</v>
      </c>
      <c r="T8" s="36">
        <v>0</v>
      </c>
      <c r="U8" s="36">
        <v>0</v>
      </c>
      <c r="V8" s="36">
        <v>0</v>
      </c>
      <c r="W8" s="36">
        <v>0</v>
      </c>
      <c r="X8" s="45">
        <v>0</v>
      </c>
    </row>
    <row r="9" spans="2:24" x14ac:dyDescent="0.25">
      <c r="B9" s="35">
        <v>46084.958333333328</v>
      </c>
      <c r="C9" s="36">
        <v>1050</v>
      </c>
      <c r="D9" s="36">
        <v>0</v>
      </c>
      <c r="E9" s="36">
        <v>0</v>
      </c>
      <c r="F9" s="36">
        <v>0</v>
      </c>
      <c r="G9" s="36">
        <v>0</v>
      </c>
      <c r="H9" s="36">
        <v>0</v>
      </c>
      <c r="I9" s="36">
        <v>32</v>
      </c>
      <c r="J9" s="36">
        <v>0</v>
      </c>
      <c r="K9" s="36">
        <v>0</v>
      </c>
      <c r="L9" s="36">
        <v>0</v>
      </c>
      <c r="M9" s="36">
        <v>0</v>
      </c>
      <c r="N9" s="36">
        <v>0</v>
      </c>
      <c r="O9" s="36">
        <v>0</v>
      </c>
      <c r="P9" s="36">
        <v>0</v>
      </c>
      <c r="Q9" s="36">
        <v>0</v>
      </c>
      <c r="R9" s="36">
        <v>0</v>
      </c>
      <c r="S9" s="36">
        <v>0</v>
      </c>
      <c r="T9" s="36">
        <v>0</v>
      </c>
      <c r="U9" s="36">
        <v>0</v>
      </c>
      <c r="V9" s="36">
        <v>0</v>
      </c>
      <c r="W9" s="36">
        <v>0</v>
      </c>
      <c r="X9" s="45">
        <v>0</v>
      </c>
    </row>
    <row r="10" spans="2:24" x14ac:dyDescent="0.25">
      <c r="B10" s="35">
        <v>46085.958333333328</v>
      </c>
      <c r="C10" s="36">
        <v>1180</v>
      </c>
      <c r="D10" s="36">
        <v>0</v>
      </c>
      <c r="E10" s="36">
        <v>0</v>
      </c>
      <c r="F10" s="36">
        <v>0</v>
      </c>
      <c r="G10" s="36">
        <v>0</v>
      </c>
      <c r="H10" s="36">
        <v>0</v>
      </c>
      <c r="I10" s="36">
        <v>32</v>
      </c>
      <c r="J10" s="36">
        <v>0</v>
      </c>
      <c r="K10" s="36">
        <v>0</v>
      </c>
      <c r="L10" s="36">
        <v>0</v>
      </c>
      <c r="M10" s="36">
        <v>0</v>
      </c>
      <c r="N10" s="36">
        <v>0</v>
      </c>
      <c r="O10" s="36">
        <v>0</v>
      </c>
      <c r="P10" s="36">
        <v>0</v>
      </c>
      <c r="Q10" s="36">
        <v>0</v>
      </c>
      <c r="R10" s="36">
        <v>0</v>
      </c>
      <c r="S10" s="36">
        <v>0</v>
      </c>
      <c r="T10" s="36">
        <v>0</v>
      </c>
      <c r="U10" s="36">
        <v>0</v>
      </c>
      <c r="V10" s="36">
        <v>0</v>
      </c>
      <c r="W10" s="36">
        <v>0</v>
      </c>
      <c r="X10" s="45">
        <v>0</v>
      </c>
    </row>
    <row r="11" spans="2:24" x14ac:dyDescent="0.25">
      <c r="B11" s="35">
        <v>46086.958333333328</v>
      </c>
      <c r="C11" s="36">
        <v>1450</v>
      </c>
      <c r="D11" s="36">
        <v>0</v>
      </c>
      <c r="E11" s="36">
        <v>0</v>
      </c>
      <c r="F11" s="36">
        <v>0</v>
      </c>
      <c r="G11" s="36">
        <v>0</v>
      </c>
      <c r="H11" s="36">
        <v>0</v>
      </c>
      <c r="I11" s="36">
        <v>32</v>
      </c>
      <c r="J11" s="36">
        <v>0</v>
      </c>
      <c r="K11" s="36">
        <v>0</v>
      </c>
      <c r="L11" s="36">
        <v>0</v>
      </c>
      <c r="M11" s="36">
        <v>0</v>
      </c>
      <c r="N11" s="36">
        <v>0</v>
      </c>
      <c r="O11" s="36">
        <v>0</v>
      </c>
      <c r="P11" s="36">
        <v>0</v>
      </c>
      <c r="Q11" s="36">
        <v>0</v>
      </c>
      <c r="R11" s="36">
        <v>0</v>
      </c>
      <c r="S11" s="36">
        <v>0</v>
      </c>
      <c r="T11" s="36">
        <v>0</v>
      </c>
      <c r="U11" s="36">
        <v>0</v>
      </c>
      <c r="V11" s="36">
        <v>0</v>
      </c>
      <c r="W11" s="36">
        <v>0</v>
      </c>
      <c r="X11" s="45">
        <v>0</v>
      </c>
    </row>
    <row r="12" spans="2:24" x14ac:dyDescent="0.25">
      <c r="B12" s="35">
        <v>46087.958333333328</v>
      </c>
      <c r="C12" s="36">
        <v>1450</v>
      </c>
      <c r="D12" s="36">
        <v>0</v>
      </c>
      <c r="E12" s="36">
        <v>0</v>
      </c>
      <c r="F12" s="36">
        <v>0</v>
      </c>
      <c r="G12" s="36">
        <v>0</v>
      </c>
      <c r="H12" s="36">
        <v>0</v>
      </c>
      <c r="I12" s="36">
        <v>40</v>
      </c>
      <c r="J12" s="36">
        <v>0</v>
      </c>
      <c r="K12" s="36">
        <v>0</v>
      </c>
      <c r="L12" s="36">
        <v>0</v>
      </c>
      <c r="M12" s="36">
        <v>0</v>
      </c>
      <c r="N12" s="36">
        <v>0</v>
      </c>
      <c r="O12" s="36">
        <v>0</v>
      </c>
      <c r="P12" s="36">
        <v>0</v>
      </c>
      <c r="Q12" s="36">
        <v>0</v>
      </c>
      <c r="R12" s="36">
        <v>0</v>
      </c>
      <c r="S12" s="36">
        <v>0</v>
      </c>
      <c r="T12" s="36">
        <v>0</v>
      </c>
      <c r="U12" s="36">
        <v>0</v>
      </c>
      <c r="V12" s="36">
        <v>0</v>
      </c>
      <c r="W12" s="36">
        <v>0</v>
      </c>
      <c r="X12" s="45">
        <v>0</v>
      </c>
    </row>
    <row r="13" spans="2:24" x14ac:dyDescent="0.25">
      <c r="B13" s="35">
        <v>46088.958333333328</v>
      </c>
      <c r="C13" s="36">
        <v>1450</v>
      </c>
      <c r="D13" s="36">
        <v>0</v>
      </c>
      <c r="E13" s="36">
        <v>0</v>
      </c>
      <c r="F13" s="36">
        <v>0</v>
      </c>
      <c r="G13" s="36">
        <v>0</v>
      </c>
      <c r="H13" s="36">
        <v>0</v>
      </c>
      <c r="I13" s="36">
        <v>32</v>
      </c>
      <c r="J13" s="36">
        <v>0</v>
      </c>
      <c r="K13" s="36">
        <v>0</v>
      </c>
      <c r="L13" s="36">
        <v>0</v>
      </c>
      <c r="M13" s="36">
        <v>0</v>
      </c>
      <c r="N13" s="36">
        <v>0</v>
      </c>
      <c r="O13" s="36">
        <v>0</v>
      </c>
      <c r="P13" s="36">
        <v>0</v>
      </c>
      <c r="Q13" s="36">
        <v>0</v>
      </c>
      <c r="R13" s="36">
        <v>0</v>
      </c>
      <c r="S13" s="36">
        <v>0</v>
      </c>
      <c r="T13" s="36">
        <v>0</v>
      </c>
      <c r="U13" s="36">
        <v>0</v>
      </c>
      <c r="V13" s="36">
        <v>0</v>
      </c>
      <c r="W13" s="36">
        <v>0</v>
      </c>
      <c r="X13" s="45">
        <v>0</v>
      </c>
    </row>
    <row r="14" spans="2:24" x14ac:dyDescent="0.25">
      <c r="B14" s="35">
        <v>46089.958333333328</v>
      </c>
      <c r="C14" s="36">
        <v>1770</v>
      </c>
      <c r="D14" s="36">
        <v>0</v>
      </c>
      <c r="E14" s="36">
        <v>0</v>
      </c>
      <c r="F14" s="36">
        <v>0</v>
      </c>
      <c r="G14" s="36">
        <v>0</v>
      </c>
      <c r="H14" s="36">
        <v>0</v>
      </c>
      <c r="I14" s="36">
        <v>32</v>
      </c>
      <c r="J14" s="36">
        <v>0</v>
      </c>
      <c r="K14" s="36">
        <v>0</v>
      </c>
      <c r="L14" s="36">
        <v>0</v>
      </c>
      <c r="M14" s="36">
        <v>0</v>
      </c>
      <c r="N14" s="36">
        <v>0</v>
      </c>
      <c r="O14" s="36">
        <v>0</v>
      </c>
      <c r="P14" s="36">
        <v>0</v>
      </c>
      <c r="Q14" s="36">
        <v>0</v>
      </c>
      <c r="R14" s="36">
        <v>0</v>
      </c>
      <c r="S14" s="36">
        <v>0</v>
      </c>
      <c r="T14" s="36">
        <v>0</v>
      </c>
      <c r="U14" s="36">
        <v>0</v>
      </c>
      <c r="V14" s="36">
        <v>0</v>
      </c>
      <c r="W14" s="36">
        <v>0</v>
      </c>
      <c r="X14" s="45">
        <v>0</v>
      </c>
    </row>
    <row r="15" spans="2:24" x14ac:dyDescent="0.25">
      <c r="B15" s="35">
        <v>46090.958333333328</v>
      </c>
      <c r="C15" s="36">
        <v>1770</v>
      </c>
      <c r="D15" s="36">
        <v>0</v>
      </c>
      <c r="E15" s="36">
        <v>0</v>
      </c>
      <c r="F15" s="36">
        <v>0</v>
      </c>
      <c r="G15" s="36">
        <v>0</v>
      </c>
      <c r="H15" s="36">
        <v>0</v>
      </c>
      <c r="I15" s="36">
        <v>42</v>
      </c>
      <c r="J15" s="36">
        <v>0</v>
      </c>
      <c r="K15" s="36">
        <v>0</v>
      </c>
      <c r="L15" s="36">
        <v>0</v>
      </c>
      <c r="M15" s="36">
        <v>0</v>
      </c>
      <c r="N15" s="36">
        <v>0</v>
      </c>
      <c r="O15" s="36">
        <v>0</v>
      </c>
      <c r="P15" s="36">
        <v>0</v>
      </c>
      <c r="Q15" s="36">
        <v>0</v>
      </c>
      <c r="R15" s="36">
        <v>0</v>
      </c>
      <c r="S15" s="36">
        <v>0</v>
      </c>
      <c r="T15" s="36">
        <v>0</v>
      </c>
      <c r="U15" s="36">
        <v>0</v>
      </c>
      <c r="V15" s="36">
        <v>0</v>
      </c>
      <c r="W15" s="36">
        <v>0</v>
      </c>
      <c r="X15" s="45">
        <v>0</v>
      </c>
    </row>
    <row r="16" spans="2:24" x14ac:dyDescent="0.25">
      <c r="B16" s="35">
        <v>46091.958333333328</v>
      </c>
      <c r="C16" s="36">
        <v>1770</v>
      </c>
      <c r="D16" s="36">
        <v>0</v>
      </c>
      <c r="E16" s="36">
        <v>0</v>
      </c>
      <c r="F16" s="36">
        <v>0</v>
      </c>
      <c r="G16" s="36">
        <v>0</v>
      </c>
      <c r="H16" s="36">
        <v>0</v>
      </c>
      <c r="I16" s="36">
        <v>32</v>
      </c>
      <c r="J16" s="36">
        <v>0</v>
      </c>
      <c r="K16" s="36">
        <v>0</v>
      </c>
      <c r="L16" s="36">
        <v>0</v>
      </c>
      <c r="M16" s="36">
        <v>0</v>
      </c>
      <c r="N16" s="36">
        <v>0</v>
      </c>
      <c r="O16" s="36">
        <v>0</v>
      </c>
      <c r="P16" s="36">
        <v>0</v>
      </c>
      <c r="Q16" s="36">
        <v>0</v>
      </c>
      <c r="R16" s="36">
        <v>0</v>
      </c>
      <c r="S16" s="36">
        <v>0</v>
      </c>
      <c r="T16" s="36">
        <v>0</v>
      </c>
      <c r="U16" s="36">
        <v>0</v>
      </c>
      <c r="V16" s="36">
        <v>0</v>
      </c>
      <c r="W16" s="36">
        <v>0</v>
      </c>
      <c r="X16" s="45">
        <v>0</v>
      </c>
    </row>
    <row r="17" spans="2:24" x14ac:dyDescent="0.25">
      <c r="B17" s="35">
        <v>46092.958333333328</v>
      </c>
      <c r="C17" s="36">
        <v>1770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32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X17" s="45">
        <v>0</v>
      </c>
    </row>
    <row r="18" spans="2:24" x14ac:dyDescent="0.25">
      <c r="B18" s="35">
        <v>46093.958333333328</v>
      </c>
      <c r="C18" s="36">
        <v>1700</v>
      </c>
      <c r="D18" s="36">
        <v>0</v>
      </c>
      <c r="E18" s="36">
        <v>0</v>
      </c>
      <c r="F18" s="36">
        <v>0</v>
      </c>
      <c r="G18" s="36">
        <v>0</v>
      </c>
      <c r="H18" s="36">
        <v>0</v>
      </c>
      <c r="I18" s="36">
        <v>32</v>
      </c>
      <c r="J18" s="36">
        <v>0</v>
      </c>
      <c r="K18" s="36">
        <v>0</v>
      </c>
      <c r="L18" s="36">
        <v>0</v>
      </c>
      <c r="M18" s="36">
        <v>0</v>
      </c>
      <c r="N18" s="36">
        <v>0</v>
      </c>
      <c r="O18" s="36">
        <v>0</v>
      </c>
      <c r="P18" s="36">
        <v>0</v>
      </c>
      <c r="Q18" s="36">
        <v>0</v>
      </c>
      <c r="R18" s="36">
        <v>0</v>
      </c>
      <c r="S18" s="36">
        <v>0</v>
      </c>
      <c r="T18" s="36">
        <v>0</v>
      </c>
      <c r="U18" s="36">
        <v>0</v>
      </c>
      <c r="V18" s="36">
        <v>0</v>
      </c>
      <c r="W18" s="36">
        <v>0</v>
      </c>
      <c r="X18" s="45">
        <v>0</v>
      </c>
    </row>
    <row r="19" spans="2:24" x14ac:dyDescent="0.25">
      <c r="B19" s="35">
        <v>46094.958333333328</v>
      </c>
      <c r="C19" s="36">
        <v>1700</v>
      </c>
      <c r="D19" s="36">
        <v>0</v>
      </c>
      <c r="E19" s="36">
        <v>0</v>
      </c>
      <c r="F19" s="36">
        <v>0</v>
      </c>
      <c r="G19" s="36">
        <v>0</v>
      </c>
      <c r="H19" s="36">
        <v>0</v>
      </c>
      <c r="I19" s="36">
        <v>32</v>
      </c>
      <c r="J19" s="36">
        <v>0</v>
      </c>
      <c r="K19" s="36">
        <v>0</v>
      </c>
      <c r="L19" s="36">
        <v>0</v>
      </c>
      <c r="M19" s="36">
        <v>0</v>
      </c>
      <c r="N19" s="36">
        <v>0</v>
      </c>
      <c r="O19" s="36">
        <v>0</v>
      </c>
      <c r="P19" s="36">
        <v>0</v>
      </c>
      <c r="Q19" s="36">
        <v>0</v>
      </c>
      <c r="R19" s="36">
        <v>0</v>
      </c>
      <c r="S19" s="36">
        <v>0</v>
      </c>
      <c r="T19" s="36">
        <v>0</v>
      </c>
      <c r="U19" s="36">
        <v>0</v>
      </c>
      <c r="V19" s="36">
        <v>0</v>
      </c>
      <c r="W19" s="36">
        <v>0</v>
      </c>
      <c r="X19" s="45">
        <v>0</v>
      </c>
    </row>
    <row r="20" spans="2:24" x14ac:dyDescent="0.25">
      <c r="B20" s="35">
        <v>46095.958333333328</v>
      </c>
      <c r="C20" s="36">
        <v>1700</v>
      </c>
      <c r="D20" s="36">
        <v>0</v>
      </c>
      <c r="E20" s="36">
        <v>0</v>
      </c>
      <c r="F20" s="36">
        <v>0</v>
      </c>
      <c r="G20" s="36">
        <v>0</v>
      </c>
      <c r="H20" s="36">
        <v>0</v>
      </c>
      <c r="I20" s="36">
        <v>32</v>
      </c>
      <c r="J20" s="36">
        <v>0</v>
      </c>
      <c r="K20" s="36">
        <v>0</v>
      </c>
      <c r="L20" s="36">
        <v>0</v>
      </c>
      <c r="M20" s="36">
        <v>0</v>
      </c>
      <c r="N20" s="36">
        <v>0</v>
      </c>
      <c r="O20" s="36">
        <v>0</v>
      </c>
      <c r="P20" s="36">
        <v>0</v>
      </c>
      <c r="Q20" s="36">
        <v>0</v>
      </c>
      <c r="R20" s="36">
        <v>0</v>
      </c>
      <c r="S20" s="36">
        <v>0</v>
      </c>
      <c r="T20" s="36">
        <v>0</v>
      </c>
      <c r="U20" s="36">
        <v>0</v>
      </c>
      <c r="V20" s="36">
        <v>0</v>
      </c>
      <c r="W20" s="36">
        <v>0</v>
      </c>
      <c r="X20" s="45">
        <v>0</v>
      </c>
    </row>
    <row r="21" spans="2:24" x14ac:dyDescent="0.25">
      <c r="B21" s="35">
        <v>46096.958333333328</v>
      </c>
      <c r="C21" s="36">
        <v>1670</v>
      </c>
      <c r="D21" s="36">
        <v>0</v>
      </c>
      <c r="E21" s="36">
        <v>0</v>
      </c>
      <c r="F21" s="36">
        <v>0</v>
      </c>
      <c r="G21" s="36">
        <v>0</v>
      </c>
      <c r="H21" s="36">
        <v>0</v>
      </c>
      <c r="I21" s="36">
        <v>0</v>
      </c>
      <c r="J21" s="36">
        <v>32</v>
      </c>
      <c r="K21" s="36">
        <v>0</v>
      </c>
      <c r="L21" s="36">
        <v>0</v>
      </c>
      <c r="M21" s="36">
        <v>0</v>
      </c>
      <c r="N21" s="36">
        <v>0</v>
      </c>
      <c r="O21" s="36">
        <v>0</v>
      </c>
      <c r="P21" s="36">
        <v>0</v>
      </c>
      <c r="Q21" s="36">
        <v>0</v>
      </c>
      <c r="R21" s="36">
        <v>0</v>
      </c>
      <c r="S21" s="36">
        <v>0</v>
      </c>
      <c r="T21" s="36">
        <v>0</v>
      </c>
      <c r="U21" s="36">
        <v>0</v>
      </c>
      <c r="V21" s="36">
        <v>0</v>
      </c>
      <c r="W21" s="36">
        <v>0</v>
      </c>
      <c r="X21" s="45">
        <v>0</v>
      </c>
    </row>
    <row r="22" spans="2:24" x14ac:dyDescent="0.25">
      <c r="B22" s="35">
        <v>46097.958333333328</v>
      </c>
      <c r="C22" s="36">
        <v>1670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X22" s="45">
        <v>0</v>
      </c>
    </row>
    <row r="23" spans="2:24" x14ac:dyDescent="0.25">
      <c r="B23" s="35">
        <v>46098.958333333328</v>
      </c>
      <c r="C23" s="36">
        <v>1670</v>
      </c>
      <c r="D23" s="36">
        <v>0</v>
      </c>
      <c r="E23" s="36">
        <v>0</v>
      </c>
      <c r="F23" s="36">
        <v>0</v>
      </c>
      <c r="G23" s="36">
        <v>0</v>
      </c>
      <c r="H23" s="36">
        <v>0</v>
      </c>
      <c r="I23" s="36">
        <v>0</v>
      </c>
      <c r="J23" s="36">
        <v>0</v>
      </c>
      <c r="K23" s="36">
        <v>0</v>
      </c>
      <c r="L23" s="36">
        <v>0</v>
      </c>
      <c r="M23" s="36">
        <v>0</v>
      </c>
      <c r="N23" s="36">
        <v>0</v>
      </c>
      <c r="O23" s="36">
        <v>0</v>
      </c>
      <c r="P23" s="36">
        <v>0</v>
      </c>
      <c r="Q23" s="36">
        <v>0</v>
      </c>
      <c r="R23" s="36">
        <v>0</v>
      </c>
      <c r="S23" s="36">
        <v>0</v>
      </c>
      <c r="T23" s="36">
        <v>0</v>
      </c>
      <c r="U23" s="36">
        <v>0</v>
      </c>
      <c r="V23" s="36">
        <v>0</v>
      </c>
      <c r="W23" s="36">
        <v>0</v>
      </c>
      <c r="X23" s="45">
        <v>0</v>
      </c>
    </row>
    <row r="24" spans="2:24" x14ac:dyDescent="0.25">
      <c r="B24" s="41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40"/>
    </row>
    <row r="25" spans="2:24" x14ac:dyDescent="0.25">
      <c r="B25" s="41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40"/>
    </row>
    <row r="26" spans="2:24" x14ac:dyDescent="0.25">
      <c r="B26" s="41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40"/>
    </row>
    <row r="27" spans="2:24" x14ac:dyDescent="0.25">
      <c r="B27" s="41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40"/>
    </row>
    <row r="28" spans="2:24" x14ac:dyDescent="0.25">
      <c r="B28" s="41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40"/>
    </row>
    <row r="29" spans="2:24" x14ac:dyDescent="0.25">
      <c r="B29" s="41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40"/>
    </row>
    <row r="30" spans="2:24" x14ac:dyDescent="0.25">
      <c r="B30" s="41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40"/>
    </row>
    <row r="31" spans="2:24" x14ac:dyDescent="0.25">
      <c r="B31" s="41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40"/>
    </row>
    <row r="32" spans="2:24" x14ac:dyDescent="0.25">
      <c r="B32" s="41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40"/>
    </row>
    <row r="33" spans="2:24" x14ac:dyDescent="0.25">
      <c r="B33" s="41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40"/>
    </row>
    <row r="34" spans="2:24" x14ac:dyDescent="0.25">
      <c r="B34" s="41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40"/>
    </row>
    <row r="35" spans="2:24" x14ac:dyDescent="0.25">
      <c r="B35" s="41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40"/>
    </row>
    <row r="36" spans="2:24" x14ac:dyDescent="0.25">
      <c r="B36" s="41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40"/>
    </row>
    <row r="37" spans="2:24" x14ac:dyDescent="0.25">
      <c r="B37" s="42" t="s">
        <v>134</v>
      </c>
      <c r="C37" s="46" t="s">
        <v>12</v>
      </c>
      <c r="D37" s="43">
        <v>0</v>
      </c>
      <c r="E37" s="43">
        <v>0</v>
      </c>
      <c r="F37" s="43">
        <v>0</v>
      </c>
      <c r="G37" s="43">
        <v>0</v>
      </c>
      <c r="H37" s="43">
        <v>0</v>
      </c>
      <c r="I37" s="43">
        <v>499</v>
      </c>
      <c r="J37" s="43">
        <v>32</v>
      </c>
      <c r="K37" s="43">
        <v>0</v>
      </c>
      <c r="L37" s="43">
        <v>0</v>
      </c>
      <c r="M37" s="43">
        <v>0</v>
      </c>
      <c r="N37" s="43">
        <v>0</v>
      </c>
      <c r="O37" s="43">
        <v>0</v>
      </c>
      <c r="P37" s="43">
        <v>0</v>
      </c>
      <c r="Q37" s="43">
        <v>0</v>
      </c>
      <c r="R37" s="43">
        <v>0</v>
      </c>
      <c r="S37" s="43">
        <v>0</v>
      </c>
      <c r="T37" s="43">
        <v>0</v>
      </c>
      <c r="U37" s="43">
        <v>0</v>
      </c>
      <c r="V37" s="43">
        <v>0</v>
      </c>
      <c r="W37" s="43">
        <v>0</v>
      </c>
      <c r="X37" s="47">
        <v>0</v>
      </c>
    </row>
  </sheetData>
  <pageMargins left="0.7" right="0.7" top="0.75" bottom="0.75" header="0.3" footer="0.3"/>
  <pageSetup paperSize="9" scale="5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W38"/>
  <sheetViews>
    <sheetView showGridLines="0" view="pageBreakPreview" zoomScaleNormal="100" workbookViewId="0">
      <pane ySplit="6" topLeftCell="A7" activePane="bottomLeft" state="frozen"/>
      <selection pane="bottomLeft"/>
    </sheetView>
  </sheetViews>
  <sheetFormatPr defaultRowHeight="15" x14ac:dyDescent="0.25"/>
  <cols>
    <col min="1" max="1" width="9.28515625" customWidth="1"/>
    <col min="2" max="2" width="14" customWidth="1"/>
    <col min="3" max="3" width="16.7109375" customWidth="1"/>
    <col min="4" max="4" width="19.140625" customWidth="1"/>
    <col min="5" max="6" width="12" customWidth="1"/>
    <col min="7" max="7" width="15.5703125" customWidth="1"/>
    <col min="8" max="10" width="12" customWidth="1"/>
    <col min="11" max="11" width="18" customWidth="1"/>
    <col min="12" max="12" width="13.140625" customWidth="1"/>
    <col min="13" max="13" width="22.85546875" customWidth="1"/>
    <col min="14" max="15" width="12" customWidth="1"/>
    <col min="16" max="16" width="13.140625" customWidth="1"/>
    <col min="17" max="17" width="12" customWidth="1"/>
    <col min="18" max="18" width="33.5703125" customWidth="1"/>
    <col min="19" max="19" width="24" customWidth="1"/>
    <col min="20" max="20" width="18" customWidth="1"/>
    <col min="21" max="21" width="12" customWidth="1"/>
    <col min="22" max="22" width="22.85546875" customWidth="1"/>
    <col min="23" max="23" width="13.28515625" customWidth="1"/>
  </cols>
  <sheetData>
    <row r="3" spans="2:23" x14ac:dyDescent="0.25">
      <c r="C3" s="44" t="s">
        <v>136</v>
      </c>
    </row>
    <row r="6" spans="2:23" x14ac:dyDescent="0.25">
      <c r="B6" s="29" t="s">
        <v>114</v>
      </c>
      <c r="C6" s="30" t="s">
        <v>115</v>
      </c>
      <c r="D6" s="30" t="s">
        <v>116</v>
      </c>
      <c r="E6" s="30" t="s">
        <v>117</v>
      </c>
      <c r="F6" s="30" t="s">
        <v>118</v>
      </c>
      <c r="G6" s="30" t="s">
        <v>119</v>
      </c>
      <c r="H6" s="30" t="s">
        <v>120</v>
      </c>
      <c r="I6" s="30" t="s">
        <v>52</v>
      </c>
      <c r="J6" s="30" t="s">
        <v>121</v>
      </c>
      <c r="K6" s="30" t="s">
        <v>122</v>
      </c>
      <c r="L6" s="30" t="s">
        <v>39</v>
      </c>
      <c r="M6" s="30" t="s">
        <v>123</v>
      </c>
      <c r="N6" s="30" t="s">
        <v>124</v>
      </c>
      <c r="O6" s="30" t="s">
        <v>125</v>
      </c>
      <c r="P6" s="30" t="s">
        <v>126</v>
      </c>
      <c r="Q6" s="30" t="s">
        <v>127</v>
      </c>
      <c r="R6" s="30" t="s">
        <v>128</v>
      </c>
      <c r="S6" s="30" t="s">
        <v>129</v>
      </c>
      <c r="T6" s="30" t="s">
        <v>130</v>
      </c>
      <c r="U6" s="30" t="s">
        <v>131</v>
      </c>
      <c r="V6" s="30" t="s">
        <v>132</v>
      </c>
      <c r="W6" s="32" t="s">
        <v>133</v>
      </c>
    </row>
    <row r="7" spans="2:23" x14ac:dyDescent="0.25">
      <c r="B7" s="35">
        <v>46081.958333333328</v>
      </c>
      <c r="C7" s="36">
        <v>1450</v>
      </c>
      <c r="D7" s="36">
        <v>0</v>
      </c>
      <c r="E7" s="36">
        <v>0</v>
      </c>
      <c r="F7" s="36">
        <v>0</v>
      </c>
      <c r="G7" s="36">
        <v>0</v>
      </c>
      <c r="H7" s="36">
        <v>0</v>
      </c>
      <c r="I7" s="36">
        <v>0</v>
      </c>
      <c r="J7" s="36">
        <v>0</v>
      </c>
      <c r="K7" s="36">
        <v>0</v>
      </c>
      <c r="L7" s="36">
        <v>0</v>
      </c>
      <c r="M7" s="36">
        <v>0</v>
      </c>
      <c r="N7" s="36">
        <v>0</v>
      </c>
      <c r="O7" s="36">
        <v>0</v>
      </c>
      <c r="P7" s="36">
        <v>0</v>
      </c>
      <c r="Q7" s="36">
        <v>0</v>
      </c>
      <c r="R7" s="36">
        <v>0</v>
      </c>
      <c r="S7" s="36">
        <v>0</v>
      </c>
      <c r="T7" s="36">
        <v>0</v>
      </c>
      <c r="U7" s="36">
        <v>0</v>
      </c>
      <c r="V7" s="36">
        <v>0</v>
      </c>
      <c r="W7" s="45">
        <v>0</v>
      </c>
    </row>
    <row r="8" spans="2:23" x14ac:dyDescent="0.25">
      <c r="B8" s="35">
        <v>46082.958333333328</v>
      </c>
      <c r="C8" s="36">
        <v>1450</v>
      </c>
      <c r="D8" s="36">
        <v>0</v>
      </c>
      <c r="E8" s="36">
        <v>0</v>
      </c>
      <c r="F8" s="36">
        <v>0</v>
      </c>
      <c r="G8" s="36">
        <v>0</v>
      </c>
      <c r="H8" s="36">
        <v>0</v>
      </c>
      <c r="I8" s="36">
        <v>0</v>
      </c>
      <c r="J8" s="36">
        <v>0</v>
      </c>
      <c r="K8" s="36">
        <v>0</v>
      </c>
      <c r="L8" s="36">
        <v>0</v>
      </c>
      <c r="M8" s="36">
        <v>0</v>
      </c>
      <c r="N8" s="36">
        <v>0</v>
      </c>
      <c r="O8" s="36">
        <v>0</v>
      </c>
      <c r="P8" s="36">
        <v>0</v>
      </c>
      <c r="Q8" s="36">
        <v>0</v>
      </c>
      <c r="R8" s="36">
        <v>0</v>
      </c>
      <c r="S8" s="36">
        <v>0</v>
      </c>
      <c r="T8" s="36">
        <v>0</v>
      </c>
      <c r="U8" s="36">
        <v>0</v>
      </c>
      <c r="V8" s="36">
        <v>0</v>
      </c>
      <c r="W8" s="45">
        <v>0</v>
      </c>
    </row>
    <row r="9" spans="2:23" x14ac:dyDescent="0.25">
      <c r="B9" s="35">
        <v>46083.958333333328</v>
      </c>
      <c r="C9" s="36">
        <v>1450</v>
      </c>
      <c r="D9" s="36">
        <v>0</v>
      </c>
      <c r="E9" s="36">
        <v>0</v>
      </c>
      <c r="F9" s="36">
        <v>0</v>
      </c>
      <c r="G9" s="36">
        <v>0</v>
      </c>
      <c r="H9" s="36">
        <v>0</v>
      </c>
      <c r="I9" s="36">
        <v>0</v>
      </c>
      <c r="J9" s="36">
        <v>0</v>
      </c>
      <c r="K9" s="36">
        <v>0</v>
      </c>
      <c r="L9" s="36">
        <v>0</v>
      </c>
      <c r="M9" s="36">
        <v>0</v>
      </c>
      <c r="N9" s="36">
        <v>0</v>
      </c>
      <c r="O9" s="36">
        <v>0</v>
      </c>
      <c r="P9" s="36">
        <v>0</v>
      </c>
      <c r="Q9" s="36">
        <v>0</v>
      </c>
      <c r="R9" s="36">
        <v>0</v>
      </c>
      <c r="S9" s="36">
        <v>0</v>
      </c>
      <c r="T9" s="36">
        <v>0</v>
      </c>
      <c r="U9" s="36">
        <v>0</v>
      </c>
      <c r="V9" s="36">
        <v>0</v>
      </c>
      <c r="W9" s="45">
        <v>0</v>
      </c>
    </row>
    <row r="10" spans="2:23" x14ac:dyDescent="0.25">
      <c r="B10" s="35">
        <v>46084.958333333328</v>
      </c>
      <c r="C10" s="36">
        <v>1450</v>
      </c>
      <c r="D10" s="36">
        <v>0</v>
      </c>
      <c r="E10" s="36">
        <v>0</v>
      </c>
      <c r="F10" s="36">
        <v>0</v>
      </c>
      <c r="G10" s="36">
        <v>0</v>
      </c>
      <c r="H10" s="36">
        <v>0</v>
      </c>
      <c r="I10" s="36">
        <v>0</v>
      </c>
      <c r="J10" s="36">
        <v>0</v>
      </c>
      <c r="K10" s="36">
        <v>0</v>
      </c>
      <c r="L10" s="36">
        <v>0</v>
      </c>
      <c r="M10" s="36">
        <v>0</v>
      </c>
      <c r="N10" s="36">
        <v>0</v>
      </c>
      <c r="O10" s="36">
        <v>0</v>
      </c>
      <c r="P10" s="36">
        <v>0</v>
      </c>
      <c r="Q10" s="36">
        <v>0</v>
      </c>
      <c r="R10" s="36">
        <v>0</v>
      </c>
      <c r="S10" s="36">
        <v>0</v>
      </c>
      <c r="T10" s="36">
        <v>0</v>
      </c>
      <c r="U10" s="36">
        <v>0</v>
      </c>
      <c r="V10" s="36">
        <v>0</v>
      </c>
      <c r="W10" s="45">
        <v>0</v>
      </c>
    </row>
    <row r="11" spans="2:23" x14ac:dyDescent="0.25">
      <c r="B11" s="35">
        <v>46085.958333333328</v>
      </c>
      <c r="C11" s="36">
        <v>1450</v>
      </c>
      <c r="D11" s="36">
        <v>0</v>
      </c>
      <c r="E11" s="36">
        <v>0</v>
      </c>
      <c r="F11" s="36">
        <v>0</v>
      </c>
      <c r="G11" s="36">
        <v>0</v>
      </c>
      <c r="H11" s="36">
        <v>0</v>
      </c>
      <c r="I11" s="36">
        <v>0</v>
      </c>
      <c r="J11" s="36">
        <v>0</v>
      </c>
      <c r="K11" s="36">
        <v>0</v>
      </c>
      <c r="L11" s="36">
        <v>0</v>
      </c>
      <c r="M11" s="36">
        <v>0</v>
      </c>
      <c r="N11" s="36">
        <v>0</v>
      </c>
      <c r="O11" s="36">
        <v>0</v>
      </c>
      <c r="P11" s="36">
        <v>0</v>
      </c>
      <c r="Q11" s="36">
        <v>0</v>
      </c>
      <c r="R11" s="36">
        <v>0</v>
      </c>
      <c r="S11" s="36">
        <v>0</v>
      </c>
      <c r="T11" s="36">
        <v>0</v>
      </c>
      <c r="U11" s="36">
        <v>0</v>
      </c>
      <c r="V11" s="36">
        <v>0</v>
      </c>
      <c r="W11" s="45">
        <v>0</v>
      </c>
    </row>
    <row r="12" spans="2:23" x14ac:dyDescent="0.25">
      <c r="B12" s="35">
        <v>46086.958333333328</v>
      </c>
      <c r="C12" s="36">
        <v>1450</v>
      </c>
      <c r="D12" s="36">
        <v>0</v>
      </c>
      <c r="E12" s="36">
        <v>0</v>
      </c>
      <c r="F12" s="36">
        <v>0</v>
      </c>
      <c r="G12" s="36">
        <v>0</v>
      </c>
      <c r="H12" s="36">
        <v>0</v>
      </c>
      <c r="I12" s="36">
        <v>0</v>
      </c>
      <c r="J12" s="36">
        <v>0</v>
      </c>
      <c r="K12" s="36">
        <v>0</v>
      </c>
      <c r="L12" s="36">
        <v>0</v>
      </c>
      <c r="M12" s="36">
        <v>0</v>
      </c>
      <c r="N12" s="36">
        <v>0</v>
      </c>
      <c r="O12" s="36">
        <v>0</v>
      </c>
      <c r="P12" s="36">
        <v>0</v>
      </c>
      <c r="Q12" s="36">
        <v>0</v>
      </c>
      <c r="R12" s="36">
        <v>0</v>
      </c>
      <c r="S12" s="36">
        <v>0</v>
      </c>
      <c r="T12" s="36">
        <v>0</v>
      </c>
      <c r="U12" s="36">
        <v>0</v>
      </c>
      <c r="V12" s="36">
        <v>0</v>
      </c>
      <c r="W12" s="45">
        <v>0</v>
      </c>
    </row>
    <row r="13" spans="2:23" x14ac:dyDescent="0.25">
      <c r="B13" s="35">
        <v>46087.958333333328</v>
      </c>
      <c r="C13" s="36">
        <v>1450</v>
      </c>
      <c r="D13" s="36">
        <v>0</v>
      </c>
      <c r="E13" s="36">
        <v>0</v>
      </c>
      <c r="F13" s="36">
        <v>0</v>
      </c>
      <c r="G13" s="36">
        <v>0</v>
      </c>
      <c r="H13" s="36">
        <v>0</v>
      </c>
      <c r="I13" s="36">
        <v>0</v>
      </c>
      <c r="J13" s="36">
        <v>0</v>
      </c>
      <c r="K13" s="36">
        <v>0</v>
      </c>
      <c r="L13" s="36">
        <v>0</v>
      </c>
      <c r="M13" s="36">
        <v>0</v>
      </c>
      <c r="N13" s="36">
        <v>0</v>
      </c>
      <c r="O13" s="36">
        <v>0</v>
      </c>
      <c r="P13" s="36">
        <v>0</v>
      </c>
      <c r="Q13" s="36">
        <v>0</v>
      </c>
      <c r="R13" s="36">
        <v>0</v>
      </c>
      <c r="S13" s="36">
        <v>0</v>
      </c>
      <c r="T13" s="36">
        <v>0</v>
      </c>
      <c r="U13" s="36">
        <v>0</v>
      </c>
      <c r="V13" s="36">
        <v>0</v>
      </c>
      <c r="W13" s="45">
        <v>0</v>
      </c>
    </row>
    <row r="14" spans="2:23" x14ac:dyDescent="0.25">
      <c r="B14" s="35">
        <v>46088.958333333328</v>
      </c>
      <c r="C14" s="36">
        <v>1450</v>
      </c>
      <c r="D14" s="36">
        <v>0</v>
      </c>
      <c r="E14" s="36">
        <v>0</v>
      </c>
      <c r="F14" s="36">
        <v>0</v>
      </c>
      <c r="G14" s="36">
        <v>0</v>
      </c>
      <c r="H14" s="36">
        <v>0</v>
      </c>
      <c r="I14" s="36">
        <v>0</v>
      </c>
      <c r="J14" s="36">
        <v>0</v>
      </c>
      <c r="K14" s="36">
        <v>0</v>
      </c>
      <c r="L14" s="36">
        <v>0</v>
      </c>
      <c r="M14" s="36">
        <v>0</v>
      </c>
      <c r="N14" s="36">
        <v>0</v>
      </c>
      <c r="O14" s="36">
        <v>0</v>
      </c>
      <c r="P14" s="36">
        <v>0</v>
      </c>
      <c r="Q14" s="36">
        <v>0</v>
      </c>
      <c r="R14" s="36">
        <v>0</v>
      </c>
      <c r="S14" s="36">
        <v>0</v>
      </c>
      <c r="T14" s="36">
        <v>0</v>
      </c>
      <c r="U14" s="36">
        <v>0</v>
      </c>
      <c r="V14" s="36">
        <v>0</v>
      </c>
      <c r="W14" s="45">
        <v>0</v>
      </c>
    </row>
    <row r="15" spans="2:23" x14ac:dyDescent="0.25">
      <c r="B15" s="35">
        <v>46089.958333333328</v>
      </c>
      <c r="C15" s="36">
        <v>1450</v>
      </c>
      <c r="D15" s="36">
        <v>0</v>
      </c>
      <c r="E15" s="36">
        <v>0</v>
      </c>
      <c r="F15" s="36">
        <v>0</v>
      </c>
      <c r="G15" s="36">
        <v>0</v>
      </c>
      <c r="H15" s="36">
        <v>0</v>
      </c>
      <c r="I15" s="36">
        <v>0</v>
      </c>
      <c r="J15" s="36">
        <v>0</v>
      </c>
      <c r="K15" s="36">
        <v>0</v>
      </c>
      <c r="L15" s="36">
        <v>0</v>
      </c>
      <c r="M15" s="36">
        <v>0</v>
      </c>
      <c r="N15" s="36">
        <v>0</v>
      </c>
      <c r="O15" s="36">
        <v>0</v>
      </c>
      <c r="P15" s="36">
        <v>0</v>
      </c>
      <c r="Q15" s="36">
        <v>0</v>
      </c>
      <c r="R15" s="36">
        <v>0</v>
      </c>
      <c r="S15" s="36">
        <v>0</v>
      </c>
      <c r="T15" s="36">
        <v>0</v>
      </c>
      <c r="U15" s="36">
        <v>0</v>
      </c>
      <c r="V15" s="36">
        <v>0</v>
      </c>
      <c r="W15" s="45">
        <v>0</v>
      </c>
    </row>
    <row r="16" spans="2:23" x14ac:dyDescent="0.25">
      <c r="B16" s="35">
        <v>46090.958333333328</v>
      </c>
      <c r="C16" s="36">
        <v>1450</v>
      </c>
      <c r="D16" s="36">
        <v>0</v>
      </c>
      <c r="E16" s="36">
        <v>0</v>
      </c>
      <c r="F16" s="36">
        <v>0</v>
      </c>
      <c r="G16" s="36">
        <v>0</v>
      </c>
      <c r="H16" s="36">
        <v>0</v>
      </c>
      <c r="I16" s="36">
        <v>0</v>
      </c>
      <c r="J16" s="36">
        <v>0</v>
      </c>
      <c r="K16" s="36">
        <v>0</v>
      </c>
      <c r="L16" s="36">
        <v>0</v>
      </c>
      <c r="M16" s="36">
        <v>0</v>
      </c>
      <c r="N16" s="36">
        <v>0</v>
      </c>
      <c r="O16" s="36">
        <v>0</v>
      </c>
      <c r="P16" s="36">
        <v>0</v>
      </c>
      <c r="Q16" s="36">
        <v>0</v>
      </c>
      <c r="R16" s="36">
        <v>0</v>
      </c>
      <c r="S16" s="36">
        <v>0</v>
      </c>
      <c r="T16" s="36">
        <v>0</v>
      </c>
      <c r="U16" s="36">
        <v>0</v>
      </c>
      <c r="V16" s="36">
        <v>0</v>
      </c>
      <c r="W16" s="45">
        <v>0</v>
      </c>
    </row>
    <row r="17" spans="2:23" x14ac:dyDescent="0.25">
      <c r="B17" s="35">
        <v>46091.958333333328</v>
      </c>
      <c r="C17" s="36">
        <v>1450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45">
        <v>0</v>
      </c>
    </row>
    <row r="18" spans="2:23" x14ac:dyDescent="0.25">
      <c r="B18" s="35">
        <v>46092.958333333328</v>
      </c>
      <c r="C18" s="36">
        <v>1450</v>
      </c>
      <c r="D18" s="36">
        <v>0</v>
      </c>
      <c r="E18" s="36">
        <v>0</v>
      </c>
      <c r="F18" s="36">
        <v>0</v>
      </c>
      <c r="G18" s="36">
        <v>0</v>
      </c>
      <c r="H18" s="36">
        <v>0</v>
      </c>
      <c r="I18" s="36">
        <v>0</v>
      </c>
      <c r="J18" s="36">
        <v>0</v>
      </c>
      <c r="K18" s="36">
        <v>0</v>
      </c>
      <c r="L18" s="36">
        <v>0</v>
      </c>
      <c r="M18" s="36">
        <v>0</v>
      </c>
      <c r="N18" s="36">
        <v>0</v>
      </c>
      <c r="O18" s="36">
        <v>0</v>
      </c>
      <c r="P18" s="36">
        <v>0</v>
      </c>
      <c r="Q18" s="36">
        <v>0</v>
      </c>
      <c r="R18" s="36">
        <v>0</v>
      </c>
      <c r="S18" s="36">
        <v>0</v>
      </c>
      <c r="T18" s="36">
        <v>0</v>
      </c>
      <c r="U18" s="36">
        <v>0</v>
      </c>
      <c r="V18" s="36">
        <v>0</v>
      </c>
      <c r="W18" s="45">
        <v>0</v>
      </c>
    </row>
    <row r="19" spans="2:23" x14ac:dyDescent="0.25">
      <c r="B19" s="35">
        <v>46093.958333333328</v>
      </c>
      <c r="C19" s="36">
        <v>1450</v>
      </c>
      <c r="D19" s="36">
        <v>0</v>
      </c>
      <c r="E19" s="36">
        <v>0</v>
      </c>
      <c r="F19" s="36">
        <v>0</v>
      </c>
      <c r="G19" s="36">
        <v>0</v>
      </c>
      <c r="H19" s="36">
        <v>0</v>
      </c>
      <c r="I19" s="36">
        <v>0</v>
      </c>
      <c r="J19" s="36">
        <v>0</v>
      </c>
      <c r="K19" s="36">
        <v>0</v>
      </c>
      <c r="L19" s="36">
        <v>0</v>
      </c>
      <c r="M19" s="36">
        <v>0</v>
      </c>
      <c r="N19" s="36">
        <v>0</v>
      </c>
      <c r="O19" s="36">
        <v>0</v>
      </c>
      <c r="P19" s="36">
        <v>0</v>
      </c>
      <c r="Q19" s="36">
        <v>0</v>
      </c>
      <c r="R19" s="36">
        <v>0</v>
      </c>
      <c r="S19" s="36">
        <v>0</v>
      </c>
      <c r="T19" s="36">
        <v>0</v>
      </c>
      <c r="U19" s="36">
        <v>0</v>
      </c>
      <c r="V19" s="36">
        <v>0</v>
      </c>
      <c r="W19" s="45">
        <v>0</v>
      </c>
    </row>
    <row r="20" spans="2:23" x14ac:dyDescent="0.25">
      <c r="B20" s="35">
        <v>46094.958333333328</v>
      </c>
      <c r="C20" s="36">
        <v>1450</v>
      </c>
      <c r="D20" s="36">
        <v>0</v>
      </c>
      <c r="E20" s="36">
        <v>0</v>
      </c>
      <c r="F20" s="36">
        <v>0</v>
      </c>
      <c r="G20" s="36">
        <v>0</v>
      </c>
      <c r="H20" s="36">
        <v>0</v>
      </c>
      <c r="I20" s="36">
        <v>0</v>
      </c>
      <c r="J20" s="36">
        <v>0</v>
      </c>
      <c r="K20" s="36">
        <v>0</v>
      </c>
      <c r="L20" s="36">
        <v>0</v>
      </c>
      <c r="M20" s="36">
        <v>0</v>
      </c>
      <c r="N20" s="36">
        <v>0</v>
      </c>
      <c r="O20" s="36">
        <v>0</v>
      </c>
      <c r="P20" s="36">
        <v>0</v>
      </c>
      <c r="Q20" s="36">
        <v>0</v>
      </c>
      <c r="R20" s="36">
        <v>0</v>
      </c>
      <c r="S20" s="36">
        <v>0</v>
      </c>
      <c r="T20" s="36">
        <v>0</v>
      </c>
      <c r="U20" s="36">
        <v>0</v>
      </c>
      <c r="V20" s="36">
        <v>0</v>
      </c>
      <c r="W20" s="45">
        <v>0</v>
      </c>
    </row>
    <row r="21" spans="2:23" x14ac:dyDescent="0.25">
      <c r="B21" s="35">
        <v>46095.958333333328</v>
      </c>
      <c r="C21" s="36">
        <v>1450</v>
      </c>
      <c r="D21" s="36">
        <v>0</v>
      </c>
      <c r="E21" s="36">
        <v>0</v>
      </c>
      <c r="F21" s="36">
        <v>0</v>
      </c>
      <c r="G21" s="36">
        <v>0</v>
      </c>
      <c r="H21" s="36">
        <v>0</v>
      </c>
      <c r="I21" s="36">
        <v>0</v>
      </c>
      <c r="J21" s="36">
        <v>0</v>
      </c>
      <c r="K21" s="36">
        <v>0</v>
      </c>
      <c r="L21" s="36">
        <v>0</v>
      </c>
      <c r="M21" s="36">
        <v>0</v>
      </c>
      <c r="N21" s="36">
        <v>0</v>
      </c>
      <c r="O21" s="36">
        <v>0</v>
      </c>
      <c r="P21" s="36">
        <v>0</v>
      </c>
      <c r="Q21" s="36">
        <v>0</v>
      </c>
      <c r="R21" s="36">
        <v>0</v>
      </c>
      <c r="S21" s="36">
        <v>0</v>
      </c>
      <c r="T21" s="36">
        <v>0</v>
      </c>
      <c r="U21" s="36">
        <v>0</v>
      </c>
      <c r="V21" s="36">
        <v>0</v>
      </c>
      <c r="W21" s="45">
        <v>0</v>
      </c>
    </row>
    <row r="22" spans="2:23" x14ac:dyDescent="0.25">
      <c r="B22" s="35">
        <v>46096.958333333328</v>
      </c>
      <c r="C22" s="36">
        <v>1450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45">
        <v>0</v>
      </c>
    </row>
    <row r="23" spans="2:23" x14ac:dyDescent="0.25">
      <c r="B23" s="35">
        <v>46097.958333333328</v>
      </c>
      <c r="C23" s="36">
        <v>1450</v>
      </c>
      <c r="D23" s="36">
        <v>0</v>
      </c>
      <c r="E23" s="36">
        <v>0</v>
      </c>
      <c r="F23" s="36">
        <v>0</v>
      </c>
      <c r="G23" s="36">
        <v>0</v>
      </c>
      <c r="H23" s="36">
        <v>0</v>
      </c>
      <c r="I23" s="36">
        <v>0</v>
      </c>
      <c r="J23" s="36">
        <v>0</v>
      </c>
      <c r="K23" s="36">
        <v>0</v>
      </c>
      <c r="L23" s="36">
        <v>0</v>
      </c>
      <c r="M23" s="36">
        <v>0</v>
      </c>
      <c r="N23" s="36">
        <v>0</v>
      </c>
      <c r="O23" s="36">
        <v>0</v>
      </c>
      <c r="P23" s="36">
        <v>0</v>
      </c>
      <c r="Q23" s="36">
        <v>0</v>
      </c>
      <c r="R23" s="36">
        <v>0</v>
      </c>
      <c r="S23" s="36">
        <v>0</v>
      </c>
      <c r="T23" s="36">
        <v>0</v>
      </c>
      <c r="U23" s="36">
        <v>0</v>
      </c>
      <c r="V23" s="36">
        <v>0</v>
      </c>
      <c r="W23" s="45">
        <v>0</v>
      </c>
    </row>
    <row r="24" spans="2:23" x14ac:dyDescent="0.25">
      <c r="B24" s="35">
        <v>46098.958333333328</v>
      </c>
      <c r="C24" s="36">
        <v>1450</v>
      </c>
      <c r="D24" s="36">
        <v>0</v>
      </c>
      <c r="E24" s="36">
        <v>0</v>
      </c>
      <c r="F24" s="36">
        <v>0</v>
      </c>
      <c r="G24" s="36">
        <v>0</v>
      </c>
      <c r="H24" s="36">
        <v>0</v>
      </c>
      <c r="I24" s="36">
        <v>0</v>
      </c>
      <c r="J24" s="36">
        <v>0</v>
      </c>
      <c r="K24" s="36">
        <v>0</v>
      </c>
      <c r="L24" s="36">
        <v>0</v>
      </c>
      <c r="M24" s="36">
        <v>0</v>
      </c>
      <c r="N24" s="36">
        <v>0</v>
      </c>
      <c r="O24" s="36">
        <v>0</v>
      </c>
      <c r="P24" s="36">
        <v>0</v>
      </c>
      <c r="Q24" s="36">
        <v>0</v>
      </c>
      <c r="R24" s="36">
        <v>0</v>
      </c>
      <c r="S24" s="36">
        <v>0</v>
      </c>
      <c r="T24" s="36">
        <v>0</v>
      </c>
      <c r="U24" s="36">
        <v>0</v>
      </c>
      <c r="V24" s="36">
        <v>0</v>
      </c>
      <c r="W24" s="45">
        <v>0</v>
      </c>
    </row>
    <row r="25" spans="2:23" x14ac:dyDescent="0.25">
      <c r="B25" s="41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40"/>
    </row>
    <row r="26" spans="2:23" x14ac:dyDescent="0.25">
      <c r="B26" s="41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40"/>
    </row>
    <row r="27" spans="2:23" x14ac:dyDescent="0.25">
      <c r="B27" s="41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40"/>
    </row>
    <row r="28" spans="2:23" x14ac:dyDescent="0.25">
      <c r="B28" s="41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40"/>
    </row>
    <row r="29" spans="2:23" x14ac:dyDescent="0.25">
      <c r="B29" s="41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40"/>
    </row>
    <row r="30" spans="2:23" x14ac:dyDescent="0.25">
      <c r="B30" s="41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40"/>
    </row>
    <row r="31" spans="2:23" x14ac:dyDescent="0.25">
      <c r="B31" s="41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40"/>
    </row>
    <row r="32" spans="2:23" x14ac:dyDescent="0.25">
      <c r="B32" s="41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40"/>
    </row>
    <row r="33" spans="2:23" x14ac:dyDescent="0.25">
      <c r="B33" s="41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40"/>
    </row>
    <row r="34" spans="2:23" x14ac:dyDescent="0.25">
      <c r="B34" s="41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40"/>
    </row>
    <row r="35" spans="2:23" x14ac:dyDescent="0.25">
      <c r="B35" s="41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40"/>
    </row>
    <row r="36" spans="2:23" x14ac:dyDescent="0.25">
      <c r="B36" s="41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40"/>
    </row>
    <row r="37" spans="2:23" x14ac:dyDescent="0.25">
      <c r="B37" s="41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40"/>
    </row>
    <row r="38" spans="2:23" x14ac:dyDescent="0.25">
      <c r="B38" s="42" t="s">
        <v>134</v>
      </c>
      <c r="C38" s="46" t="s">
        <v>12</v>
      </c>
      <c r="D38" s="43">
        <v>0</v>
      </c>
      <c r="E38" s="43">
        <v>0</v>
      </c>
      <c r="F38" s="43">
        <v>0</v>
      </c>
      <c r="G38" s="43">
        <v>0</v>
      </c>
      <c r="H38" s="43">
        <v>0</v>
      </c>
      <c r="I38" s="43">
        <v>0</v>
      </c>
      <c r="J38" s="43">
        <v>0</v>
      </c>
      <c r="K38" s="43">
        <v>0</v>
      </c>
      <c r="L38" s="43">
        <v>0</v>
      </c>
      <c r="M38" s="43">
        <v>0</v>
      </c>
      <c r="N38" s="43">
        <v>0</v>
      </c>
      <c r="O38" s="43">
        <v>0</v>
      </c>
      <c r="P38" s="43">
        <v>0</v>
      </c>
      <c r="Q38" s="43">
        <v>0</v>
      </c>
      <c r="R38" s="43">
        <v>0</v>
      </c>
      <c r="S38" s="43">
        <v>0</v>
      </c>
      <c r="T38" s="43">
        <v>0</v>
      </c>
      <c r="U38" s="43">
        <v>0</v>
      </c>
      <c r="V38" s="43">
        <v>0</v>
      </c>
      <c r="W38" s="47">
        <v>0</v>
      </c>
    </row>
  </sheetData>
  <pageMargins left="0.7" right="0.7" top="0.75" bottom="0.75" header="0.3" footer="0.3"/>
  <pageSetup paperSize="9" scale="61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P52"/>
  <sheetViews>
    <sheetView showGridLines="0" view="pageBreakPreview" zoomScaleNormal="100" workbookViewId="0">
      <pane ySplit="8" topLeftCell="A9" activePane="bottomLeft" state="frozen"/>
      <selection pane="bottomLeft"/>
    </sheetView>
  </sheetViews>
  <sheetFormatPr defaultRowHeight="15" x14ac:dyDescent="0.25"/>
  <cols>
    <col min="1" max="1" width="9.28515625" customWidth="1"/>
    <col min="2" max="3" width="14.28515625" customWidth="1"/>
    <col min="4" max="4" width="11.7109375" customWidth="1"/>
    <col min="5" max="5" width="1.42578125" customWidth="1"/>
    <col min="6" max="6" width="12" customWidth="1"/>
    <col min="7" max="7" width="2.28515625" customWidth="1"/>
    <col min="8" max="8" width="8.7109375" customWidth="1"/>
    <col min="9" max="9" width="11.28515625" customWidth="1"/>
    <col min="10" max="10" width="3" customWidth="1"/>
    <col min="11" max="11" width="11.28515625" customWidth="1"/>
    <col min="12" max="12" width="0.7109375" customWidth="1"/>
    <col min="13" max="13" width="9.7109375" customWidth="1"/>
    <col min="14" max="14" width="11.42578125" customWidth="1"/>
    <col min="15" max="15" width="2.7109375" customWidth="1"/>
    <col min="16" max="16" width="11.5703125" customWidth="1"/>
  </cols>
  <sheetData>
    <row r="5" spans="2:16" x14ac:dyDescent="0.25">
      <c r="F5" s="48" t="s">
        <v>137</v>
      </c>
    </row>
    <row r="7" spans="2:16" x14ac:dyDescent="0.25">
      <c r="B7" s="29" t="s">
        <v>138</v>
      </c>
      <c r="C7" s="30" t="s">
        <v>139</v>
      </c>
      <c r="D7" s="89" t="s">
        <v>140</v>
      </c>
      <c r="E7" s="89"/>
      <c r="F7" s="89"/>
      <c r="G7" s="89"/>
      <c r="H7" s="31"/>
      <c r="I7" s="89" t="s">
        <v>141</v>
      </c>
      <c r="J7" s="89"/>
      <c r="K7" s="89"/>
      <c r="L7" s="89"/>
      <c r="M7" s="31"/>
      <c r="N7" s="90" t="s">
        <v>142</v>
      </c>
      <c r="O7" s="90"/>
      <c r="P7" s="90"/>
    </row>
    <row r="8" spans="2:16" x14ac:dyDescent="0.25">
      <c r="B8" s="29" t="s">
        <v>143</v>
      </c>
      <c r="C8" s="30" t="s">
        <v>143</v>
      </c>
      <c r="D8" s="30" t="s">
        <v>144</v>
      </c>
      <c r="E8" s="31"/>
      <c r="F8" s="30" t="s">
        <v>145</v>
      </c>
      <c r="G8" s="31"/>
      <c r="H8" s="31"/>
      <c r="I8" s="30" t="s">
        <v>144</v>
      </c>
      <c r="J8" s="31"/>
      <c r="K8" s="30" t="s">
        <v>145</v>
      </c>
      <c r="L8" s="31"/>
      <c r="M8" s="31"/>
      <c r="N8" s="30" t="s">
        <v>144</v>
      </c>
      <c r="O8" s="31"/>
      <c r="P8" s="32" t="s">
        <v>145</v>
      </c>
    </row>
    <row r="9" spans="2:16" x14ac:dyDescent="0.25">
      <c r="B9" s="35">
        <v>46081.958333333328</v>
      </c>
      <c r="C9" s="39">
        <v>46081.958333333328</v>
      </c>
      <c r="D9" s="37"/>
      <c r="E9" s="37"/>
      <c r="F9" s="37"/>
      <c r="G9" s="37"/>
      <c r="H9" s="37"/>
      <c r="I9" s="37"/>
      <c r="J9" s="37"/>
      <c r="K9" s="49">
        <v>14800</v>
      </c>
      <c r="L9" s="37"/>
      <c r="M9" s="37"/>
      <c r="N9" s="37"/>
      <c r="O9" s="37"/>
      <c r="P9" s="40"/>
    </row>
    <row r="10" spans="2:16" x14ac:dyDescent="0.25">
      <c r="B10" s="35">
        <v>46089.958333333328</v>
      </c>
      <c r="C10" s="39">
        <v>46089.958333333328</v>
      </c>
      <c r="D10" s="37"/>
      <c r="E10" s="37"/>
      <c r="F10" s="49">
        <v>44600</v>
      </c>
      <c r="G10" s="37"/>
      <c r="H10" s="37"/>
      <c r="I10" s="37"/>
      <c r="J10" s="37"/>
      <c r="K10" s="37"/>
      <c r="L10" s="37"/>
      <c r="M10" s="37"/>
      <c r="N10" s="37"/>
      <c r="O10" s="37"/>
      <c r="P10" s="40"/>
    </row>
    <row r="11" spans="2:16" x14ac:dyDescent="0.25">
      <c r="B11" s="41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40"/>
    </row>
    <row r="12" spans="2:16" x14ac:dyDescent="0.25">
      <c r="B12" s="41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40"/>
    </row>
    <row r="13" spans="2:16" x14ac:dyDescent="0.25">
      <c r="B13" s="41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40"/>
    </row>
    <row r="14" spans="2:16" x14ac:dyDescent="0.25">
      <c r="B14" s="41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40"/>
    </row>
    <row r="15" spans="2:16" x14ac:dyDescent="0.25">
      <c r="B15" s="41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40"/>
    </row>
    <row r="16" spans="2:16" x14ac:dyDescent="0.25">
      <c r="B16" s="41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40"/>
    </row>
    <row r="17" spans="2:16" x14ac:dyDescent="0.25">
      <c r="B17" s="41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40"/>
    </row>
    <row r="18" spans="2:16" x14ac:dyDescent="0.25">
      <c r="B18" s="41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40"/>
    </row>
    <row r="19" spans="2:16" x14ac:dyDescent="0.25">
      <c r="B19" s="41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40"/>
    </row>
    <row r="20" spans="2:16" x14ac:dyDescent="0.25">
      <c r="B20" s="41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40"/>
    </row>
    <row r="21" spans="2:16" x14ac:dyDescent="0.25">
      <c r="B21" s="41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40"/>
    </row>
    <row r="22" spans="2:16" x14ac:dyDescent="0.25">
      <c r="B22" s="41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40"/>
    </row>
    <row r="23" spans="2:16" x14ac:dyDescent="0.25">
      <c r="B23" s="41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40"/>
    </row>
    <row r="24" spans="2:16" x14ac:dyDescent="0.25">
      <c r="B24" s="41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40"/>
    </row>
    <row r="25" spans="2:16" x14ac:dyDescent="0.25">
      <c r="B25" s="41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40"/>
    </row>
    <row r="26" spans="2:16" x14ac:dyDescent="0.25">
      <c r="B26" s="41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40"/>
    </row>
    <row r="27" spans="2:16" x14ac:dyDescent="0.25">
      <c r="B27" s="41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40"/>
    </row>
    <row r="28" spans="2:16" x14ac:dyDescent="0.25">
      <c r="B28" s="41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40"/>
    </row>
    <row r="29" spans="2:16" x14ac:dyDescent="0.25">
      <c r="B29" s="41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40"/>
    </row>
    <row r="30" spans="2:16" x14ac:dyDescent="0.25">
      <c r="B30" s="41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40"/>
    </row>
    <row r="31" spans="2:16" x14ac:dyDescent="0.25">
      <c r="B31" s="41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40"/>
    </row>
    <row r="32" spans="2:16" x14ac:dyDescent="0.25">
      <c r="B32" s="41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40"/>
    </row>
    <row r="33" spans="2:16" x14ac:dyDescent="0.25">
      <c r="B33" s="41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40"/>
    </row>
    <row r="34" spans="2:16" x14ac:dyDescent="0.25">
      <c r="B34" s="41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40"/>
    </row>
    <row r="35" spans="2:16" x14ac:dyDescent="0.25">
      <c r="B35" s="41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40"/>
    </row>
    <row r="36" spans="2:16" x14ac:dyDescent="0.25">
      <c r="B36" s="41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40"/>
    </row>
    <row r="37" spans="2:16" x14ac:dyDescent="0.25">
      <c r="B37" s="41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40"/>
    </row>
    <row r="38" spans="2:16" x14ac:dyDescent="0.25">
      <c r="B38" s="41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40"/>
    </row>
    <row r="39" spans="2:16" x14ac:dyDescent="0.25">
      <c r="B39" s="41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40"/>
    </row>
    <row r="40" spans="2:16" x14ac:dyDescent="0.25">
      <c r="B40" s="41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40"/>
    </row>
    <row r="41" spans="2:16" x14ac:dyDescent="0.25">
      <c r="B41" s="41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40"/>
    </row>
    <row r="42" spans="2:16" x14ac:dyDescent="0.25">
      <c r="B42" s="41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40"/>
    </row>
    <row r="43" spans="2:16" x14ac:dyDescent="0.25">
      <c r="B43" s="41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40"/>
    </row>
    <row r="44" spans="2:16" x14ac:dyDescent="0.25">
      <c r="B44" s="41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40"/>
    </row>
    <row r="45" spans="2:16" x14ac:dyDescent="0.25">
      <c r="B45" s="41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40"/>
    </row>
    <row r="46" spans="2:16" x14ac:dyDescent="0.25">
      <c r="B46" s="41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40"/>
    </row>
    <row r="47" spans="2:16" x14ac:dyDescent="0.25">
      <c r="B47" s="41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40"/>
    </row>
    <row r="48" spans="2:16" x14ac:dyDescent="0.25">
      <c r="B48" s="41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40"/>
    </row>
    <row r="49" spans="2:16" x14ac:dyDescent="0.25">
      <c r="B49" s="41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40"/>
    </row>
    <row r="50" spans="2:16" x14ac:dyDescent="0.25">
      <c r="B50" s="41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40"/>
    </row>
    <row r="51" spans="2:16" x14ac:dyDescent="0.25">
      <c r="B51" s="41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40"/>
    </row>
    <row r="52" spans="2:16" x14ac:dyDescent="0.25">
      <c r="B52" s="42" t="s">
        <v>146</v>
      </c>
      <c r="C52" s="37"/>
      <c r="D52" s="50">
        <f>SUM(D9:D51)</f>
        <v>0</v>
      </c>
      <c r="E52" s="37"/>
      <c r="F52" s="50">
        <f>SUM(F9:F51)</f>
        <v>44600</v>
      </c>
      <c r="G52" s="37"/>
      <c r="H52" s="37"/>
      <c r="I52" s="50">
        <f>SUM(I9:I51)</f>
        <v>0</v>
      </c>
      <c r="J52" s="37"/>
      <c r="K52" s="50">
        <f>SUM(K9:K51)</f>
        <v>14800</v>
      </c>
      <c r="L52" s="37"/>
      <c r="M52" s="37"/>
      <c r="N52" s="50">
        <f>SUM(N9:N51)</f>
        <v>0</v>
      </c>
      <c r="O52" s="37"/>
      <c r="P52" s="51">
        <f>SUM(P9:P51)</f>
        <v>0</v>
      </c>
    </row>
  </sheetData>
  <mergeCells count="3">
    <mergeCell ref="D7:G7"/>
    <mergeCell ref="I7:L7"/>
    <mergeCell ref="N7:P7"/>
  </mergeCells>
  <pageMargins left="0.7" right="0.7" top="0.75" bottom="0.75" header="0.3" footer="0.3"/>
  <pageSetup paperSize="9" scale="53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F38"/>
  <sheetViews>
    <sheetView showGridLines="0" view="pageBreakPreview" zoomScaleNormal="100" workbookViewId="0">
      <pane ySplit="6" topLeftCell="A7" activePane="bottomLeft" state="frozen"/>
      <selection pane="bottomLeft"/>
    </sheetView>
  </sheetViews>
  <sheetFormatPr defaultRowHeight="15" x14ac:dyDescent="0.25"/>
  <cols>
    <col min="1" max="1" width="9.28515625" customWidth="1"/>
    <col min="2" max="2" width="12.5703125" customWidth="1"/>
    <col min="3" max="3" width="16.28515625" customWidth="1"/>
    <col min="4" max="4" width="44" customWidth="1"/>
    <col min="5" max="5" width="18" customWidth="1"/>
    <col min="6" max="6" width="17.7109375" customWidth="1"/>
  </cols>
  <sheetData>
    <row r="4" spans="2:6" x14ac:dyDescent="0.25">
      <c r="D4" s="52" t="s">
        <v>147</v>
      </c>
    </row>
    <row r="6" spans="2:6" x14ac:dyDescent="0.25">
      <c r="B6" s="53" t="s">
        <v>148</v>
      </c>
      <c r="C6" s="53" t="s">
        <v>143</v>
      </c>
      <c r="D6" s="53" t="s">
        <v>149</v>
      </c>
      <c r="E6" s="53" t="s">
        <v>150</v>
      </c>
      <c r="F6" s="53" t="s">
        <v>151</v>
      </c>
    </row>
    <row r="7" spans="2:6" x14ac:dyDescent="0.25">
      <c r="B7" s="54">
        <v>1</v>
      </c>
      <c r="C7" s="38" t="s">
        <v>12</v>
      </c>
      <c r="D7" s="38" t="s">
        <v>12</v>
      </c>
      <c r="E7" s="55" t="s">
        <v>12</v>
      </c>
      <c r="F7" s="56" t="s">
        <v>12</v>
      </c>
    </row>
    <row r="8" spans="2:6" x14ac:dyDescent="0.25">
      <c r="B8" s="54">
        <v>2</v>
      </c>
      <c r="C8" s="38" t="s">
        <v>12</v>
      </c>
      <c r="D8" s="38" t="s">
        <v>12</v>
      </c>
      <c r="E8" s="55" t="s">
        <v>12</v>
      </c>
      <c r="F8" s="56" t="s">
        <v>12</v>
      </c>
    </row>
    <row r="9" spans="2:6" x14ac:dyDescent="0.25">
      <c r="B9" s="54">
        <v>3</v>
      </c>
      <c r="C9" s="38" t="s">
        <v>12</v>
      </c>
      <c r="D9" s="38" t="s">
        <v>12</v>
      </c>
      <c r="E9" s="55" t="s">
        <v>12</v>
      </c>
      <c r="F9" s="56" t="s">
        <v>12</v>
      </c>
    </row>
    <row r="10" spans="2:6" x14ac:dyDescent="0.25">
      <c r="B10" s="54">
        <v>4</v>
      </c>
      <c r="C10" s="38" t="s">
        <v>12</v>
      </c>
      <c r="D10" s="38" t="s">
        <v>12</v>
      </c>
      <c r="E10" s="55" t="s">
        <v>12</v>
      </c>
      <c r="F10" s="56" t="s">
        <v>12</v>
      </c>
    </row>
    <row r="11" spans="2:6" x14ac:dyDescent="0.25">
      <c r="B11" s="54">
        <v>5</v>
      </c>
      <c r="C11" s="38" t="s">
        <v>12</v>
      </c>
      <c r="D11" s="38" t="s">
        <v>12</v>
      </c>
      <c r="E11" s="55" t="s">
        <v>12</v>
      </c>
      <c r="F11" s="56" t="s">
        <v>12</v>
      </c>
    </row>
    <row r="12" spans="2:6" x14ac:dyDescent="0.25">
      <c r="B12" s="54">
        <v>6</v>
      </c>
      <c r="C12" s="38" t="s">
        <v>12</v>
      </c>
      <c r="D12" s="38" t="s">
        <v>12</v>
      </c>
      <c r="E12" s="55" t="s">
        <v>12</v>
      </c>
      <c r="F12" s="56" t="s">
        <v>12</v>
      </c>
    </row>
    <row r="13" spans="2:6" x14ac:dyDescent="0.25">
      <c r="B13" s="54">
        <v>7</v>
      </c>
      <c r="C13" s="38" t="s">
        <v>12</v>
      </c>
      <c r="D13" s="38" t="s">
        <v>12</v>
      </c>
      <c r="E13" s="55" t="s">
        <v>12</v>
      </c>
      <c r="F13" s="56" t="s">
        <v>12</v>
      </c>
    </row>
    <row r="14" spans="2:6" x14ac:dyDescent="0.25">
      <c r="B14" s="54">
        <v>8</v>
      </c>
      <c r="C14" s="38" t="s">
        <v>12</v>
      </c>
      <c r="D14" s="38" t="s">
        <v>12</v>
      </c>
      <c r="E14" s="55" t="s">
        <v>12</v>
      </c>
      <c r="F14" s="56" t="s">
        <v>12</v>
      </c>
    </row>
    <row r="15" spans="2:6" x14ac:dyDescent="0.25">
      <c r="B15" s="54">
        <v>9</v>
      </c>
      <c r="C15" s="38" t="s">
        <v>12</v>
      </c>
      <c r="D15" s="38" t="s">
        <v>12</v>
      </c>
      <c r="E15" s="55" t="s">
        <v>12</v>
      </c>
      <c r="F15" s="56" t="s">
        <v>12</v>
      </c>
    </row>
    <row r="16" spans="2:6" x14ac:dyDescent="0.25">
      <c r="B16" s="54">
        <v>10</v>
      </c>
      <c r="C16" s="38" t="s">
        <v>12</v>
      </c>
      <c r="D16" s="38" t="s">
        <v>12</v>
      </c>
      <c r="E16" s="55" t="s">
        <v>12</v>
      </c>
      <c r="F16" s="56" t="s">
        <v>12</v>
      </c>
    </row>
    <row r="17" spans="2:6" x14ac:dyDescent="0.25">
      <c r="B17" s="54">
        <v>11</v>
      </c>
      <c r="C17" s="38" t="s">
        <v>12</v>
      </c>
      <c r="D17" s="38" t="s">
        <v>12</v>
      </c>
      <c r="E17" s="55" t="s">
        <v>12</v>
      </c>
      <c r="F17" s="56" t="s">
        <v>12</v>
      </c>
    </row>
    <row r="18" spans="2:6" x14ac:dyDescent="0.25">
      <c r="B18" s="54">
        <v>12</v>
      </c>
      <c r="C18" s="38" t="s">
        <v>12</v>
      </c>
      <c r="D18" s="38" t="s">
        <v>12</v>
      </c>
      <c r="E18" s="55" t="s">
        <v>12</v>
      </c>
      <c r="F18" s="56" t="s">
        <v>12</v>
      </c>
    </row>
    <row r="19" spans="2:6" x14ac:dyDescent="0.25">
      <c r="B19" s="54">
        <v>13</v>
      </c>
      <c r="C19" s="38" t="s">
        <v>12</v>
      </c>
      <c r="D19" s="38" t="s">
        <v>12</v>
      </c>
      <c r="E19" s="55" t="s">
        <v>12</v>
      </c>
      <c r="F19" s="56" t="s">
        <v>12</v>
      </c>
    </row>
    <row r="20" spans="2:6" x14ac:dyDescent="0.25">
      <c r="B20" s="54">
        <v>14</v>
      </c>
      <c r="C20" s="38" t="s">
        <v>12</v>
      </c>
      <c r="D20" s="38" t="s">
        <v>12</v>
      </c>
      <c r="E20" s="55" t="s">
        <v>12</v>
      </c>
      <c r="F20" s="56" t="s">
        <v>12</v>
      </c>
    </row>
    <row r="21" spans="2:6" x14ac:dyDescent="0.25">
      <c r="B21" s="54">
        <v>15</v>
      </c>
      <c r="C21" s="38" t="s">
        <v>12</v>
      </c>
      <c r="D21" s="38" t="s">
        <v>12</v>
      </c>
      <c r="E21" s="55" t="s">
        <v>12</v>
      </c>
      <c r="F21" s="56" t="s">
        <v>12</v>
      </c>
    </row>
    <row r="22" spans="2:6" x14ac:dyDescent="0.25">
      <c r="B22" s="54">
        <v>16</v>
      </c>
      <c r="C22" s="38" t="s">
        <v>12</v>
      </c>
      <c r="D22" s="38" t="s">
        <v>12</v>
      </c>
      <c r="E22" s="55" t="s">
        <v>12</v>
      </c>
      <c r="F22" s="56" t="s">
        <v>12</v>
      </c>
    </row>
    <row r="23" spans="2:6" x14ac:dyDescent="0.25">
      <c r="B23" s="54">
        <v>17</v>
      </c>
      <c r="C23" s="38" t="s">
        <v>12</v>
      </c>
      <c r="D23" s="38" t="s">
        <v>12</v>
      </c>
      <c r="E23" s="55" t="s">
        <v>12</v>
      </c>
      <c r="F23" s="56" t="s">
        <v>12</v>
      </c>
    </row>
    <row r="24" spans="2:6" x14ac:dyDescent="0.25">
      <c r="B24" s="54">
        <v>18</v>
      </c>
      <c r="C24" s="38" t="s">
        <v>12</v>
      </c>
      <c r="D24" s="38" t="s">
        <v>12</v>
      </c>
      <c r="E24" s="55" t="s">
        <v>12</v>
      </c>
      <c r="F24" s="56" t="s">
        <v>12</v>
      </c>
    </row>
    <row r="25" spans="2:6" x14ac:dyDescent="0.25">
      <c r="B25" s="54">
        <v>19</v>
      </c>
      <c r="C25" s="38" t="s">
        <v>12</v>
      </c>
      <c r="D25" s="38" t="s">
        <v>12</v>
      </c>
      <c r="E25" s="55" t="s">
        <v>12</v>
      </c>
      <c r="F25" s="56" t="s">
        <v>12</v>
      </c>
    </row>
    <row r="26" spans="2:6" x14ac:dyDescent="0.25">
      <c r="B26" s="54">
        <v>20</v>
      </c>
      <c r="C26" s="38" t="s">
        <v>12</v>
      </c>
      <c r="D26" s="38" t="s">
        <v>12</v>
      </c>
      <c r="E26" s="55" t="s">
        <v>12</v>
      </c>
      <c r="F26" s="56" t="s">
        <v>12</v>
      </c>
    </row>
    <row r="27" spans="2:6" x14ac:dyDescent="0.25">
      <c r="B27" s="54">
        <v>21</v>
      </c>
      <c r="C27" s="38" t="s">
        <v>12</v>
      </c>
      <c r="D27" s="38" t="s">
        <v>12</v>
      </c>
      <c r="E27" s="55" t="s">
        <v>12</v>
      </c>
      <c r="F27" s="56" t="s">
        <v>12</v>
      </c>
    </row>
    <row r="28" spans="2:6" x14ac:dyDescent="0.25">
      <c r="B28" s="54">
        <v>22</v>
      </c>
      <c r="C28" s="38" t="s">
        <v>12</v>
      </c>
      <c r="D28" s="38" t="s">
        <v>12</v>
      </c>
      <c r="E28" s="55" t="s">
        <v>12</v>
      </c>
      <c r="F28" s="56" t="s">
        <v>12</v>
      </c>
    </row>
    <row r="29" spans="2:6" x14ac:dyDescent="0.25">
      <c r="B29" s="54">
        <v>23</v>
      </c>
      <c r="C29" s="38" t="s">
        <v>12</v>
      </c>
      <c r="D29" s="38" t="s">
        <v>12</v>
      </c>
      <c r="E29" s="55" t="s">
        <v>12</v>
      </c>
      <c r="F29" s="56" t="s">
        <v>12</v>
      </c>
    </row>
    <row r="30" spans="2:6" x14ac:dyDescent="0.25">
      <c r="B30" s="54">
        <v>24</v>
      </c>
      <c r="C30" s="38" t="s">
        <v>12</v>
      </c>
      <c r="D30" s="38" t="s">
        <v>12</v>
      </c>
      <c r="E30" s="55" t="s">
        <v>12</v>
      </c>
      <c r="F30" s="56" t="s">
        <v>12</v>
      </c>
    </row>
    <row r="31" spans="2:6" x14ac:dyDescent="0.25">
      <c r="B31" s="54">
        <v>25</v>
      </c>
      <c r="C31" s="38" t="s">
        <v>12</v>
      </c>
      <c r="D31" s="38" t="s">
        <v>12</v>
      </c>
      <c r="E31" s="55" t="s">
        <v>12</v>
      </c>
      <c r="F31" s="56" t="s">
        <v>12</v>
      </c>
    </row>
    <row r="32" spans="2:6" x14ac:dyDescent="0.25">
      <c r="B32" s="54">
        <v>26</v>
      </c>
      <c r="C32" s="38" t="s">
        <v>12</v>
      </c>
      <c r="D32" s="38" t="s">
        <v>12</v>
      </c>
      <c r="E32" s="55" t="s">
        <v>12</v>
      </c>
      <c r="F32" s="56" t="s">
        <v>12</v>
      </c>
    </row>
    <row r="33" spans="2:6" x14ac:dyDescent="0.25">
      <c r="B33" s="54">
        <v>27</v>
      </c>
      <c r="C33" s="38" t="s">
        <v>12</v>
      </c>
      <c r="D33" s="38" t="s">
        <v>12</v>
      </c>
      <c r="E33" s="55" t="s">
        <v>12</v>
      </c>
      <c r="F33" s="56" t="s">
        <v>12</v>
      </c>
    </row>
    <row r="34" spans="2:6" x14ac:dyDescent="0.25">
      <c r="B34" s="54">
        <v>28</v>
      </c>
      <c r="C34" s="38" t="s">
        <v>12</v>
      </c>
      <c r="D34" s="38" t="s">
        <v>12</v>
      </c>
      <c r="E34" s="55" t="s">
        <v>12</v>
      </c>
      <c r="F34" s="56" t="s">
        <v>12</v>
      </c>
    </row>
    <row r="35" spans="2:6" x14ac:dyDescent="0.25">
      <c r="B35" s="54">
        <v>29</v>
      </c>
      <c r="C35" s="38" t="s">
        <v>12</v>
      </c>
      <c r="D35" s="38" t="s">
        <v>12</v>
      </c>
      <c r="E35" s="55" t="s">
        <v>12</v>
      </c>
      <c r="F35" s="56" t="s">
        <v>12</v>
      </c>
    </row>
    <row r="36" spans="2:6" x14ac:dyDescent="0.25">
      <c r="B36" s="54">
        <v>30</v>
      </c>
      <c r="C36" s="38" t="s">
        <v>12</v>
      </c>
      <c r="D36" s="38" t="s">
        <v>12</v>
      </c>
      <c r="E36" s="55" t="s">
        <v>12</v>
      </c>
      <c r="F36" s="56" t="s">
        <v>12</v>
      </c>
    </row>
    <row r="37" spans="2:6" x14ac:dyDescent="0.25">
      <c r="B37" s="54">
        <v>31</v>
      </c>
      <c r="C37" s="38" t="s">
        <v>12</v>
      </c>
      <c r="D37" s="38" t="s">
        <v>12</v>
      </c>
      <c r="E37" s="55" t="s">
        <v>12</v>
      </c>
      <c r="F37" s="56" t="s">
        <v>12</v>
      </c>
    </row>
    <row r="38" spans="2:6" x14ac:dyDescent="0.25">
      <c r="B38" s="41"/>
      <c r="C38" s="57" t="s">
        <v>134</v>
      </c>
      <c r="D38" s="37"/>
      <c r="E38" s="58">
        <f>SUM(E7:E37)</f>
        <v>0</v>
      </c>
      <c r="F38" s="40"/>
    </row>
  </sheetData>
  <pageMargins left="0.7" right="0.7" top="0.75" bottom="0.75" header="0.3" footer="0.3"/>
  <pageSetup paperSize="9" scale="62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6:R40"/>
  <sheetViews>
    <sheetView showGridLines="0" view="pageBreakPreview" zoomScale="89" zoomScaleNormal="89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12.42578125" customWidth="1"/>
    <col min="3" max="3" width="16" customWidth="1"/>
    <col min="4" max="4" width="26.7109375" customWidth="1"/>
    <col min="5" max="5" width="15.7109375" customWidth="1"/>
    <col min="6" max="6" width="19" customWidth="1"/>
    <col min="7" max="7" width="9.28515625" customWidth="1"/>
    <col min="8" max="8" width="13.7109375" customWidth="1"/>
    <col min="9" max="9" width="17.5703125" customWidth="1"/>
    <col min="10" max="10" width="23" customWidth="1"/>
    <col min="11" max="11" width="19.28515625" customWidth="1"/>
    <col min="12" max="12" width="15.28515625" customWidth="1"/>
    <col min="13" max="13" width="9.28515625" customWidth="1"/>
    <col min="14" max="14" width="17.7109375" customWidth="1"/>
    <col min="15" max="15" width="17" customWidth="1"/>
    <col min="16" max="16" width="24.7109375" customWidth="1"/>
    <col min="17" max="17" width="17.28515625" customWidth="1"/>
    <col min="18" max="18" width="12.5703125" customWidth="1"/>
  </cols>
  <sheetData>
    <row r="6" spans="2:18" x14ac:dyDescent="0.25">
      <c r="B6" s="91" t="s">
        <v>140</v>
      </c>
      <c r="C6" s="91"/>
      <c r="D6" s="91"/>
      <c r="E6" s="91"/>
      <c r="F6" s="91"/>
      <c r="H6" s="91" t="s">
        <v>141</v>
      </c>
      <c r="I6" s="91"/>
      <c r="J6" s="91"/>
      <c r="K6" s="91"/>
      <c r="L6" s="91"/>
      <c r="N6" s="91" t="s">
        <v>142</v>
      </c>
      <c r="O6" s="91"/>
      <c r="P6" s="91"/>
      <c r="Q6" s="91"/>
      <c r="R6" s="91"/>
    </row>
    <row r="7" spans="2:18" x14ac:dyDescent="0.25">
      <c r="B7" s="29" t="s">
        <v>114</v>
      </c>
      <c r="C7" s="30" t="s">
        <v>152</v>
      </c>
      <c r="D7" s="30" t="s">
        <v>153</v>
      </c>
      <c r="E7" s="30" t="s">
        <v>154</v>
      </c>
      <c r="F7" s="32" t="s">
        <v>155</v>
      </c>
      <c r="H7" s="29" t="s">
        <v>114</v>
      </c>
      <c r="I7" s="30" t="s">
        <v>152</v>
      </c>
      <c r="J7" s="30" t="s">
        <v>153</v>
      </c>
      <c r="K7" s="30" t="s">
        <v>154</v>
      </c>
      <c r="L7" s="32" t="s">
        <v>155</v>
      </c>
      <c r="N7" s="29" t="s">
        <v>114</v>
      </c>
      <c r="O7" s="30" t="s">
        <v>152</v>
      </c>
      <c r="P7" s="30" t="s">
        <v>153</v>
      </c>
      <c r="Q7" s="30" t="s">
        <v>154</v>
      </c>
      <c r="R7" s="32" t="s">
        <v>155</v>
      </c>
    </row>
    <row r="8" spans="2:18" x14ac:dyDescent="0.25">
      <c r="B8" s="35">
        <v>46081.958333333328</v>
      </c>
      <c r="C8" s="36">
        <v>43950</v>
      </c>
      <c r="D8" s="37"/>
      <c r="E8" s="59">
        <f t="shared" ref="E8:E38" si="0">C8+D8-F8</f>
        <v>4750</v>
      </c>
      <c r="F8" s="45">
        <v>39200</v>
      </c>
      <c r="H8" s="35">
        <v>46081.958333333328</v>
      </c>
      <c r="I8" s="36">
        <v>10750</v>
      </c>
      <c r="J8" s="36">
        <v>14800</v>
      </c>
      <c r="K8" s="59">
        <f t="shared" ref="K8:K38" si="1">I8+J8-L8</f>
        <v>550</v>
      </c>
      <c r="L8" s="45">
        <v>25000</v>
      </c>
      <c r="N8" s="35">
        <v>46081.958333333328</v>
      </c>
      <c r="O8" s="36">
        <v>1100</v>
      </c>
      <c r="P8" s="37"/>
      <c r="Q8" s="59">
        <f t="shared" ref="Q8:Q38" si="2">O8+P8-R8</f>
        <v>0</v>
      </c>
      <c r="R8" s="45">
        <v>1100</v>
      </c>
    </row>
    <row r="9" spans="2:18" x14ac:dyDescent="0.25">
      <c r="B9" s="35">
        <v>46082.958333333328</v>
      </c>
      <c r="C9" s="36">
        <v>39200</v>
      </c>
      <c r="D9" s="37"/>
      <c r="E9" s="59">
        <f t="shared" si="0"/>
        <v>4900</v>
      </c>
      <c r="F9" s="45">
        <v>34300</v>
      </c>
      <c r="H9" s="35">
        <v>46082.958333333328</v>
      </c>
      <c r="I9" s="36">
        <v>25000</v>
      </c>
      <c r="J9" s="37"/>
      <c r="K9" s="59">
        <f t="shared" si="1"/>
        <v>500</v>
      </c>
      <c r="L9" s="45">
        <v>24500</v>
      </c>
      <c r="N9" s="35">
        <v>46082.958333333328</v>
      </c>
      <c r="O9" s="36">
        <v>1100</v>
      </c>
      <c r="P9" s="37"/>
      <c r="Q9" s="59">
        <f t="shared" si="2"/>
        <v>0</v>
      </c>
      <c r="R9" s="45">
        <v>1100</v>
      </c>
    </row>
    <row r="10" spans="2:18" x14ac:dyDescent="0.25">
      <c r="B10" s="35">
        <v>46083.958333333328</v>
      </c>
      <c r="C10" s="36">
        <v>34300</v>
      </c>
      <c r="D10" s="37"/>
      <c r="E10" s="59">
        <f t="shared" si="0"/>
        <v>4100</v>
      </c>
      <c r="F10" s="45">
        <v>30200</v>
      </c>
      <c r="H10" s="35">
        <v>46083.958333333328</v>
      </c>
      <c r="I10" s="36">
        <v>24500</v>
      </c>
      <c r="J10" s="37"/>
      <c r="K10" s="59">
        <f t="shared" si="1"/>
        <v>200</v>
      </c>
      <c r="L10" s="45">
        <v>24300</v>
      </c>
      <c r="N10" s="35">
        <v>46083.958333333328</v>
      </c>
      <c r="O10" s="36">
        <v>1100</v>
      </c>
      <c r="P10" s="37"/>
      <c r="Q10" s="59">
        <f t="shared" si="2"/>
        <v>0</v>
      </c>
      <c r="R10" s="45">
        <v>1100</v>
      </c>
    </row>
    <row r="11" spans="2:18" x14ac:dyDescent="0.25">
      <c r="B11" s="35">
        <v>46084.958333333328</v>
      </c>
      <c r="C11" s="36">
        <v>30200</v>
      </c>
      <c r="D11" s="37"/>
      <c r="E11" s="59">
        <f t="shared" si="0"/>
        <v>4750</v>
      </c>
      <c r="F11" s="45">
        <v>25450</v>
      </c>
      <c r="H11" s="35">
        <v>46084.958333333328</v>
      </c>
      <c r="I11" s="36">
        <v>24300</v>
      </c>
      <c r="J11" s="37"/>
      <c r="K11" s="59">
        <f t="shared" si="1"/>
        <v>300</v>
      </c>
      <c r="L11" s="45">
        <v>24000</v>
      </c>
      <c r="N11" s="35">
        <v>46084.958333333328</v>
      </c>
      <c r="O11" s="36">
        <v>1100</v>
      </c>
      <c r="P11" s="37"/>
      <c r="Q11" s="59">
        <f t="shared" si="2"/>
        <v>0</v>
      </c>
      <c r="R11" s="45">
        <v>1100</v>
      </c>
    </row>
    <row r="12" spans="2:18" x14ac:dyDescent="0.25">
      <c r="B12" s="35">
        <v>46085.958333333328</v>
      </c>
      <c r="C12" s="36">
        <v>25450</v>
      </c>
      <c r="D12" s="37"/>
      <c r="E12" s="59">
        <f t="shared" si="0"/>
        <v>4400</v>
      </c>
      <c r="F12" s="45">
        <v>21050</v>
      </c>
      <c r="H12" s="35">
        <v>46085.958333333328</v>
      </c>
      <c r="I12" s="36">
        <v>24000</v>
      </c>
      <c r="J12" s="37"/>
      <c r="K12" s="59">
        <f t="shared" si="1"/>
        <v>300</v>
      </c>
      <c r="L12" s="45">
        <v>23700</v>
      </c>
      <c r="N12" s="35">
        <v>46085.958333333328</v>
      </c>
      <c r="O12" s="36">
        <v>1100</v>
      </c>
      <c r="P12" s="37"/>
      <c r="Q12" s="59">
        <f t="shared" si="2"/>
        <v>0</v>
      </c>
      <c r="R12" s="45">
        <v>1100</v>
      </c>
    </row>
    <row r="13" spans="2:18" x14ac:dyDescent="0.25">
      <c r="B13" s="35">
        <v>46086.958333333328</v>
      </c>
      <c r="C13" s="36">
        <v>21050</v>
      </c>
      <c r="D13" s="37"/>
      <c r="E13" s="59">
        <f t="shared" si="0"/>
        <v>5800</v>
      </c>
      <c r="F13" s="45">
        <v>15250</v>
      </c>
      <c r="H13" s="35">
        <v>46086.958333333328</v>
      </c>
      <c r="I13" s="36">
        <v>23700</v>
      </c>
      <c r="J13" s="37"/>
      <c r="K13" s="59">
        <f t="shared" si="1"/>
        <v>600</v>
      </c>
      <c r="L13" s="45">
        <v>23100</v>
      </c>
      <c r="N13" s="35">
        <v>46086.958333333328</v>
      </c>
      <c r="O13" s="36">
        <v>1100</v>
      </c>
      <c r="P13" s="37"/>
      <c r="Q13" s="59">
        <f t="shared" si="2"/>
        <v>0</v>
      </c>
      <c r="R13" s="45">
        <v>1100</v>
      </c>
    </row>
    <row r="14" spans="2:18" x14ac:dyDescent="0.25">
      <c r="B14" s="35">
        <v>46087.958333333328</v>
      </c>
      <c r="C14" s="36">
        <v>15250</v>
      </c>
      <c r="D14" s="37"/>
      <c r="E14" s="59">
        <f t="shared" si="0"/>
        <v>4550</v>
      </c>
      <c r="F14" s="45">
        <v>10700</v>
      </c>
      <c r="H14" s="35">
        <v>46087.958333333328</v>
      </c>
      <c r="I14" s="36">
        <v>23100</v>
      </c>
      <c r="J14" s="37"/>
      <c r="K14" s="59">
        <f t="shared" si="1"/>
        <v>500</v>
      </c>
      <c r="L14" s="45">
        <v>22600</v>
      </c>
      <c r="N14" s="35">
        <v>46087.958333333328</v>
      </c>
      <c r="O14" s="36">
        <v>1100</v>
      </c>
      <c r="P14" s="37"/>
      <c r="Q14" s="59">
        <f t="shared" si="2"/>
        <v>0</v>
      </c>
      <c r="R14" s="45">
        <v>1100</v>
      </c>
    </row>
    <row r="15" spans="2:18" x14ac:dyDescent="0.25">
      <c r="B15" s="35">
        <v>46088.958333333328</v>
      </c>
      <c r="C15" s="36">
        <v>10700</v>
      </c>
      <c r="D15" s="37"/>
      <c r="E15" s="59">
        <f t="shared" si="0"/>
        <v>3700</v>
      </c>
      <c r="F15" s="45">
        <v>7000</v>
      </c>
      <c r="H15" s="35">
        <v>46088.958333333328</v>
      </c>
      <c r="I15" s="36">
        <v>22600</v>
      </c>
      <c r="J15" s="37"/>
      <c r="K15" s="59">
        <f t="shared" si="1"/>
        <v>100</v>
      </c>
      <c r="L15" s="45">
        <v>22500</v>
      </c>
      <c r="N15" s="35">
        <v>46088.958333333328</v>
      </c>
      <c r="O15" s="36">
        <v>1100</v>
      </c>
      <c r="P15" s="37"/>
      <c r="Q15" s="59">
        <f t="shared" si="2"/>
        <v>0</v>
      </c>
      <c r="R15" s="45">
        <v>1100</v>
      </c>
    </row>
    <row r="16" spans="2:18" x14ac:dyDescent="0.25">
      <c r="B16" s="35">
        <v>46089.958333333328</v>
      </c>
      <c r="C16" s="36">
        <v>7000</v>
      </c>
      <c r="D16" s="36">
        <v>44600</v>
      </c>
      <c r="E16" s="59">
        <f t="shared" si="0"/>
        <v>3400</v>
      </c>
      <c r="F16" s="45">
        <v>48200</v>
      </c>
      <c r="H16" s="35">
        <v>46089.958333333328</v>
      </c>
      <c r="I16" s="36">
        <v>22500</v>
      </c>
      <c r="J16" s="37"/>
      <c r="K16" s="59">
        <f t="shared" si="1"/>
        <v>200</v>
      </c>
      <c r="L16" s="45">
        <v>22300</v>
      </c>
      <c r="N16" s="35">
        <v>46089.958333333328</v>
      </c>
      <c r="O16" s="36">
        <v>1100</v>
      </c>
      <c r="P16" s="37"/>
      <c r="Q16" s="59">
        <f t="shared" si="2"/>
        <v>0</v>
      </c>
      <c r="R16" s="45">
        <v>1100</v>
      </c>
    </row>
    <row r="17" spans="2:18" x14ac:dyDescent="0.25">
      <c r="B17" s="35">
        <v>46090.958333333328</v>
      </c>
      <c r="C17" s="36">
        <v>48200</v>
      </c>
      <c r="D17" s="37"/>
      <c r="E17" s="59">
        <f t="shared" si="0"/>
        <v>4300</v>
      </c>
      <c r="F17" s="45">
        <v>43900</v>
      </c>
      <c r="H17" s="35">
        <v>46090.958333333328</v>
      </c>
      <c r="I17" s="36">
        <v>22300</v>
      </c>
      <c r="J17" s="37"/>
      <c r="K17" s="59">
        <f t="shared" si="1"/>
        <v>400</v>
      </c>
      <c r="L17" s="45">
        <v>21900</v>
      </c>
      <c r="N17" s="35">
        <v>46090.958333333328</v>
      </c>
      <c r="O17" s="36">
        <v>1100</v>
      </c>
      <c r="P17" s="37"/>
      <c r="Q17" s="59">
        <f t="shared" si="2"/>
        <v>0</v>
      </c>
      <c r="R17" s="45">
        <v>1100</v>
      </c>
    </row>
    <row r="18" spans="2:18" x14ac:dyDescent="0.25">
      <c r="B18" s="35">
        <v>46091.958333333328</v>
      </c>
      <c r="C18" s="36">
        <v>43900</v>
      </c>
      <c r="D18" s="37"/>
      <c r="E18" s="59">
        <f t="shared" si="0"/>
        <v>0</v>
      </c>
      <c r="F18" s="45">
        <v>43900</v>
      </c>
      <c r="H18" s="35">
        <v>46091.958333333328</v>
      </c>
      <c r="I18" s="36">
        <v>21900</v>
      </c>
      <c r="J18" s="37"/>
      <c r="K18" s="59">
        <f t="shared" si="1"/>
        <v>0</v>
      </c>
      <c r="L18" s="45">
        <v>21900</v>
      </c>
      <c r="N18" s="35">
        <v>46091.958333333328</v>
      </c>
      <c r="O18" s="36">
        <v>1100</v>
      </c>
      <c r="P18" s="37"/>
      <c r="Q18" s="59">
        <f t="shared" si="2"/>
        <v>0</v>
      </c>
      <c r="R18" s="45">
        <v>1100</v>
      </c>
    </row>
    <row r="19" spans="2:18" x14ac:dyDescent="0.25">
      <c r="B19" s="35">
        <v>46092.958333333328</v>
      </c>
      <c r="C19" s="36">
        <v>43950</v>
      </c>
      <c r="D19" s="37"/>
      <c r="E19" s="59">
        <f t="shared" si="0"/>
        <v>0</v>
      </c>
      <c r="F19" s="45">
        <v>43950</v>
      </c>
      <c r="H19" s="35">
        <v>46092.958333333328</v>
      </c>
      <c r="I19" s="36">
        <v>10750</v>
      </c>
      <c r="J19" s="37"/>
      <c r="K19" s="59">
        <f t="shared" si="1"/>
        <v>0</v>
      </c>
      <c r="L19" s="45">
        <v>10750</v>
      </c>
      <c r="N19" s="35">
        <v>46092.958333333328</v>
      </c>
      <c r="O19" s="36">
        <v>1100</v>
      </c>
      <c r="P19" s="37"/>
      <c r="Q19" s="59">
        <f t="shared" si="2"/>
        <v>0</v>
      </c>
      <c r="R19" s="45">
        <v>1100</v>
      </c>
    </row>
    <row r="20" spans="2:18" x14ac:dyDescent="0.25">
      <c r="B20" s="35">
        <v>46093.958333333328</v>
      </c>
      <c r="C20" s="36">
        <v>43950</v>
      </c>
      <c r="D20" s="37"/>
      <c r="E20" s="59">
        <f t="shared" si="0"/>
        <v>0</v>
      </c>
      <c r="F20" s="45">
        <v>43950</v>
      </c>
      <c r="H20" s="35">
        <v>46093.958333333328</v>
      </c>
      <c r="I20" s="36">
        <v>10750</v>
      </c>
      <c r="J20" s="37"/>
      <c r="K20" s="59">
        <f t="shared" si="1"/>
        <v>0</v>
      </c>
      <c r="L20" s="45">
        <v>10750</v>
      </c>
      <c r="N20" s="35">
        <v>46093.958333333328</v>
      </c>
      <c r="O20" s="36">
        <v>1100</v>
      </c>
      <c r="P20" s="37"/>
      <c r="Q20" s="59">
        <f t="shared" si="2"/>
        <v>0</v>
      </c>
      <c r="R20" s="45">
        <v>1100</v>
      </c>
    </row>
    <row r="21" spans="2:18" x14ac:dyDescent="0.25">
      <c r="B21" s="35">
        <v>46094.958333333328</v>
      </c>
      <c r="C21" s="36">
        <v>43950</v>
      </c>
      <c r="D21" s="37"/>
      <c r="E21" s="59">
        <f t="shared" si="0"/>
        <v>15950</v>
      </c>
      <c r="F21" s="45">
        <v>28000</v>
      </c>
      <c r="H21" s="35">
        <v>46094.958333333328</v>
      </c>
      <c r="I21" s="36">
        <v>10750</v>
      </c>
      <c r="J21" s="37"/>
      <c r="K21" s="59">
        <f t="shared" si="1"/>
        <v>-24150</v>
      </c>
      <c r="L21" s="45">
        <v>34900</v>
      </c>
      <c r="N21" s="35">
        <v>46094.958333333328</v>
      </c>
      <c r="O21" s="36">
        <v>1100</v>
      </c>
      <c r="P21" s="37"/>
      <c r="Q21" s="59">
        <f t="shared" si="2"/>
        <v>0</v>
      </c>
      <c r="R21" s="45">
        <v>1100</v>
      </c>
    </row>
    <row r="22" spans="2:18" x14ac:dyDescent="0.25">
      <c r="B22" s="35">
        <v>46095.958333333328</v>
      </c>
      <c r="C22" s="36">
        <v>28000</v>
      </c>
      <c r="D22" s="37"/>
      <c r="E22" s="59">
        <f t="shared" si="0"/>
        <v>3450</v>
      </c>
      <c r="F22" s="45">
        <v>24550</v>
      </c>
      <c r="H22" s="35">
        <v>46095.958333333328</v>
      </c>
      <c r="I22" s="36">
        <v>34900</v>
      </c>
      <c r="J22" s="37"/>
      <c r="K22" s="59">
        <f t="shared" si="1"/>
        <v>300</v>
      </c>
      <c r="L22" s="45">
        <v>34600</v>
      </c>
      <c r="N22" s="35">
        <v>46095.958333333328</v>
      </c>
      <c r="O22" s="36">
        <v>1100</v>
      </c>
      <c r="P22" s="37"/>
      <c r="Q22" s="59">
        <f t="shared" si="2"/>
        <v>0</v>
      </c>
      <c r="R22" s="45">
        <v>1100</v>
      </c>
    </row>
    <row r="23" spans="2:18" x14ac:dyDescent="0.25">
      <c r="B23" s="35">
        <v>46096.958333333328</v>
      </c>
      <c r="C23" s="36">
        <v>24550</v>
      </c>
      <c r="D23" s="37"/>
      <c r="E23" s="59">
        <f t="shared" si="0"/>
        <v>4050</v>
      </c>
      <c r="F23" s="45">
        <v>20500</v>
      </c>
      <c r="H23" s="35">
        <v>46096.958333333328</v>
      </c>
      <c r="I23" s="36">
        <v>34600</v>
      </c>
      <c r="J23" s="37"/>
      <c r="K23" s="59">
        <f t="shared" si="1"/>
        <v>200</v>
      </c>
      <c r="L23" s="45">
        <v>34400</v>
      </c>
      <c r="N23" s="35">
        <v>46096.958333333328</v>
      </c>
      <c r="O23" s="36">
        <v>1100</v>
      </c>
      <c r="P23" s="37"/>
      <c r="Q23" s="59">
        <f t="shared" si="2"/>
        <v>0</v>
      </c>
      <c r="R23" s="45">
        <v>1100</v>
      </c>
    </row>
    <row r="24" spans="2:18" x14ac:dyDescent="0.25">
      <c r="B24" s="41"/>
      <c r="C24" s="37"/>
      <c r="D24" s="37"/>
      <c r="E24" s="59">
        <f t="shared" si="0"/>
        <v>0</v>
      </c>
      <c r="F24" s="40"/>
      <c r="H24" s="41"/>
      <c r="I24" s="37"/>
      <c r="J24" s="37"/>
      <c r="K24" s="59">
        <f t="shared" si="1"/>
        <v>0</v>
      </c>
      <c r="L24" s="40"/>
      <c r="N24" s="41"/>
      <c r="O24" s="37"/>
      <c r="P24" s="37"/>
      <c r="Q24" s="59">
        <f t="shared" si="2"/>
        <v>0</v>
      </c>
      <c r="R24" s="40"/>
    </row>
    <row r="25" spans="2:18" x14ac:dyDescent="0.25">
      <c r="B25" s="41"/>
      <c r="C25" s="37"/>
      <c r="D25" s="37"/>
      <c r="E25" s="59">
        <f t="shared" si="0"/>
        <v>0</v>
      </c>
      <c r="F25" s="40"/>
      <c r="H25" s="41"/>
      <c r="I25" s="37"/>
      <c r="J25" s="37"/>
      <c r="K25" s="59">
        <f t="shared" si="1"/>
        <v>0</v>
      </c>
      <c r="L25" s="40"/>
      <c r="N25" s="41"/>
      <c r="O25" s="37"/>
      <c r="P25" s="37"/>
      <c r="Q25" s="59">
        <f t="shared" si="2"/>
        <v>0</v>
      </c>
      <c r="R25" s="40"/>
    </row>
    <row r="26" spans="2:18" x14ac:dyDescent="0.25">
      <c r="B26" s="41"/>
      <c r="C26" s="37"/>
      <c r="D26" s="37"/>
      <c r="E26" s="59">
        <f t="shared" si="0"/>
        <v>0</v>
      </c>
      <c r="F26" s="40"/>
      <c r="H26" s="41"/>
      <c r="I26" s="37"/>
      <c r="J26" s="37"/>
      <c r="K26" s="59">
        <f t="shared" si="1"/>
        <v>0</v>
      </c>
      <c r="L26" s="40"/>
      <c r="N26" s="41"/>
      <c r="O26" s="37"/>
      <c r="P26" s="37"/>
      <c r="Q26" s="59">
        <f t="shared" si="2"/>
        <v>0</v>
      </c>
      <c r="R26" s="40"/>
    </row>
    <row r="27" spans="2:18" x14ac:dyDescent="0.25">
      <c r="B27" s="41"/>
      <c r="C27" s="37"/>
      <c r="D27" s="37"/>
      <c r="E27" s="59">
        <f t="shared" si="0"/>
        <v>0</v>
      </c>
      <c r="F27" s="40"/>
      <c r="H27" s="41"/>
      <c r="I27" s="37"/>
      <c r="J27" s="37"/>
      <c r="K27" s="59">
        <f t="shared" si="1"/>
        <v>0</v>
      </c>
      <c r="L27" s="40"/>
      <c r="N27" s="41"/>
      <c r="O27" s="37"/>
      <c r="P27" s="37"/>
      <c r="Q27" s="59">
        <f t="shared" si="2"/>
        <v>0</v>
      </c>
      <c r="R27" s="40"/>
    </row>
    <row r="28" spans="2:18" x14ac:dyDescent="0.25">
      <c r="B28" s="41"/>
      <c r="C28" s="37"/>
      <c r="D28" s="37"/>
      <c r="E28" s="59">
        <f t="shared" si="0"/>
        <v>0</v>
      </c>
      <c r="F28" s="40"/>
      <c r="H28" s="41"/>
      <c r="I28" s="37"/>
      <c r="J28" s="37"/>
      <c r="K28" s="59">
        <f t="shared" si="1"/>
        <v>0</v>
      </c>
      <c r="L28" s="40"/>
      <c r="N28" s="41"/>
      <c r="O28" s="37"/>
      <c r="P28" s="37"/>
      <c r="Q28" s="59">
        <f t="shared" si="2"/>
        <v>0</v>
      </c>
      <c r="R28" s="40"/>
    </row>
    <row r="29" spans="2:18" x14ac:dyDescent="0.25">
      <c r="B29" s="41"/>
      <c r="C29" s="37"/>
      <c r="D29" s="37"/>
      <c r="E29" s="59">
        <f t="shared" si="0"/>
        <v>0</v>
      </c>
      <c r="F29" s="40"/>
      <c r="H29" s="41"/>
      <c r="I29" s="37"/>
      <c r="J29" s="37"/>
      <c r="K29" s="59">
        <f t="shared" si="1"/>
        <v>0</v>
      </c>
      <c r="L29" s="40"/>
      <c r="N29" s="41"/>
      <c r="O29" s="37"/>
      <c r="P29" s="37"/>
      <c r="Q29" s="59">
        <f t="shared" si="2"/>
        <v>0</v>
      </c>
      <c r="R29" s="40"/>
    </row>
    <row r="30" spans="2:18" x14ac:dyDescent="0.25">
      <c r="B30" s="41"/>
      <c r="C30" s="37"/>
      <c r="D30" s="37"/>
      <c r="E30" s="59">
        <f t="shared" si="0"/>
        <v>0</v>
      </c>
      <c r="F30" s="40"/>
      <c r="H30" s="41"/>
      <c r="I30" s="37"/>
      <c r="J30" s="37"/>
      <c r="K30" s="59">
        <f t="shared" si="1"/>
        <v>0</v>
      </c>
      <c r="L30" s="40"/>
      <c r="N30" s="41"/>
      <c r="O30" s="37"/>
      <c r="P30" s="37"/>
      <c r="Q30" s="59">
        <f t="shared" si="2"/>
        <v>0</v>
      </c>
      <c r="R30" s="40"/>
    </row>
    <row r="31" spans="2:18" x14ac:dyDescent="0.25">
      <c r="B31" s="41"/>
      <c r="C31" s="37"/>
      <c r="D31" s="37"/>
      <c r="E31" s="59">
        <f t="shared" si="0"/>
        <v>0</v>
      </c>
      <c r="F31" s="40"/>
      <c r="H31" s="41"/>
      <c r="I31" s="37"/>
      <c r="J31" s="37"/>
      <c r="K31" s="59">
        <f t="shared" si="1"/>
        <v>0</v>
      </c>
      <c r="L31" s="40"/>
      <c r="N31" s="41"/>
      <c r="O31" s="37"/>
      <c r="P31" s="37"/>
      <c r="Q31" s="59">
        <f t="shared" si="2"/>
        <v>0</v>
      </c>
      <c r="R31" s="40"/>
    </row>
    <row r="32" spans="2:18" x14ac:dyDescent="0.25">
      <c r="B32" s="41"/>
      <c r="C32" s="37"/>
      <c r="D32" s="37"/>
      <c r="E32" s="59">
        <f t="shared" si="0"/>
        <v>0</v>
      </c>
      <c r="F32" s="40"/>
      <c r="H32" s="41"/>
      <c r="I32" s="37"/>
      <c r="J32" s="37"/>
      <c r="K32" s="59">
        <f t="shared" si="1"/>
        <v>0</v>
      </c>
      <c r="L32" s="40"/>
      <c r="N32" s="41"/>
      <c r="O32" s="37"/>
      <c r="P32" s="37"/>
      <c r="Q32" s="59">
        <f t="shared" si="2"/>
        <v>0</v>
      </c>
      <c r="R32" s="40"/>
    </row>
    <row r="33" spans="2:18" x14ac:dyDescent="0.25">
      <c r="B33" s="41"/>
      <c r="C33" s="37"/>
      <c r="D33" s="37"/>
      <c r="E33" s="59">
        <f t="shared" si="0"/>
        <v>0</v>
      </c>
      <c r="F33" s="40"/>
      <c r="H33" s="41"/>
      <c r="I33" s="37"/>
      <c r="J33" s="37"/>
      <c r="K33" s="59">
        <f t="shared" si="1"/>
        <v>0</v>
      </c>
      <c r="L33" s="40"/>
      <c r="N33" s="41"/>
      <c r="O33" s="37"/>
      <c r="P33" s="37"/>
      <c r="Q33" s="59">
        <f t="shared" si="2"/>
        <v>0</v>
      </c>
      <c r="R33" s="40"/>
    </row>
    <row r="34" spans="2:18" x14ac:dyDescent="0.25">
      <c r="B34" s="41"/>
      <c r="C34" s="37"/>
      <c r="D34" s="37"/>
      <c r="E34" s="59">
        <f t="shared" si="0"/>
        <v>0</v>
      </c>
      <c r="F34" s="40"/>
      <c r="H34" s="41"/>
      <c r="I34" s="37"/>
      <c r="J34" s="37"/>
      <c r="K34" s="59">
        <f t="shared" si="1"/>
        <v>0</v>
      </c>
      <c r="L34" s="40"/>
      <c r="N34" s="41"/>
      <c r="O34" s="37"/>
      <c r="P34" s="37"/>
      <c r="Q34" s="59">
        <f t="shared" si="2"/>
        <v>0</v>
      </c>
      <c r="R34" s="40"/>
    </row>
    <row r="35" spans="2:18" x14ac:dyDescent="0.25">
      <c r="B35" s="41"/>
      <c r="C35" s="37"/>
      <c r="D35" s="37"/>
      <c r="E35" s="59">
        <f t="shared" si="0"/>
        <v>0</v>
      </c>
      <c r="F35" s="40"/>
      <c r="H35" s="41"/>
      <c r="I35" s="37"/>
      <c r="J35" s="37"/>
      <c r="K35" s="59">
        <f t="shared" si="1"/>
        <v>0</v>
      </c>
      <c r="L35" s="40"/>
      <c r="N35" s="41"/>
      <c r="O35" s="37"/>
      <c r="P35" s="37"/>
      <c r="Q35" s="59">
        <f t="shared" si="2"/>
        <v>0</v>
      </c>
      <c r="R35" s="40"/>
    </row>
    <row r="36" spans="2:18" x14ac:dyDescent="0.25">
      <c r="B36" s="41"/>
      <c r="C36" s="37"/>
      <c r="D36" s="37"/>
      <c r="E36" s="59">
        <f t="shared" si="0"/>
        <v>0</v>
      </c>
      <c r="F36" s="40"/>
      <c r="H36" s="41"/>
      <c r="I36" s="37"/>
      <c r="J36" s="37"/>
      <c r="K36" s="59">
        <f t="shared" si="1"/>
        <v>0</v>
      </c>
      <c r="L36" s="40"/>
      <c r="N36" s="41"/>
      <c r="O36" s="37"/>
      <c r="P36" s="37"/>
      <c r="Q36" s="59">
        <f t="shared" si="2"/>
        <v>0</v>
      </c>
      <c r="R36" s="40"/>
    </row>
    <row r="37" spans="2:18" x14ac:dyDescent="0.25">
      <c r="B37" s="41"/>
      <c r="C37" s="37"/>
      <c r="D37" s="37"/>
      <c r="E37" s="59">
        <f t="shared" si="0"/>
        <v>0</v>
      </c>
      <c r="F37" s="40"/>
      <c r="H37" s="41"/>
      <c r="I37" s="37"/>
      <c r="J37" s="37"/>
      <c r="K37" s="59">
        <f t="shared" si="1"/>
        <v>0</v>
      </c>
      <c r="L37" s="40"/>
      <c r="N37" s="41"/>
      <c r="O37" s="37"/>
      <c r="P37" s="37"/>
      <c r="Q37" s="59">
        <f t="shared" si="2"/>
        <v>0</v>
      </c>
      <c r="R37" s="40"/>
    </row>
    <row r="38" spans="2:18" x14ac:dyDescent="0.25">
      <c r="B38" s="41"/>
      <c r="C38" s="36">
        <v>20500</v>
      </c>
      <c r="D38" s="37"/>
      <c r="E38" s="59">
        <f t="shared" si="0"/>
        <v>0</v>
      </c>
      <c r="F38" s="45">
        <v>20500</v>
      </c>
      <c r="H38" s="41"/>
      <c r="I38" s="36">
        <v>34400</v>
      </c>
      <c r="J38" s="37"/>
      <c r="K38" s="59">
        <f t="shared" si="1"/>
        <v>0</v>
      </c>
      <c r="L38" s="45">
        <v>34400</v>
      </c>
      <c r="N38" s="41"/>
      <c r="O38" s="36">
        <v>1100</v>
      </c>
      <c r="P38" s="37"/>
      <c r="Q38" s="59">
        <f t="shared" si="2"/>
        <v>0</v>
      </c>
      <c r="R38" s="45">
        <v>1100</v>
      </c>
    </row>
    <row r="39" spans="2:18" x14ac:dyDescent="0.25">
      <c r="B39" s="41"/>
      <c r="C39" s="37"/>
      <c r="D39" s="37"/>
      <c r="E39" s="37"/>
      <c r="F39" s="40"/>
      <c r="H39" s="41"/>
      <c r="I39" s="37"/>
      <c r="J39" s="37"/>
      <c r="K39" s="37"/>
      <c r="L39" s="40"/>
      <c r="N39" s="41"/>
      <c r="O39" s="37"/>
      <c r="P39" s="37"/>
      <c r="Q39" s="37"/>
      <c r="R39" s="40"/>
    </row>
    <row r="40" spans="2:18" x14ac:dyDescent="0.25">
      <c r="B40" s="41"/>
      <c r="C40" s="37"/>
      <c r="D40" s="37"/>
      <c r="E40" s="37"/>
      <c r="F40" s="60">
        <f>IF(C38&gt;0,F38,F37)</f>
        <v>20500</v>
      </c>
      <c r="H40" s="41"/>
      <c r="I40" s="37"/>
      <c r="J40" s="37"/>
      <c r="K40" s="37"/>
      <c r="L40" s="60">
        <f>IF(I38&gt;0,L38,L37)</f>
        <v>34400</v>
      </c>
      <c r="N40" s="41"/>
      <c r="O40" s="37"/>
      <c r="P40" s="37"/>
      <c r="Q40" s="37"/>
      <c r="R40" s="60">
        <f>IF(O38&gt;0,R38,R37)</f>
        <v>1100</v>
      </c>
    </row>
  </sheetData>
  <sheetProtection sheet="1"/>
  <mergeCells count="3">
    <mergeCell ref="B6:F6"/>
    <mergeCell ref="H6:L6"/>
    <mergeCell ref="N6:R6"/>
  </mergeCells>
  <pageMargins left="0.7" right="0.7" top="0.75" bottom="0.75" header="0.3" footer="0.3"/>
  <pageSetup paperSize="9" scale="2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J43"/>
  <sheetViews>
    <sheetView showGridLines="0" zoomScaleNormal="100"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ColWidth="3.5703125" defaultRowHeight="15" x14ac:dyDescent="0.25"/>
  <cols>
    <col min="1" max="1" width="7" customWidth="1"/>
    <col min="2" max="2" width="29.5703125" customWidth="1"/>
    <col min="3" max="3" width="16.28515625" customWidth="1"/>
    <col min="4" max="4" width="2.7109375" customWidth="1"/>
    <col min="5" max="5" width="15.28515625" customWidth="1"/>
    <col min="6" max="6" width="11.42578125" customWidth="1"/>
    <col min="7" max="7" width="14.28515625" customWidth="1"/>
    <col min="8" max="8" width="3.5703125" customWidth="1"/>
    <col min="9" max="9" width="13.28515625" customWidth="1"/>
    <col min="10" max="10" width="19.7109375" customWidth="1"/>
    <col min="11" max="14" width="3.5703125" customWidth="1"/>
    <col min="15" max="15" width="11.28515625" customWidth="1"/>
  </cols>
  <sheetData>
    <row r="1" spans="1:10" ht="19.149999999999999" customHeight="1" x14ac:dyDescent="0.25">
      <c r="A1" s="92" t="s">
        <v>156</v>
      </c>
      <c r="B1" s="92"/>
      <c r="C1" s="92"/>
      <c r="D1" s="92"/>
      <c r="E1" s="92"/>
      <c r="F1" s="92"/>
      <c r="G1" s="92"/>
      <c r="H1" s="92"/>
      <c r="I1" s="92"/>
      <c r="J1" s="92"/>
    </row>
    <row r="2" spans="1:10" ht="45" customHeight="1" x14ac:dyDescent="0.25">
      <c r="A2" s="61" t="s">
        <v>148</v>
      </c>
      <c r="B2" s="61" t="s">
        <v>157</v>
      </c>
      <c r="C2" s="61" t="s">
        <v>158</v>
      </c>
      <c r="D2" s="62"/>
      <c r="E2" s="61" t="s">
        <v>159</v>
      </c>
      <c r="F2" s="61" t="s">
        <v>160</v>
      </c>
      <c r="G2" s="61" t="s">
        <v>161</v>
      </c>
      <c r="H2" s="62"/>
      <c r="I2" s="61" t="s">
        <v>162</v>
      </c>
      <c r="J2" s="61" t="s">
        <v>163</v>
      </c>
    </row>
    <row r="3" spans="1:10" x14ac:dyDescent="0.25">
      <c r="A3" s="63">
        <v>1</v>
      </c>
      <c r="B3" s="64"/>
      <c r="C3" s="64"/>
      <c r="D3" s="64"/>
      <c r="E3" s="64"/>
      <c r="F3" s="64"/>
      <c r="G3" s="64"/>
      <c r="H3" s="64"/>
      <c r="I3" s="64"/>
      <c r="J3" s="65">
        <f t="shared" ref="J3:J42" si="0">C3+G3-I3</f>
        <v>0</v>
      </c>
    </row>
    <row r="4" spans="1:10" x14ac:dyDescent="0.25">
      <c r="A4" s="66"/>
      <c r="B4" s="64"/>
      <c r="C4" s="64"/>
      <c r="D4" s="64"/>
      <c r="E4" s="64"/>
      <c r="F4" s="64"/>
      <c r="G4" s="64"/>
      <c r="H4" s="64"/>
      <c r="I4" s="64"/>
      <c r="J4" s="65">
        <f t="shared" si="0"/>
        <v>0</v>
      </c>
    </row>
    <row r="5" spans="1:10" x14ac:dyDescent="0.25">
      <c r="A5" s="66"/>
      <c r="B5" s="64"/>
      <c r="C5" s="64"/>
      <c r="D5" s="64"/>
      <c r="E5" s="64"/>
      <c r="F5" s="64"/>
      <c r="G5" s="64"/>
      <c r="H5" s="64"/>
      <c r="I5" s="64"/>
      <c r="J5" s="65">
        <f t="shared" si="0"/>
        <v>0</v>
      </c>
    </row>
    <row r="6" spans="1:10" x14ac:dyDescent="0.25">
      <c r="A6" s="66"/>
      <c r="B6" s="64"/>
      <c r="C6" s="64"/>
      <c r="D6" s="64"/>
      <c r="E6" s="64"/>
      <c r="F6" s="64"/>
      <c r="G6" s="64"/>
      <c r="H6" s="64"/>
      <c r="I6" s="64"/>
      <c r="J6" s="65">
        <f t="shared" si="0"/>
        <v>0</v>
      </c>
    </row>
    <row r="7" spans="1:10" x14ac:dyDescent="0.25">
      <c r="A7" s="66"/>
      <c r="B7" s="64"/>
      <c r="C7" s="64"/>
      <c r="D7" s="64"/>
      <c r="E7" s="64"/>
      <c r="F7" s="64"/>
      <c r="G7" s="64"/>
      <c r="H7" s="64"/>
      <c r="I7" s="64"/>
      <c r="J7" s="65">
        <f t="shared" si="0"/>
        <v>0</v>
      </c>
    </row>
    <row r="8" spans="1:10" x14ac:dyDescent="0.25">
      <c r="A8" s="66"/>
      <c r="B8" s="64"/>
      <c r="C8" s="64"/>
      <c r="D8" s="64"/>
      <c r="E8" s="64"/>
      <c r="F8" s="64"/>
      <c r="G8" s="64"/>
      <c r="H8" s="64"/>
      <c r="I8" s="64"/>
      <c r="J8" s="65">
        <f t="shared" si="0"/>
        <v>0</v>
      </c>
    </row>
    <row r="9" spans="1:10" x14ac:dyDescent="0.25">
      <c r="A9" s="66"/>
      <c r="B9" s="64"/>
      <c r="C9" s="64"/>
      <c r="D9" s="64"/>
      <c r="E9" s="64"/>
      <c r="F9" s="64"/>
      <c r="G9" s="64"/>
      <c r="H9" s="64"/>
      <c r="I9" s="64"/>
      <c r="J9" s="65">
        <f t="shared" si="0"/>
        <v>0</v>
      </c>
    </row>
    <row r="10" spans="1:10" x14ac:dyDescent="0.25">
      <c r="A10" s="63">
        <v>2</v>
      </c>
      <c r="B10" s="64"/>
      <c r="C10" s="64"/>
      <c r="D10" s="64"/>
      <c r="E10" s="64"/>
      <c r="F10" s="64"/>
      <c r="G10" s="64"/>
      <c r="H10" s="64"/>
      <c r="I10" s="64"/>
      <c r="J10" s="65">
        <f t="shared" si="0"/>
        <v>0</v>
      </c>
    </row>
    <row r="11" spans="1:10" x14ac:dyDescent="0.25">
      <c r="A11" s="66"/>
      <c r="B11" s="64"/>
      <c r="C11" s="64"/>
      <c r="D11" s="64"/>
      <c r="E11" s="64"/>
      <c r="F11" s="64"/>
      <c r="G11" s="64"/>
      <c r="H11" s="64"/>
      <c r="I11" s="64"/>
      <c r="J11" s="65">
        <f t="shared" si="0"/>
        <v>0</v>
      </c>
    </row>
    <row r="12" spans="1:10" x14ac:dyDescent="0.25">
      <c r="A12" s="66"/>
      <c r="B12" s="64"/>
      <c r="C12" s="64"/>
      <c r="D12" s="64"/>
      <c r="E12" s="64"/>
      <c r="F12" s="64"/>
      <c r="G12" s="64"/>
      <c r="H12" s="64"/>
      <c r="I12" s="64"/>
      <c r="J12" s="65">
        <f t="shared" si="0"/>
        <v>0</v>
      </c>
    </row>
    <row r="13" spans="1:10" x14ac:dyDescent="0.25">
      <c r="A13" s="66"/>
      <c r="B13" s="64"/>
      <c r="C13" s="64"/>
      <c r="D13" s="64"/>
      <c r="E13" s="64"/>
      <c r="F13" s="64"/>
      <c r="G13" s="64"/>
      <c r="H13" s="64"/>
      <c r="I13" s="64"/>
      <c r="J13" s="65">
        <f t="shared" si="0"/>
        <v>0</v>
      </c>
    </row>
    <row r="14" spans="1:10" x14ac:dyDescent="0.25">
      <c r="A14" s="66"/>
      <c r="B14" s="64"/>
      <c r="C14" s="64"/>
      <c r="D14" s="64"/>
      <c r="E14" s="64"/>
      <c r="F14" s="64"/>
      <c r="G14" s="64"/>
      <c r="H14" s="64"/>
      <c r="I14" s="64"/>
      <c r="J14" s="65">
        <f t="shared" si="0"/>
        <v>0</v>
      </c>
    </row>
    <row r="15" spans="1:10" x14ac:dyDescent="0.25">
      <c r="A15" s="66"/>
      <c r="B15" s="64"/>
      <c r="C15" s="64"/>
      <c r="D15" s="64"/>
      <c r="E15" s="64"/>
      <c r="F15" s="64"/>
      <c r="G15" s="64"/>
      <c r="H15" s="64"/>
      <c r="I15" s="64"/>
      <c r="J15" s="65">
        <f t="shared" si="0"/>
        <v>0</v>
      </c>
    </row>
    <row r="16" spans="1:10" x14ac:dyDescent="0.25">
      <c r="A16" s="66"/>
      <c r="B16" s="64"/>
      <c r="C16" s="64"/>
      <c r="D16" s="64"/>
      <c r="E16" s="64"/>
      <c r="F16" s="64"/>
      <c r="G16" s="64"/>
      <c r="H16" s="64"/>
      <c r="I16" s="64"/>
      <c r="J16" s="65">
        <f t="shared" si="0"/>
        <v>0</v>
      </c>
    </row>
    <row r="17" spans="1:10" x14ac:dyDescent="0.25">
      <c r="A17" s="63">
        <v>3</v>
      </c>
      <c r="B17" s="64"/>
      <c r="C17" s="64"/>
      <c r="D17" s="64"/>
      <c r="E17" s="64"/>
      <c r="F17" s="64"/>
      <c r="G17" s="64"/>
      <c r="H17" s="64"/>
      <c r="I17" s="64"/>
      <c r="J17" s="65">
        <f t="shared" si="0"/>
        <v>0</v>
      </c>
    </row>
    <row r="18" spans="1:10" x14ac:dyDescent="0.25">
      <c r="A18" s="66"/>
      <c r="B18" s="64"/>
      <c r="C18" s="64"/>
      <c r="D18" s="64"/>
      <c r="E18" s="64"/>
      <c r="F18" s="64"/>
      <c r="G18" s="64"/>
      <c r="H18" s="64"/>
      <c r="I18" s="64"/>
      <c r="J18" s="65">
        <f t="shared" si="0"/>
        <v>0</v>
      </c>
    </row>
    <row r="19" spans="1:10" x14ac:dyDescent="0.25">
      <c r="A19" s="66"/>
      <c r="B19" s="64"/>
      <c r="C19" s="64"/>
      <c r="D19" s="64"/>
      <c r="E19" s="64"/>
      <c r="F19" s="64"/>
      <c r="G19" s="64"/>
      <c r="H19" s="64"/>
      <c r="I19" s="64"/>
      <c r="J19" s="65">
        <f t="shared" si="0"/>
        <v>0</v>
      </c>
    </row>
    <row r="20" spans="1:10" x14ac:dyDescent="0.25">
      <c r="A20" s="66"/>
      <c r="B20" s="64"/>
      <c r="C20" s="64"/>
      <c r="D20" s="64"/>
      <c r="E20" s="64"/>
      <c r="F20" s="64"/>
      <c r="G20" s="64"/>
      <c r="H20" s="64"/>
      <c r="I20" s="64"/>
      <c r="J20" s="65">
        <f t="shared" si="0"/>
        <v>0</v>
      </c>
    </row>
    <row r="21" spans="1:10" x14ac:dyDescent="0.25">
      <c r="A21" s="66"/>
      <c r="B21" s="64"/>
      <c r="C21" s="64"/>
      <c r="D21" s="64"/>
      <c r="E21" s="64"/>
      <c r="F21" s="64"/>
      <c r="G21" s="64"/>
      <c r="H21" s="64"/>
      <c r="I21" s="64"/>
      <c r="J21" s="65">
        <f t="shared" si="0"/>
        <v>0</v>
      </c>
    </row>
    <row r="22" spans="1:10" x14ac:dyDescent="0.25">
      <c r="A22" s="66"/>
      <c r="B22" s="64"/>
      <c r="C22" s="64"/>
      <c r="D22" s="64"/>
      <c r="E22" s="64"/>
      <c r="F22" s="64"/>
      <c r="G22" s="64"/>
      <c r="H22" s="64"/>
      <c r="I22" s="64"/>
      <c r="J22" s="65">
        <f t="shared" si="0"/>
        <v>0</v>
      </c>
    </row>
    <row r="23" spans="1:10" x14ac:dyDescent="0.25">
      <c r="A23" s="66"/>
      <c r="B23" s="64"/>
      <c r="C23" s="64"/>
      <c r="D23" s="64"/>
      <c r="E23" s="64"/>
      <c r="F23" s="64"/>
      <c r="G23" s="64"/>
      <c r="H23" s="64"/>
      <c r="I23" s="64"/>
      <c r="J23" s="65">
        <f t="shared" si="0"/>
        <v>0</v>
      </c>
    </row>
    <row r="24" spans="1:10" x14ac:dyDescent="0.25">
      <c r="A24" s="63">
        <v>4</v>
      </c>
      <c r="B24" s="64"/>
      <c r="C24" s="64"/>
      <c r="D24" s="64"/>
      <c r="E24" s="64"/>
      <c r="F24" s="64"/>
      <c r="G24" s="64"/>
      <c r="H24" s="64"/>
      <c r="I24" s="64"/>
      <c r="J24" s="65">
        <f t="shared" si="0"/>
        <v>0</v>
      </c>
    </row>
    <row r="25" spans="1:10" x14ac:dyDescent="0.25">
      <c r="A25" s="66"/>
      <c r="B25" s="64"/>
      <c r="C25" s="64"/>
      <c r="D25" s="64"/>
      <c r="E25" s="64"/>
      <c r="F25" s="64"/>
      <c r="G25" s="64"/>
      <c r="H25" s="64"/>
      <c r="I25" s="64"/>
      <c r="J25" s="65">
        <f t="shared" si="0"/>
        <v>0</v>
      </c>
    </row>
    <row r="26" spans="1:10" x14ac:dyDescent="0.25">
      <c r="A26" s="66"/>
      <c r="B26" s="64"/>
      <c r="C26" s="64"/>
      <c r="D26" s="64"/>
      <c r="E26" s="64"/>
      <c r="F26" s="64"/>
      <c r="G26" s="64"/>
      <c r="H26" s="64"/>
      <c r="I26" s="64"/>
      <c r="J26" s="65">
        <f t="shared" si="0"/>
        <v>0</v>
      </c>
    </row>
    <row r="27" spans="1:10" x14ac:dyDescent="0.25">
      <c r="A27" s="66"/>
      <c r="B27" s="64"/>
      <c r="C27" s="64"/>
      <c r="D27" s="64"/>
      <c r="E27" s="64"/>
      <c r="F27" s="64"/>
      <c r="G27" s="64"/>
      <c r="H27" s="64"/>
      <c r="I27" s="64"/>
      <c r="J27" s="65">
        <f t="shared" si="0"/>
        <v>0</v>
      </c>
    </row>
    <row r="28" spans="1:10" x14ac:dyDescent="0.25">
      <c r="A28" s="66"/>
      <c r="B28" s="64"/>
      <c r="C28" s="64"/>
      <c r="D28" s="64"/>
      <c r="E28" s="64"/>
      <c r="F28" s="64"/>
      <c r="G28" s="64"/>
      <c r="H28" s="64"/>
      <c r="I28" s="64"/>
      <c r="J28" s="65">
        <f t="shared" si="0"/>
        <v>0</v>
      </c>
    </row>
    <row r="29" spans="1:10" x14ac:dyDescent="0.25">
      <c r="A29" s="66"/>
      <c r="B29" s="64"/>
      <c r="C29" s="64"/>
      <c r="D29" s="64"/>
      <c r="E29" s="64"/>
      <c r="F29" s="64"/>
      <c r="G29" s="64"/>
      <c r="H29" s="64"/>
      <c r="I29" s="64"/>
      <c r="J29" s="65">
        <f t="shared" si="0"/>
        <v>0</v>
      </c>
    </row>
    <row r="30" spans="1:10" x14ac:dyDescent="0.25">
      <c r="A30" s="66"/>
      <c r="B30" s="64"/>
      <c r="C30" s="64"/>
      <c r="D30" s="64"/>
      <c r="E30" s="64"/>
      <c r="F30" s="64"/>
      <c r="G30" s="64"/>
      <c r="H30" s="64"/>
      <c r="I30" s="64"/>
      <c r="J30" s="65">
        <f t="shared" si="0"/>
        <v>0</v>
      </c>
    </row>
    <row r="31" spans="1:10" x14ac:dyDescent="0.25">
      <c r="A31" s="63">
        <v>5</v>
      </c>
      <c r="B31" s="64"/>
      <c r="C31" s="64"/>
      <c r="D31" s="64"/>
      <c r="E31" s="64"/>
      <c r="F31" s="64"/>
      <c r="G31" s="64"/>
      <c r="H31" s="64"/>
      <c r="I31" s="64"/>
      <c r="J31" s="65">
        <f t="shared" si="0"/>
        <v>0</v>
      </c>
    </row>
    <row r="32" spans="1:10" x14ac:dyDescent="0.25">
      <c r="A32" s="66"/>
      <c r="B32" s="64"/>
      <c r="C32" s="64"/>
      <c r="D32" s="64"/>
      <c r="E32" s="64"/>
      <c r="F32" s="64"/>
      <c r="G32" s="64"/>
      <c r="H32" s="64"/>
      <c r="I32" s="64"/>
      <c r="J32" s="65">
        <f t="shared" si="0"/>
        <v>0</v>
      </c>
    </row>
    <row r="33" spans="1:10" x14ac:dyDescent="0.25">
      <c r="A33" s="66"/>
      <c r="B33" s="64"/>
      <c r="C33" s="64"/>
      <c r="D33" s="64"/>
      <c r="E33" s="64"/>
      <c r="F33" s="64"/>
      <c r="G33" s="64"/>
      <c r="H33" s="64"/>
      <c r="I33" s="64"/>
      <c r="J33" s="65">
        <f t="shared" si="0"/>
        <v>0</v>
      </c>
    </row>
    <row r="34" spans="1:10" x14ac:dyDescent="0.25">
      <c r="A34" s="66"/>
      <c r="B34" s="64"/>
      <c r="C34" s="64"/>
      <c r="D34" s="64"/>
      <c r="E34" s="64"/>
      <c r="F34" s="64"/>
      <c r="G34" s="64"/>
      <c r="H34" s="64"/>
      <c r="I34" s="64"/>
      <c r="J34" s="65">
        <f t="shared" si="0"/>
        <v>0</v>
      </c>
    </row>
    <row r="35" spans="1:10" x14ac:dyDescent="0.25">
      <c r="A35" s="66"/>
      <c r="B35" s="64"/>
      <c r="C35" s="64"/>
      <c r="D35" s="64"/>
      <c r="E35" s="64"/>
      <c r="F35" s="64"/>
      <c r="G35" s="64"/>
      <c r="H35" s="64"/>
      <c r="I35" s="64"/>
      <c r="J35" s="65">
        <f t="shared" si="0"/>
        <v>0</v>
      </c>
    </row>
    <row r="36" spans="1:10" x14ac:dyDescent="0.25">
      <c r="A36" s="66"/>
      <c r="B36" s="64"/>
      <c r="C36" s="64"/>
      <c r="D36" s="64"/>
      <c r="E36" s="64"/>
      <c r="F36" s="64"/>
      <c r="G36" s="64"/>
      <c r="H36" s="64"/>
      <c r="I36" s="64"/>
      <c r="J36" s="65">
        <f t="shared" si="0"/>
        <v>0</v>
      </c>
    </row>
    <row r="37" spans="1:10" x14ac:dyDescent="0.25">
      <c r="A37" s="66"/>
      <c r="B37" s="64"/>
      <c r="C37" s="64"/>
      <c r="D37" s="64"/>
      <c r="E37" s="64"/>
      <c r="F37" s="64"/>
      <c r="G37" s="64"/>
      <c r="H37" s="64"/>
      <c r="I37" s="64"/>
      <c r="J37" s="65">
        <f t="shared" si="0"/>
        <v>0</v>
      </c>
    </row>
    <row r="38" spans="1:10" x14ac:dyDescent="0.25">
      <c r="A38" s="63">
        <v>6</v>
      </c>
      <c r="B38" s="64"/>
      <c r="C38" s="64"/>
      <c r="D38" s="64"/>
      <c r="E38" s="64"/>
      <c r="F38" s="64"/>
      <c r="G38" s="64"/>
      <c r="H38" s="64"/>
      <c r="I38" s="64"/>
      <c r="J38" s="65">
        <f t="shared" si="0"/>
        <v>0</v>
      </c>
    </row>
    <row r="39" spans="1:10" x14ac:dyDescent="0.25">
      <c r="A39" s="66"/>
      <c r="B39" s="64"/>
      <c r="C39" s="64"/>
      <c r="D39" s="64"/>
      <c r="E39" s="64"/>
      <c r="F39" s="64"/>
      <c r="G39" s="64"/>
      <c r="H39" s="64"/>
      <c r="I39" s="64"/>
      <c r="J39" s="65">
        <f t="shared" si="0"/>
        <v>0</v>
      </c>
    </row>
    <row r="40" spans="1:10" x14ac:dyDescent="0.25">
      <c r="A40" s="66"/>
      <c r="B40" s="64"/>
      <c r="C40" s="64"/>
      <c r="D40" s="64"/>
      <c r="E40" s="64"/>
      <c r="F40" s="64"/>
      <c r="G40" s="64"/>
      <c r="H40" s="64"/>
      <c r="I40" s="64"/>
      <c r="J40" s="65">
        <f t="shared" si="0"/>
        <v>0</v>
      </c>
    </row>
    <row r="41" spans="1:10" x14ac:dyDescent="0.25">
      <c r="A41" s="66"/>
      <c r="B41" s="64"/>
      <c r="C41" s="64"/>
      <c r="D41" s="64"/>
      <c r="E41" s="64"/>
      <c r="F41" s="64"/>
      <c r="G41" s="64"/>
      <c r="H41" s="64"/>
      <c r="I41" s="64"/>
      <c r="J41" s="65">
        <f t="shared" si="0"/>
        <v>0</v>
      </c>
    </row>
    <row r="42" spans="1:10" x14ac:dyDescent="0.25">
      <c r="A42" s="66"/>
      <c r="B42" s="64"/>
      <c r="C42" s="64"/>
      <c r="D42" s="64"/>
      <c r="E42" s="64"/>
      <c r="F42" s="64"/>
      <c r="G42" s="64"/>
      <c r="H42" s="64"/>
      <c r="I42" s="64"/>
      <c r="J42" s="65">
        <f t="shared" si="0"/>
        <v>0</v>
      </c>
    </row>
    <row r="43" spans="1:10" x14ac:dyDescent="0.25">
      <c r="A43" s="66"/>
      <c r="B43" s="67" t="s">
        <v>146</v>
      </c>
      <c r="C43" s="68">
        <f>SUM(C3:C42)</f>
        <v>0</v>
      </c>
      <c r="D43" s="64"/>
      <c r="E43" s="64"/>
      <c r="F43" s="64"/>
      <c r="G43" s="68">
        <f>SUM(G3:G42)</f>
        <v>0</v>
      </c>
      <c r="H43" s="64"/>
      <c r="I43" s="68">
        <f>SUM(I3:I42)</f>
        <v>0</v>
      </c>
      <c r="J43" s="69">
        <f>SUM(J3:J42)</f>
        <v>0</v>
      </c>
    </row>
  </sheetData>
  <sheetProtection sheet="1"/>
  <mergeCells count="1">
    <mergeCell ref="A1:J1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3:K36"/>
  <sheetViews>
    <sheetView showGridLines="0" zoomScaleNormal="100" workbookViewId="0"/>
  </sheetViews>
  <sheetFormatPr defaultRowHeight="15" x14ac:dyDescent="0.25"/>
  <cols>
    <col min="1" max="1" width="6.28515625" customWidth="1"/>
    <col min="2" max="2" width="8.7109375" customWidth="1"/>
    <col min="3" max="3" width="28" customWidth="1"/>
    <col min="4" max="5" width="8.7109375" customWidth="1"/>
    <col min="6" max="6" width="10.42578125" customWidth="1"/>
    <col min="7" max="7" width="11.5703125" customWidth="1"/>
    <col min="8" max="8" width="8.7109375" customWidth="1"/>
    <col min="9" max="9" width="9.85546875" customWidth="1"/>
    <col min="10" max="10" width="16.5703125" customWidth="1"/>
    <col min="11" max="11" width="8.7109375" customWidth="1"/>
  </cols>
  <sheetData>
    <row r="3" spans="2:11" ht="15.75" customHeight="1" x14ac:dyDescent="0.25">
      <c r="B3" s="93" t="s">
        <v>164</v>
      </c>
      <c r="C3" s="93"/>
      <c r="D3" s="93"/>
      <c r="E3" s="93"/>
      <c r="F3" s="93"/>
      <c r="G3" s="93"/>
      <c r="H3" s="93"/>
      <c r="I3" s="93"/>
      <c r="J3" s="93"/>
    </row>
    <row r="4" spans="2:11" ht="45.75" customHeight="1" x14ac:dyDescent="0.25">
      <c r="B4" s="70" t="s">
        <v>148</v>
      </c>
      <c r="C4" s="71" t="s">
        <v>165</v>
      </c>
      <c r="D4" s="71" t="s">
        <v>166</v>
      </c>
      <c r="E4" s="71" t="s">
        <v>167</v>
      </c>
      <c r="F4" s="71" t="s">
        <v>168</v>
      </c>
      <c r="G4" s="72" t="s">
        <v>169</v>
      </c>
      <c r="H4" s="71" t="s">
        <v>170</v>
      </c>
      <c r="I4" s="71" t="s">
        <v>171</v>
      </c>
      <c r="J4" s="72" t="s">
        <v>172</v>
      </c>
      <c r="K4" s="73" t="s">
        <v>114</v>
      </c>
    </row>
    <row r="5" spans="2:11" x14ac:dyDescent="0.25">
      <c r="B5" s="74">
        <v>1</v>
      </c>
      <c r="C5" s="75" t="s">
        <v>173</v>
      </c>
      <c r="D5" s="76">
        <v>0</v>
      </c>
      <c r="E5" s="77"/>
      <c r="F5" s="77"/>
      <c r="G5" s="78">
        <f t="shared" ref="G5:G29" si="0">E5+F5-H5</f>
        <v>0</v>
      </c>
      <c r="H5" s="77"/>
      <c r="I5" s="79">
        <v>0</v>
      </c>
      <c r="J5" s="80">
        <f t="shared" ref="J5:J25" si="1">G5*I5</f>
        <v>0</v>
      </c>
      <c r="K5" s="81"/>
    </row>
    <row r="6" spans="2:11" x14ac:dyDescent="0.25">
      <c r="B6" s="74">
        <v>2</v>
      </c>
      <c r="C6" s="75" t="s">
        <v>174</v>
      </c>
      <c r="D6" s="76">
        <v>0</v>
      </c>
      <c r="E6" s="77"/>
      <c r="F6" s="77"/>
      <c r="G6" s="78">
        <f t="shared" si="0"/>
        <v>0</v>
      </c>
      <c r="H6" s="77"/>
      <c r="I6" s="79">
        <v>0</v>
      </c>
      <c r="J6" s="80">
        <f t="shared" si="1"/>
        <v>0</v>
      </c>
      <c r="K6" s="81"/>
    </row>
    <row r="7" spans="2:11" x14ac:dyDescent="0.25">
      <c r="B7" s="74">
        <v>3</v>
      </c>
      <c r="C7" s="75" t="s">
        <v>175</v>
      </c>
      <c r="D7" s="76">
        <v>0</v>
      </c>
      <c r="E7" s="77"/>
      <c r="F7" s="77"/>
      <c r="G7" s="78">
        <f t="shared" si="0"/>
        <v>0</v>
      </c>
      <c r="H7" s="77"/>
      <c r="I7" s="79">
        <v>0</v>
      </c>
      <c r="J7" s="80">
        <f t="shared" si="1"/>
        <v>0</v>
      </c>
      <c r="K7" s="81"/>
    </row>
    <row r="8" spans="2:11" x14ac:dyDescent="0.25">
      <c r="B8" s="74">
        <v>4</v>
      </c>
      <c r="C8" s="75" t="s">
        <v>176</v>
      </c>
      <c r="D8" s="76">
        <v>0</v>
      </c>
      <c r="E8" s="77"/>
      <c r="F8" s="77"/>
      <c r="G8" s="78">
        <f t="shared" si="0"/>
        <v>0</v>
      </c>
      <c r="H8" s="77"/>
      <c r="I8" s="79">
        <v>0</v>
      </c>
      <c r="J8" s="80">
        <f t="shared" si="1"/>
        <v>0</v>
      </c>
      <c r="K8" s="81"/>
    </row>
    <row r="9" spans="2:11" x14ac:dyDescent="0.25">
      <c r="B9" s="74">
        <v>5</v>
      </c>
      <c r="C9" s="75" t="s">
        <v>177</v>
      </c>
      <c r="D9" s="76">
        <v>0</v>
      </c>
      <c r="E9" s="77"/>
      <c r="F9" s="77"/>
      <c r="G9" s="78">
        <f t="shared" si="0"/>
        <v>0</v>
      </c>
      <c r="H9" s="77"/>
      <c r="I9" s="79">
        <v>0</v>
      </c>
      <c r="J9" s="80">
        <f t="shared" si="1"/>
        <v>0</v>
      </c>
      <c r="K9" s="81"/>
    </row>
    <row r="10" spans="2:11" x14ac:dyDescent="0.25">
      <c r="B10" s="74">
        <v>6</v>
      </c>
      <c r="C10" s="75" t="s">
        <v>178</v>
      </c>
      <c r="D10" s="76">
        <v>0</v>
      </c>
      <c r="E10" s="77"/>
      <c r="F10" s="77"/>
      <c r="G10" s="78">
        <f t="shared" si="0"/>
        <v>0</v>
      </c>
      <c r="H10" s="77"/>
      <c r="I10" s="79">
        <v>0</v>
      </c>
      <c r="J10" s="80">
        <f t="shared" si="1"/>
        <v>0</v>
      </c>
      <c r="K10" s="81"/>
    </row>
    <row r="11" spans="2:11" x14ac:dyDescent="0.25">
      <c r="B11" s="74">
        <v>7</v>
      </c>
      <c r="C11" s="75" t="s">
        <v>179</v>
      </c>
      <c r="D11" s="76">
        <v>0</v>
      </c>
      <c r="E11" s="77"/>
      <c r="F11" s="77"/>
      <c r="G11" s="78">
        <f t="shared" si="0"/>
        <v>0</v>
      </c>
      <c r="H11" s="77"/>
      <c r="I11" s="79">
        <v>0</v>
      </c>
      <c r="J11" s="80">
        <f t="shared" si="1"/>
        <v>0</v>
      </c>
      <c r="K11" s="81"/>
    </row>
    <row r="12" spans="2:11" x14ac:dyDescent="0.25">
      <c r="B12" s="74">
        <v>8</v>
      </c>
      <c r="C12" s="75" t="s">
        <v>180</v>
      </c>
      <c r="D12" s="76">
        <v>0</v>
      </c>
      <c r="E12" s="77"/>
      <c r="F12" s="77"/>
      <c r="G12" s="78">
        <f t="shared" si="0"/>
        <v>0</v>
      </c>
      <c r="H12" s="77"/>
      <c r="I12" s="79">
        <v>0</v>
      </c>
      <c r="J12" s="80">
        <f t="shared" si="1"/>
        <v>0</v>
      </c>
      <c r="K12" s="81"/>
    </row>
    <row r="13" spans="2:11" x14ac:dyDescent="0.25">
      <c r="B13" s="74">
        <v>9</v>
      </c>
      <c r="C13" s="75" t="s">
        <v>181</v>
      </c>
      <c r="D13" s="76">
        <v>0</v>
      </c>
      <c r="E13" s="77"/>
      <c r="F13" s="77"/>
      <c r="G13" s="78">
        <f t="shared" si="0"/>
        <v>0</v>
      </c>
      <c r="H13" s="77"/>
      <c r="I13" s="79">
        <v>0</v>
      </c>
      <c r="J13" s="80">
        <f t="shared" si="1"/>
        <v>0</v>
      </c>
      <c r="K13" s="81"/>
    </row>
    <row r="14" spans="2:11" x14ac:dyDescent="0.25">
      <c r="B14" s="74">
        <v>10</v>
      </c>
      <c r="C14" s="75" t="s">
        <v>182</v>
      </c>
      <c r="D14" s="76">
        <v>0</v>
      </c>
      <c r="E14" s="77"/>
      <c r="F14" s="77"/>
      <c r="G14" s="78">
        <f t="shared" si="0"/>
        <v>0</v>
      </c>
      <c r="H14" s="77"/>
      <c r="I14" s="79">
        <v>0</v>
      </c>
      <c r="J14" s="80">
        <f t="shared" si="1"/>
        <v>0</v>
      </c>
      <c r="K14" s="81"/>
    </row>
    <row r="15" spans="2:11" x14ac:dyDescent="0.25">
      <c r="B15" s="74">
        <v>11</v>
      </c>
      <c r="C15" s="75" t="s">
        <v>183</v>
      </c>
      <c r="D15" s="76">
        <v>0</v>
      </c>
      <c r="E15" s="77"/>
      <c r="F15" s="77"/>
      <c r="G15" s="78">
        <f t="shared" si="0"/>
        <v>0</v>
      </c>
      <c r="H15" s="77"/>
      <c r="I15" s="79">
        <v>0</v>
      </c>
      <c r="J15" s="80">
        <f t="shared" si="1"/>
        <v>0</v>
      </c>
      <c r="K15" s="81"/>
    </row>
    <row r="16" spans="2:11" x14ac:dyDescent="0.25">
      <c r="B16" s="74">
        <v>12</v>
      </c>
      <c r="C16" s="75" t="s">
        <v>184</v>
      </c>
      <c r="D16" s="76">
        <v>0</v>
      </c>
      <c r="E16" s="77"/>
      <c r="F16" s="77"/>
      <c r="G16" s="78">
        <f t="shared" si="0"/>
        <v>0</v>
      </c>
      <c r="H16" s="77"/>
      <c r="I16" s="79">
        <v>0</v>
      </c>
      <c r="J16" s="80">
        <f t="shared" si="1"/>
        <v>0</v>
      </c>
      <c r="K16" s="81"/>
    </row>
    <row r="17" spans="2:11" x14ac:dyDescent="0.25">
      <c r="B17" s="74">
        <v>13</v>
      </c>
      <c r="C17" s="75" t="s">
        <v>185</v>
      </c>
      <c r="D17" s="76">
        <v>0</v>
      </c>
      <c r="E17" s="77"/>
      <c r="F17" s="77"/>
      <c r="G17" s="78">
        <f t="shared" si="0"/>
        <v>0</v>
      </c>
      <c r="H17" s="77"/>
      <c r="I17" s="79">
        <v>0</v>
      </c>
      <c r="J17" s="80">
        <f t="shared" si="1"/>
        <v>0</v>
      </c>
      <c r="K17" s="81"/>
    </row>
    <row r="18" spans="2:11" x14ac:dyDescent="0.25">
      <c r="B18" s="74">
        <v>14</v>
      </c>
      <c r="C18" s="75" t="s">
        <v>186</v>
      </c>
      <c r="D18" s="76">
        <v>0</v>
      </c>
      <c r="E18" s="77"/>
      <c r="F18" s="77"/>
      <c r="G18" s="78">
        <f t="shared" si="0"/>
        <v>0</v>
      </c>
      <c r="H18" s="77"/>
      <c r="I18" s="79">
        <v>0</v>
      </c>
      <c r="J18" s="80">
        <f t="shared" si="1"/>
        <v>0</v>
      </c>
      <c r="K18" s="81"/>
    </row>
    <row r="19" spans="2:11" x14ac:dyDescent="0.25">
      <c r="B19" s="74">
        <v>15</v>
      </c>
      <c r="C19" s="75" t="s">
        <v>187</v>
      </c>
      <c r="D19" s="76">
        <v>0</v>
      </c>
      <c r="E19" s="77"/>
      <c r="F19" s="77"/>
      <c r="G19" s="78">
        <f t="shared" si="0"/>
        <v>0</v>
      </c>
      <c r="H19" s="77"/>
      <c r="I19" s="79">
        <v>0</v>
      </c>
      <c r="J19" s="80">
        <f t="shared" si="1"/>
        <v>0</v>
      </c>
      <c r="K19" s="81"/>
    </row>
    <row r="20" spans="2:11" x14ac:dyDescent="0.25">
      <c r="B20" s="74">
        <v>16</v>
      </c>
      <c r="C20" s="75" t="s">
        <v>188</v>
      </c>
      <c r="D20" s="76">
        <v>0</v>
      </c>
      <c r="E20" s="77"/>
      <c r="F20" s="77"/>
      <c r="G20" s="78">
        <f t="shared" si="0"/>
        <v>0</v>
      </c>
      <c r="H20" s="77"/>
      <c r="I20" s="79">
        <v>0</v>
      </c>
      <c r="J20" s="80">
        <f t="shared" si="1"/>
        <v>0</v>
      </c>
      <c r="K20" s="81"/>
    </row>
    <row r="21" spans="2:11" x14ac:dyDescent="0.25">
      <c r="B21" s="74">
        <v>17</v>
      </c>
      <c r="C21" s="75" t="s">
        <v>189</v>
      </c>
      <c r="D21" s="76">
        <v>0</v>
      </c>
      <c r="E21" s="77"/>
      <c r="F21" s="77"/>
      <c r="G21" s="78">
        <f t="shared" si="0"/>
        <v>0</v>
      </c>
      <c r="H21" s="77"/>
      <c r="I21" s="79">
        <v>0</v>
      </c>
      <c r="J21" s="80">
        <f t="shared" si="1"/>
        <v>0</v>
      </c>
      <c r="K21" s="81"/>
    </row>
    <row r="22" spans="2:11" x14ac:dyDescent="0.25">
      <c r="B22" s="74">
        <v>18</v>
      </c>
      <c r="C22" s="75" t="s">
        <v>190</v>
      </c>
      <c r="D22" s="76">
        <v>0</v>
      </c>
      <c r="E22" s="77"/>
      <c r="F22" s="77"/>
      <c r="G22" s="78">
        <f t="shared" si="0"/>
        <v>0</v>
      </c>
      <c r="H22" s="77"/>
      <c r="I22" s="79">
        <v>0</v>
      </c>
      <c r="J22" s="80">
        <f t="shared" si="1"/>
        <v>0</v>
      </c>
      <c r="K22" s="81"/>
    </row>
    <row r="23" spans="2:11" x14ac:dyDescent="0.25">
      <c r="B23" s="74">
        <v>19</v>
      </c>
      <c r="C23" s="75" t="s">
        <v>191</v>
      </c>
      <c r="D23" s="76">
        <v>0</v>
      </c>
      <c r="E23" s="77"/>
      <c r="F23" s="77"/>
      <c r="G23" s="78">
        <f t="shared" si="0"/>
        <v>0</v>
      </c>
      <c r="H23" s="77"/>
      <c r="I23" s="79">
        <v>0</v>
      </c>
      <c r="J23" s="80">
        <f t="shared" si="1"/>
        <v>0</v>
      </c>
      <c r="K23" s="81"/>
    </row>
    <row r="24" spans="2:11" x14ac:dyDescent="0.25">
      <c r="B24" s="74">
        <v>20</v>
      </c>
      <c r="C24" s="75" t="s">
        <v>192</v>
      </c>
      <c r="D24" s="76">
        <v>0</v>
      </c>
      <c r="E24" s="77"/>
      <c r="F24" s="77"/>
      <c r="G24" s="78">
        <f t="shared" si="0"/>
        <v>0</v>
      </c>
      <c r="H24" s="77"/>
      <c r="I24" s="79">
        <v>0</v>
      </c>
      <c r="J24" s="80">
        <f t="shared" si="1"/>
        <v>0</v>
      </c>
      <c r="K24" s="81"/>
    </row>
    <row r="25" spans="2:11" x14ac:dyDescent="0.25">
      <c r="B25" s="74">
        <v>21</v>
      </c>
      <c r="C25" s="75" t="s">
        <v>193</v>
      </c>
      <c r="D25" s="76">
        <v>0</v>
      </c>
      <c r="E25" s="77"/>
      <c r="F25" s="77"/>
      <c r="G25" s="78">
        <f t="shared" si="0"/>
        <v>0</v>
      </c>
      <c r="H25" s="77"/>
      <c r="I25" s="79">
        <v>0</v>
      </c>
      <c r="J25" s="80">
        <f t="shared" si="1"/>
        <v>0</v>
      </c>
      <c r="K25" s="81"/>
    </row>
    <row r="26" spans="2:11" x14ac:dyDescent="0.25">
      <c r="B26" s="82"/>
      <c r="C26" s="77"/>
      <c r="D26" s="77"/>
      <c r="E26" s="77"/>
      <c r="F26" s="77"/>
      <c r="G26" s="78">
        <f t="shared" si="0"/>
        <v>0</v>
      </c>
      <c r="H26" s="77"/>
      <c r="I26" s="77"/>
      <c r="J26" s="77"/>
      <c r="K26" s="81"/>
    </row>
    <row r="27" spans="2:11" x14ac:dyDescent="0.25">
      <c r="B27" s="82"/>
      <c r="C27" s="77"/>
      <c r="D27" s="77"/>
      <c r="E27" s="77"/>
      <c r="F27" s="77"/>
      <c r="G27" s="78">
        <f t="shared" si="0"/>
        <v>0</v>
      </c>
      <c r="H27" s="77"/>
      <c r="I27" s="77"/>
      <c r="J27" s="77"/>
      <c r="K27" s="81"/>
    </row>
    <row r="28" spans="2:11" x14ac:dyDescent="0.25">
      <c r="B28" s="82"/>
      <c r="C28" s="77"/>
      <c r="D28" s="77"/>
      <c r="E28" s="77"/>
      <c r="F28" s="77"/>
      <c r="G28" s="78">
        <f t="shared" si="0"/>
        <v>0</v>
      </c>
      <c r="H28" s="77"/>
      <c r="I28" s="77"/>
      <c r="J28" s="77"/>
      <c r="K28" s="81"/>
    </row>
    <row r="29" spans="2:11" x14ac:dyDescent="0.25">
      <c r="B29" s="82"/>
      <c r="C29" s="77"/>
      <c r="D29" s="77"/>
      <c r="E29" s="77"/>
      <c r="F29" s="77"/>
      <c r="G29" s="78">
        <f t="shared" si="0"/>
        <v>0</v>
      </c>
      <c r="H29" s="77"/>
      <c r="I29" s="77"/>
      <c r="J29" s="77"/>
      <c r="K29" s="81"/>
    </row>
    <row r="30" spans="2:11" x14ac:dyDescent="0.25">
      <c r="B30" s="82"/>
      <c r="C30" s="77"/>
      <c r="D30" s="77"/>
      <c r="E30" s="83">
        <f>SUM(E5:E29)</f>
        <v>0</v>
      </c>
      <c r="F30" s="83">
        <f>SUM(F5:F29)</f>
        <v>0</v>
      </c>
      <c r="G30" s="84">
        <f>SUM(G5:G29)</f>
        <v>0</v>
      </c>
      <c r="H30" s="83">
        <f>SUM(H5:H29)</f>
        <v>0</v>
      </c>
      <c r="I30" s="85" t="s">
        <v>146</v>
      </c>
      <c r="J30" s="86">
        <f>SUM(J5:J29)</f>
        <v>0</v>
      </c>
      <c r="K30" s="81"/>
    </row>
    <row r="31" spans="2:11" x14ac:dyDescent="0.25">
      <c r="B31" s="82"/>
      <c r="C31" s="77"/>
      <c r="D31" s="77"/>
      <c r="E31" s="77"/>
      <c r="F31" s="77"/>
      <c r="G31" s="77"/>
      <c r="H31" s="77"/>
      <c r="I31" s="75" t="s">
        <v>194</v>
      </c>
      <c r="J31" s="77"/>
      <c r="K31" s="81"/>
    </row>
    <row r="32" spans="2:11" x14ac:dyDescent="0.25">
      <c r="B32" s="82"/>
      <c r="C32" s="77"/>
      <c r="D32" s="77"/>
      <c r="E32" s="77"/>
      <c r="F32" s="77"/>
      <c r="G32" s="77"/>
      <c r="H32" s="77"/>
      <c r="I32" s="75" t="s">
        <v>194</v>
      </c>
      <c r="J32" s="77"/>
      <c r="K32" s="81"/>
    </row>
    <row r="33" spans="2:11" x14ac:dyDescent="0.25">
      <c r="B33" s="82"/>
      <c r="C33" s="77"/>
      <c r="D33" s="77"/>
      <c r="E33" s="77"/>
      <c r="F33" s="77"/>
      <c r="G33" s="77"/>
      <c r="H33" s="77"/>
      <c r="I33" s="75" t="s">
        <v>194</v>
      </c>
      <c r="J33" s="77"/>
      <c r="K33" s="81"/>
    </row>
    <row r="34" spans="2:11" x14ac:dyDescent="0.25">
      <c r="B34" s="82"/>
      <c r="C34" s="77"/>
      <c r="D34" s="77"/>
      <c r="E34" s="77"/>
      <c r="F34" s="77"/>
      <c r="G34" s="77"/>
      <c r="H34" s="77"/>
      <c r="I34" s="75" t="s">
        <v>194</v>
      </c>
      <c r="J34" s="77"/>
      <c r="K34" s="81"/>
    </row>
    <row r="35" spans="2:11" x14ac:dyDescent="0.25">
      <c r="B35" s="82"/>
      <c r="C35" s="77"/>
      <c r="D35" s="77"/>
      <c r="E35" s="77"/>
      <c r="F35" s="77"/>
      <c r="G35" s="77"/>
      <c r="H35" s="77"/>
      <c r="I35" s="75" t="s">
        <v>194</v>
      </c>
      <c r="J35" s="77"/>
      <c r="K35" s="81"/>
    </row>
    <row r="36" spans="2:11" ht="18.75" customHeight="1" x14ac:dyDescent="0.25">
      <c r="B36" s="82"/>
      <c r="C36" s="77"/>
      <c r="D36" s="77"/>
      <c r="E36" s="77"/>
      <c r="F36" s="77"/>
      <c r="G36" s="77"/>
      <c r="H36" s="77"/>
      <c r="I36" s="77"/>
      <c r="J36" s="86">
        <f>J30-SUM(J31:J35)</f>
        <v>0</v>
      </c>
      <c r="K36" s="81"/>
    </row>
  </sheetData>
  <sheetProtection sheet="1"/>
  <mergeCells count="1">
    <mergeCell ref="B3:J3"/>
  </mergeCell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:V108"/>
  <sheetViews>
    <sheetView view="pageBreakPreview" zoomScale="89" zoomScaleNormal="100" workbookViewId="0">
      <pane xSplit="2" ySplit="8" topLeftCell="G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6.7109375" customWidth="1"/>
    <col min="2" max="2" width="14.28515625" customWidth="1"/>
    <col min="3" max="3" width="17.42578125" customWidth="1"/>
    <col min="4" max="4" width="4.28515625" customWidth="1"/>
    <col min="5" max="5" width="14.5703125" customWidth="1"/>
    <col min="6" max="6" width="3.28515625" customWidth="1"/>
    <col min="7" max="7" width="14.28515625" customWidth="1"/>
    <col min="8" max="8" width="3" customWidth="1"/>
    <col min="9" max="9" width="15.28515625" customWidth="1"/>
    <col min="10" max="11" width="13.42578125" customWidth="1"/>
    <col min="12" max="13" width="14.7109375" customWidth="1"/>
    <col min="14" max="14" width="16.7109375" customWidth="1"/>
    <col min="15" max="15" width="17.7109375" customWidth="1"/>
    <col min="16" max="16" width="14.28515625" customWidth="1"/>
    <col min="17" max="17" width="16.7109375" customWidth="1"/>
    <col min="18" max="18" width="12.28515625" customWidth="1"/>
    <col min="19" max="19" width="24.42578125" customWidth="1"/>
    <col min="20" max="20" width="22.28515625" customWidth="1"/>
    <col min="21" max="21" width="10.28515625" customWidth="1"/>
    <col min="22" max="22" width="19.7109375" customWidth="1"/>
  </cols>
  <sheetData>
    <row r="2" spans="2:22" x14ac:dyDescent="0.25">
      <c r="B2" s="28" t="s">
        <v>90</v>
      </c>
    </row>
    <row r="3" spans="2:22" x14ac:dyDescent="0.25">
      <c r="B3" s="28" t="s">
        <v>195</v>
      </c>
    </row>
    <row r="4" spans="2:22" x14ac:dyDescent="0.25">
      <c r="B4" s="28" t="s">
        <v>92</v>
      </c>
    </row>
    <row r="7" spans="2:22" x14ac:dyDescent="0.25">
      <c r="B7" s="29" t="s">
        <v>95</v>
      </c>
      <c r="C7" s="30" t="s">
        <v>96</v>
      </c>
      <c r="D7" s="31"/>
      <c r="E7" s="30" t="s">
        <v>97</v>
      </c>
      <c r="F7" s="31"/>
      <c r="G7" s="30" t="s">
        <v>98</v>
      </c>
      <c r="H7" s="31"/>
      <c r="I7" s="89" t="s">
        <v>99</v>
      </c>
      <c r="J7" s="89"/>
      <c r="K7" s="89"/>
      <c r="L7" s="89"/>
      <c r="M7" s="89"/>
      <c r="N7" s="89"/>
      <c r="O7" s="89"/>
      <c r="P7" s="30" t="s">
        <v>100</v>
      </c>
      <c r="Q7" s="30" t="s">
        <v>101</v>
      </c>
      <c r="R7" s="30" t="s">
        <v>102</v>
      </c>
      <c r="S7" s="30" t="s">
        <v>103</v>
      </c>
      <c r="T7" s="30" t="s">
        <v>104</v>
      </c>
      <c r="U7" s="30" t="s">
        <v>105</v>
      </c>
      <c r="V7" s="32" t="s">
        <v>106</v>
      </c>
    </row>
    <row r="8" spans="2:22" x14ac:dyDescent="0.25">
      <c r="B8" s="33"/>
      <c r="C8" s="31"/>
      <c r="D8" s="31"/>
      <c r="E8" s="31"/>
      <c r="F8" s="31"/>
      <c r="G8" s="31"/>
      <c r="H8" s="31"/>
      <c r="I8" s="30" t="s">
        <v>196</v>
      </c>
      <c r="J8" s="30" t="s">
        <v>197</v>
      </c>
      <c r="K8" s="30" t="s">
        <v>198</v>
      </c>
      <c r="L8" s="30" t="s">
        <v>199</v>
      </c>
      <c r="M8" s="30" t="s">
        <v>200</v>
      </c>
      <c r="N8" s="30" t="s">
        <v>201</v>
      </c>
      <c r="O8" s="30" t="s">
        <v>202</v>
      </c>
      <c r="P8" s="31"/>
      <c r="Q8" s="31"/>
      <c r="R8" s="31"/>
      <c r="S8" s="31"/>
      <c r="T8" s="31"/>
      <c r="U8" s="31"/>
      <c r="V8" s="34"/>
    </row>
    <row r="10" spans="2:22" x14ac:dyDescent="0.25">
      <c r="B10" s="41"/>
      <c r="C10" s="36">
        <f t="shared" ref="C10:C41" si="0">E10+G10+P10</f>
        <v>0</v>
      </c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40"/>
    </row>
    <row r="11" spans="2:22" x14ac:dyDescent="0.25">
      <c r="B11" s="41"/>
      <c r="C11" s="36">
        <f t="shared" si="0"/>
        <v>0</v>
      </c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40"/>
    </row>
    <row r="12" spans="2:22" x14ac:dyDescent="0.25">
      <c r="B12" s="41"/>
      <c r="C12" s="36">
        <f t="shared" si="0"/>
        <v>0</v>
      </c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40"/>
    </row>
    <row r="13" spans="2:22" x14ac:dyDescent="0.25">
      <c r="B13" s="41"/>
      <c r="C13" s="36">
        <f t="shared" si="0"/>
        <v>0</v>
      </c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40"/>
    </row>
    <row r="14" spans="2:22" x14ac:dyDescent="0.25">
      <c r="B14" s="41"/>
      <c r="C14" s="36">
        <f t="shared" si="0"/>
        <v>0</v>
      </c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40"/>
    </row>
    <row r="15" spans="2:22" x14ac:dyDescent="0.25">
      <c r="B15" s="41"/>
      <c r="C15" s="36">
        <f t="shared" si="0"/>
        <v>0</v>
      </c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40"/>
    </row>
    <row r="16" spans="2:22" x14ac:dyDescent="0.25">
      <c r="B16" s="41"/>
      <c r="C16" s="36">
        <f t="shared" si="0"/>
        <v>0</v>
      </c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40"/>
    </row>
    <row r="17" spans="2:22" x14ac:dyDescent="0.25">
      <c r="B17" s="41"/>
      <c r="C17" s="36">
        <f t="shared" si="0"/>
        <v>0</v>
      </c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40"/>
    </row>
    <row r="18" spans="2:22" x14ac:dyDescent="0.25">
      <c r="B18" s="41"/>
      <c r="C18" s="36">
        <f t="shared" si="0"/>
        <v>0</v>
      </c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40"/>
    </row>
    <row r="19" spans="2:22" x14ac:dyDescent="0.25">
      <c r="B19" s="41"/>
      <c r="C19" s="36">
        <f t="shared" si="0"/>
        <v>0</v>
      </c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40"/>
    </row>
    <row r="20" spans="2:22" x14ac:dyDescent="0.25">
      <c r="B20" s="41"/>
      <c r="C20" s="36">
        <f t="shared" si="0"/>
        <v>0</v>
      </c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40"/>
    </row>
    <row r="21" spans="2:22" x14ac:dyDescent="0.25">
      <c r="B21" s="41"/>
      <c r="C21" s="36">
        <f t="shared" si="0"/>
        <v>0</v>
      </c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40"/>
    </row>
    <row r="22" spans="2:22" x14ac:dyDescent="0.25">
      <c r="B22" s="41"/>
      <c r="C22" s="36">
        <f t="shared" si="0"/>
        <v>0</v>
      </c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40"/>
    </row>
    <row r="23" spans="2:22" x14ac:dyDescent="0.25">
      <c r="B23" s="41"/>
      <c r="C23" s="36">
        <f t="shared" si="0"/>
        <v>0</v>
      </c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40"/>
    </row>
    <row r="24" spans="2:22" x14ac:dyDescent="0.25">
      <c r="B24" s="41"/>
      <c r="C24" s="36">
        <f t="shared" si="0"/>
        <v>0</v>
      </c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40"/>
    </row>
    <row r="25" spans="2:22" x14ac:dyDescent="0.25">
      <c r="B25" s="41"/>
      <c r="C25" s="36">
        <f t="shared" si="0"/>
        <v>0</v>
      </c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40"/>
    </row>
    <row r="26" spans="2:22" x14ac:dyDescent="0.25">
      <c r="B26" s="41"/>
      <c r="C26" s="36">
        <f t="shared" si="0"/>
        <v>0</v>
      </c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40"/>
    </row>
    <row r="27" spans="2:22" x14ac:dyDescent="0.25">
      <c r="B27" s="41"/>
      <c r="C27" s="36">
        <f t="shared" si="0"/>
        <v>0</v>
      </c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40"/>
    </row>
    <row r="28" spans="2:22" x14ac:dyDescent="0.25">
      <c r="B28" s="41"/>
      <c r="C28" s="36">
        <f t="shared" si="0"/>
        <v>0</v>
      </c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40"/>
    </row>
    <row r="29" spans="2:22" x14ac:dyDescent="0.25">
      <c r="B29" s="41"/>
      <c r="C29" s="36">
        <f t="shared" si="0"/>
        <v>0</v>
      </c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40"/>
    </row>
    <row r="30" spans="2:22" x14ac:dyDescent="0.25">
      <c r="B30" s="41"/>
      <c r="C30" s="36">
        <f t="shared" si="0"/>
        <v>0</v>
      </c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40"/>
    </row>
    <row r="31" spans="2:22" x14ac:dyDescent="0.25">
      <c r="B31" s="41"/>
      <c r="C31" s="36">
        <f t="shared" si="0"/>
        <v>0</v>
      </c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40"/>
    </row>
    <row r="32" spans="2:22" x14ac:dyDescent="0.25">
      <c r="B32" s="41"/>
      <c r="C32" s="36">
        <f t="shared" si="0"/>
        <v>0</v>
      </c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40"/>
    </row>
    <row r="33" spans="2:22" x14ac:dyDescent="0.25">
      <c r="B33" s="41"/>
      <c r="C33" s="36">
        <f t="shared" si="0"/>
        <v>0</v>
      </c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40"/>
    </row>
    <row r="34" spans="2:22" x14ac:dyDescent="0.25">
      <c r="B34" s="41"/>
      <c r="C34" s="36">
        <f t="shared" si="0"/>
        <v>0</v>
      </c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40"/>
    </row>
    <row r="35" spans="2:22" x14ac:dyDescent="0.25">
      <c r="B35" s="41"/>
      <c r="C35" s="36">
        <f t="shared" si="0"/>
        <v>0</v>
      </c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40"/>
    </row>
    <row r="36" spans="2:22" x14ac:dyDescent="0.25">
      <c r="B36" s="41"/>
      <c r="C36" s="36">
        <f t="shared" si="0"/>
        <v>0</v>
      </c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40"/>
    </row>
    <row r="37" spans="2:22" x14ac:dyDescent="0.25">
      <c r="B37" s="41"/>
      <c r="C37" s="36">
        <f t="shared" si="0"/>
        <v>0</v>
      </c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40"/>
    </row>
    <row r="38" spans="2:22" x14ac:dyDescent="0.25">
      <c r="B38" s="41"/>
      <c r="C38" s="36">
        <f t="shared" si="0"/>
        <v>0</v>
      </c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40"/>
    </row>
    <row r="39" spans="2:22" x14ac:dyDescent="0.25">
      <c r="B39" s="41"/>
      <c r="C39" s="36">
        <f t="shared" si="0"/>
        <v>0</v>
      </c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40"/>
    </row>
    <row r="40" spans="2:22" x14ac:dyDescent="0.25">
      <c r="B40" s="41"/>
      <c r="C40" s="36">
        <f t="shared" si="0"/>
        <v>0</v>
      </c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40"/>
    </row>
    <row r="41" spans="2:22" x14ac:dyDescent="0.25">
      <c r="B41" s="41"/>
      <c r="C41" s="36">
        <f t="shared" si="0"/>
        <v>0</v>
      </c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40"/>
    </row>
    <row r="42" spans="2:22" x14ac:dyDescent="0.25">
      <c r="B42" s="41"/>
      <c r="C42" s="36">
        <f t="shared" ref="C42:C73" si="1">E42+G42+P42</f>
        <v>0</v>
      </c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40"/>
    </row>
    <row r="43" spans="2:22" x14ac:dyDescent="0.25">
      <c r="B43" s="41"/>
      <c r="C43" s="36">
        <f t="shared" si="1"/>
        <v>0</v>
      </c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40"/>
    </row>
    <row r="44" spans="2:22" x14ac:dyDescent="0.25">
      <c r="B44" s="41"/>
      <c r="C44" s="36">
        <f t="shared" si="1"/>
        <v>0</v>
      </c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40"/>
    </row>
    <row r="45" spans="2:22" x14ac:dyDescent="0.25">
      <c r="B45" s="41"/>
      <c r="C45" s="36">
        <f t="shared" si="1"/>
        <v>0</v>
      </c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40"/>
    </row>
    <row r="46" spans="2:22" x14ac:dyDescent="0.25">
      <c r="B46" s="41"/>
      <c r="C46" s="36">
        <f t="shared" si="1"/>
        <v>0</v>
      </c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40"/>
    </row>
    <row r="47" spans="2:22" x14ac:dyDescent="0.25">
      <c r="B47" s="41"/>
      <c r="C47" s="36">
        <f t="shared" si="1"/>
        <v>0</v>
      </c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40"/>
    </row>
    <row r="48" spans="2:22" x14ac:dyDescent="0.25">
      <c r="B48" s="41"/>
      <c r="C48" s="36">
        <f t="shared" si="1"/>
        <v>0</v>
      </c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40"/>
    </row>
    <row r="49" spans="2:22" x14ac:dyDescent="0.25">
      <c r="B49" s="41"/>
      <c r="C49" s="36">
        <f t="shared" si="1"/>
        <v>0</v>
      </c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40"/>
    </row>
    <row r="50" spans="2:22" x14ac:dyDescent="0.25">
      <c r="B50" s="41"/>
      <c r="C50" s="36">
        <f t="shared" si="1"/>
        <v>0</v>
      </c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40"/>
    </row>
    <row r="51" spans="2:22" x14ac:dyDescent="0.25">
      <c r="B51" s="41"/>
      <c r="C51" s="36">
        <f t="shared" si="1"/>
        <v>0</v>
      </c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40"/>
    </row>
    <row r="52" spans="2:22" x14ac:dyDescent="0.25">
      <c r="B52" s="41"/>
      <c r="C52" s="36">
        <f t="shared" si="1"/>
        <v>0</v>
      </c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40"/>
    </row>
    <row r="53" spans="2:22" x14ac:dyDescent="0.25">
      <c r="B53" s="41"/>
      <c r="C53" s="36">
        <f t="shared" si="1"/>
        <v>0</v>
      </c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40"/>
    </row>
    <row r="54" spans="2:22" x14ac:dyDescent="0.25">
      <c r="B54" s="41"/>
      <c r="C54" s="36">
        <f t="shared" si="1"/>
        <v>0</v>
      </c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40"/>
    </row>
    <row r="55" spans="2:22" x14ac:dyDescent="0.25">
      <c r="B55" s="41"/>
      <c r="C55" s="36">
        <f t="shared" si="1"/>
        <v>0</v>
      </c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40"/>
    </row>
    <row r="56" spans="2:22" x14ac:dyDescent="0.25">
      <c r="B56" s="41"/>
      <c r="C56" s="36">
        <f t="shared" si="1"/>
        <v>0</v>
      </c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40"/>
    </row>
    <row r="57" spans="2:22" x14ac:dyDescent="0.25">
      <c r="B57" s="41"/>
      <c r="C57" s="36">
        <f t="shared" si="1"/>
        <v>0</v>
      </c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40"/>
    </row>
    <row r="58" spans="2:22" x14ac:dyDescent="0.25">
      <c r="B58" s="41"/>
      <c r="C58" s="36">
        <f t="shared" si="1"/>
        <v>0</v>
      </c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40"/>
    </row>
    <row r="59" spans="2:22" x14ac:dyDescent="0.25">
      <c r="B59" s="41"/>
      <c r="C59" s="36">
        <f t="shared" si="1"/>
        <v>0</v>
      </c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40"/>
    </row>
    <row r="60" spans="2:22" x14ac:dyDescent="0.25">
      <c r="B60" s="41"/>
      <c r="C60" s="36">
        <f t="shared" si="1"/>
        <v>0</v>
      </c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40"/>
    </row>
    <row r="61" spans="2:22" x14ac:dyDescent="0.25">
      <c r="B61" s="41"/>
      <c r="C61" s="36">
        <f t="shared" si="1"/>
        <v>0</v>
      </c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40"/>
    </row>
    <row r="62" spans="2:22" x14ac:dyDescent="0.25">
      <c r="B62" s="41"/>
      <c r="C62" s="36">
        <f t="shared" si="1"/>
        <v>0</v>
      </c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40"/>
    </row>
    <row r="63" spans="2:22" x14ac:dyDescent="0.25">
      <c r="B63" s="41"/>
      <c r="C63" s="36">
        <f t="shared" si="1"/>
        <v>0</v>
      </c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40"/>
    </row>
    <row r="64" spans="2:22" x14ac:dyDescent="0.25">
      <c r="B64" s="41"/>
      <c r="C64" s="36">
        <f t="shared" si="1"/>
        <v>0</v>
      </c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40"/>
    </row>
    <row r="65" spans="2:22" x14ac:dyDescent="0.25">
      <c r="B65" s="41"/>
      <c r="C65" s="36">
        <f t="shared" si="1"/>
        <v>0</v>
      </c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40"/>
    </row>
    <row r="66" spans="2:22" x14ac:dyDescent="0.25">
      <c r="B66" s="41"/>
      <c r="C66" s="36">
        <f t="shared" si="1"/>
        <v>0</v>
      </c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40"/>
    </row>
    <row r="67" spans="2:22" x14ac:dyDescent="0.25">
      <c r="B67" s="41"/>
      <c r="C67" s="36">
        <f t="shared" si="1"/>
        <v>0</v>
      </c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40"/>
    </row>
    <row r="68" spans="2:22" x14ac:dyDescent="0.25">
      <c r="B68" s="41"/>
      <c r="C68" s="36">
        <f t="shared" si="1"/>
        <v>0</v>
      </c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40"/>
    </row>
    <row r="69" spans="2:22" x14ac:dyDescent="0.25">
      <c r="B69" s="41"/>
      <c r="C69" s="36">
        <f t="shared" si="1"/>
        <v>0</v>
      </c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40"/>
    </row>
    <row r="70" spans="2:22" x14ac:dyDescent="0.25">
      <c r="B70" s="41"/>
      <c r="C70" s="36">
        <f t="shared" si="1"/>
        <v>0</v>
      </c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40"/>
    </row>
    <row r="71" spans="2:22" x14ac:dyDescent="0.25">
      <c r="B71" s="41"/>
      <c r="C71" s="36">
        <f t="shared" si="1"/>
        <v>0</v>
      </c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40"/>
    </row>
    <row r="72" spans="2:22" x14ac:dyDescent="0.25">
      <c r="B72" s="41"/>
      <c r="C72" s="36">
        <f t="shared" si="1"/>
        <v>0</v>
      </c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40"/>
    </row>
    <row r="73" spans="2:22" x14ac:dyDescent="0.25">
      <c r="B73" s="41"/>
      <c r="C73" s="36">
        <f t="shared" si="1"/>
        <v>0</v>
      </c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40"/>
    </row>
    <row r="74" spans="2:22" x14ac:dyDescent="0.25">
      <c r="B74" s="41"/>
      <c r="C74" s="36">
        <f t="shared" ref="C74:C108" si="2">E74+G74+P74</f>
        <v>0</v>
      </c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40"/>
    </row>
    <row r="75" spans="2:22" x14ac:dyDescent="0.25">
      <c r="B75" s="41"/>
      <c r="C75" s="36">
        <f t="shared" si="2"/>
        <v>0</v>
      </c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40"/>
    </row>
    <row r="76" spans="2:22" x14ac:dyDescent="0.25">
      <c r="B76" s="41"/>
      <c r="C76" s="36">
        <f t="shared" si="2"/>
        <v>0</v>
      </c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40"/>
    </row>
    <row r="77" spans="2:22" x14ac:dyDescent="0.25">
      <c r="B77" s="41"/>
      <c r="C77" s="36">
        <f t="shared" si="2"/>
        <v>0</v>
      </c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40"/>
    </row>
    <row r="78" spans="2:22" x14ac:dyDescent="0.25">
      <c r="B78" s="41"/>
      <c r="C78" s="36">
        <f t="shared" si="2"/>
        <v>0</v>
      </c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40"/>
    </row>
    <row r="79" spans="2:22" x14ac:dyDescent="0.25">
      <c r="B79" s="41"/>
      <c r="C79" s="36">
        <f t="shared" si="2"/>
        <v>0</v>
      </c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40"/>
    </row>
    <row r="80" spans="2:22" x14ac:dyDescent="0.25">
      <c r="B80" s="41"/>
      <c r="C80" s="36">
        <f t="shared" si="2"/>
        <v>0</v>
      </c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40"/>
    </row>
    <row r="81" spans="2:22" x14ac:dyDescent="0.25">
      <c r="B81" s="41"/>
      <c r="C81" s="36">
        <f t="shared" si="2"/>
        <v>0</v>
      </c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40"/>
    </row>
    <row r="82" spans="2:22" x14ac:dyDescent="0.25">
      <c r="B82" s="41"/>
      <c r="C82" s="36">
        <f t="shared" si="2"/>
        <v>0</v>
      </c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40"/>
    </row>
    <row r="83" spans="2:22" x14ac:dyDescent="0.25">
      <c r="B83" s="41"/>
      <c r="C83" s="36">
        <f t="shared" si="2"/>
        <v>0</v>
      </c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40"/>
    </row>
    <row r="84" spans="2:22" x14ac:dyDescent="0.25">
      <c r="B84" s="41"/>
      <c r="C84" s="36">
        <f t="shared" si="2"/>
        <v>0</v>
      </c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40"/>
    </row>
    <row r="85" spans="2:22" x14ac:dyDescent="0.25">
      <c r="B85" s="41"/>
      <c r="C85" s="36">
        <f t="shared" si="2"/>
        <v>0</v>
      </c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40"/>
    </row>
    <row r="86" spans="2:22" x14ac:dyDescent="0.25">
      <c r="B86" s="41"/>
      <c r="C86" s="36">
        <f t="shared" si="2"/>
        <v>0</v>
      </c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40"/>
    </row>
    <row r="87" spans="2:22" x14ac:dyDescent="0.25">
      <c r="B87" s="41"/>
      <c r="C87" s="36">
        <f t="shared" si="2"/>
        <v>0</v>
      </c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40"/>
    </row>
    <row r="88" spans="2:22" x14ac:dyDescent="0.25">
      <c r="B88" s="41"/>
      <c r="C88" s="36">
        <f t="shared" si="2"/>
        <v>0</v>
      </c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40"/>
    </row>
    <row r="89" spans="2:22" x14ac:dyDescent="0.25">
      <c r="B89" s="41"/>
      <c r="C89" s="36">
        <f t="shared" si="2"/>
        <v>0</v>
      </c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40"/>
    </row>
    <row r="90" spans="2:22" x14ac:dyDescent="0.25">
      <c r="B90" s="41"/>
      <c r="C90" s="36">
        <f t="shared" si="2"/>
        <v>0</v>
      </c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40"/>
    </row>
    <row r="91" spans="2:22" x14ac:dyDescent="0.25">
      <c r="B91" s="41"/>
      <c r="C91" s="36">
        <f t="shared" si="2"/>
        <v>0</v>
      </c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40"/>
    </row>
    <row r="92" spans="2:22" x14ac:dyDescent="0.25">
      <c r="B92" s="41"/>
      <c r="C92" s="36">
        <f t="shared" si="2"/>
        <v>0</v>
      </c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40"/>
    </row>
    <row r="93" spans="2:22" x14ac:dyDescent="0.25">
      <c r="B93" s="41"/>
      <c r="C93" s="36">
        <f t="shared" si="2"/>
        <v>0</v>
      </c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40"/>
    </row>
    <row r="94" spans="2:22" x14ac:dyDescent="0.25">
      <c r="B94" s="41"/>
      <c r="C94" s="36">
        <f t="shared" si="2"/>
        <v>0</v>
      </c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40"/>
    </row>
    <row r="95" spans="2:22" x14ac:dyDescent="0.25">
      <c r="B95" s="41"/>
      <c r="C95" s="36">
        <f t="shared" si="2"/>
        <v>0</v>
      </c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40"/>
    </row>
    <row r="96" spans="2:22" x14ac:dyDescent="0.25">
      <c r="B96" s="41"/>
      <c r="C96" s="36">
        <f t="shared" si="2"/>
        <v>0</v>
      </c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40"/>
    </row>
    <row r="97" spans="2:22" x14ac:dyDescent="0.25">
      <c r="B97" s="41"/>
      <c r="C97" s="36">
        <f t="shared" si="2"/>
        <v>0</v>
      </c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40"/>
    </row>
    <row r="98" spans="2:22" x14ac:dyDescent="0.25">
      <c r="B98" s="41"/>
      <c r="C98" s="36">
        <f t="shared" si="2"/>
        <v>0</v>
      </c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40"/>
    </row>
    <row r="99" spans="2:22" x14ac:dyDescent="0.25">
      <c r="B99" s="41"/>
      <c r="C99" s="36">
        <f t="shared" si="2"/>
        <v>0</v>
      </c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40"/>
    </row>
    <row r="100" spans="2:22" x14ac:dyDescent="0.25">
      <c r="B100" s="41"/>
      <c r="C100" s="36">
        <f t="shared" si="2"/>
        <v>0</v>
      </c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40"/>
    </row>
    <row r="101" spans="2:22" x14ac:dyDescent="0.25">
      <c r="B101" s="41"/>
      <c r="C101" s="36">
        <f t="shared" si="2"/>
        <v>0</v>
      </c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40"/>
    </row>
    <row r="102" spans="2:22" x14ac:dyDescent="0.25">
      <c r="B102" s="41"/>
      <c r="C102" s="36">
        <f t="shared" si="2"/>
        <v>0</v>
      </c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40"/>
    </row>
    <row r="103" spans="2:22" x14ac:dyDescent="0.25">
      <c r="B103" s="41"/>
      <c r="C103" s="36">
        <f t="shared" si="2"/>
        <v>0</v>
      </c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40"/>
    </row>
    <row r="104" spans="2:22" x14ac:dyDescent="0.25">
      <c r="B104" s="41"/>
      <c r="C104" s="36">
        <f t="shared" si="2"/>
        <v>0</v>
      </c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40"/>
    </row>
    <row r="105" spans="2:22" x14ac:dyDescent="0.25">
      <c r="B105" s="41"/>
      <c r="C105" s="36">
        <f t="shared" si="2"/>
        <v>0</v>
      </c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40"/>
    </row>
    <row r="106" spans="2:22" x14ac:dyDescent="0.25">
      <c r="B106" s="41"/>
      <c r="C106" s="36">
        <f t="shared" si="2"/>
        <v>0</v>
      </c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40"/>
    </row>
    <row r="107" spans="2:22" x14ac:dyDescent="0.25">
      <c r="B107" s="41"/>
      <c r="C107" s="36">
        <f t="shared" si="2"/>
        <v>0</v>
      </c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40"/>
    </row>
    <row r="108" spans="2:22" x14ac:dyDescent="0.25">
      <c r="B108" s="41"/>
      <c r="C108" s="36">
        <f t="shared" si="2"/>
        <v>0</v>
      </c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40"/>
    </row>
  </sheetData>
  <mergeCells count="1">
    <mergeCell ref="I7:O7"/>
  </mergeCells>
  <pageMargins left="0.7" right="0.7" top="0.75" bottom="0.75" header="0.3" footer="0.3"/>
  <pageSetup paperSize="9" scale="2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11</vt:i4>
      </vt:variant>
    </vt:vector>
  </HeadingPairs>
  <TitlesOfParts>
    <vt:vector size="24" baseType="lpstr">
      <vt:lpstr>1.Guideline</vt:lpstr>
      <vt:lpstr>2. Sales&gt;&gt;Cash Position</vt:lpstr>
      <vt:lpstr>3.Stock Position</vt:lpstr>
      <vt:lpstr>4.Lodgement Sheet</vt:lpstr>
      <vt:lpstr>5.PMS Consumption and Pour back</vt:lpstr>
      <vt:lpstr>6.AGO Consumption and Pour back</vt:lpstr>
      <vt:lpstr>7.DPK Consumption and Pour back</vt:lpstr>
      <vt:lpstr>8.Product Received</vt:lpstr>
      <vt:lpstr>9.Expenses for the Month</vt:lpstr>
      <vt:lpstr>10.Record of Stock Position</vt:lpstr>
      <vt:lpstr>Customers' Ledger</vt:lpstr>
      <vt:lpstr>Castro Lubricants</vt:lpstr>
      <vt:lpstr>Sheet1 (2)</vt:lpstr>
      <vt:lpstr>'1.Guideline'!Print_Area</vt:lpstr>
      <vt:lpstr>'10.Record of Stock Position'!Print_Area</vt:lpstr>
      <vt:lpstr>'2. Sales&gt;&gt;Cash Position'!Print_Area</vt:lpstr>
      <vt:lpstr>'3.Stock Position'!Print_Area</vt:lpstr>
      <vt:lpstr>'4.Lodgement Sheet'!Print_Area</vt:lpstr>
      <vt:lpstr>'5.PMS Consumption and Pour back'!Print_Area</vt:lpstr>
      <vt:lpstr>'6.AGO Consumption and Pour back'!Print_Area</vt:lpstr>
      <vt:lpstr>'7.DPK Consumption and Pour back'!Print_Area</vt:lpstr>
      <vt:lpstr>'8.Product Received'!Print_Area</vt:lpstr>
      <vt:lpstr>'9.Expenses for the Month'!Print_Area</vt:lpstr>
      <vt:lpstr>'Sheet1 (2)'!Print_Area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2026-03-18T07:53:07Z</dcterms:created>
  <dcterms:modified xsi:type="dcterms:W3CDTF">2026-03-18T08:02:36Z</dcterms:modified>
</cp:coreProperties>
</file>