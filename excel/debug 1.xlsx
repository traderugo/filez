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tabRatio="867" activeTab="1"/>
  </bookViews>
  <sheets>
    <sheet name="SALES" sheetId="204" r:id="rId1"/>
    <sheet name="AUDIT REPORT" sheetId="388" r:id="rId2"/>
    <sheet name="1" sheetId="45" r:id="rId3"/>
    <sheet name="2" sheetId="207" r:id="rId4"/>
    <sheet name="3" sheetId="359" r:id="rId5"/>
    <sheet name="4" sheetId="360" r:id="rId6"/>
    <sheet name="5" sheetId="361" r:id="rId7"/>
    <sheet name="6" sheetId="362" r:id="rId8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yG0EUFtnSe+HnfHLxeZQyxTe82bp6NJvOXZ7phjqnNc="/>
    </ext>
  </extLst>
</workbook>
</file>

<file path=xl/calcChain.xml><?xml version="1.0" encoding="utf-8"?>
<calcChain xmlns="http://schemas.openxmlformats.org/spreadsheetml/2006/main">
  <c r="F80" i="388" l="1"/>
  <c r="D80" i="388"/>
  <c r="D79" i="388"/>
  <c r="F79" i="388" s="1"/>
  <c r="F78" i="388"/>
  <c r="D78" i="388"/>
  <c r="D77" i="388"/>
  <c r="F77" i="388" s="1"/>
  <c r="F76" i="388"/>
  <c r="D76" i="388"/>
  <c r="D75" i="388"/>
  <c r="F75" i="388" s="1"/>
  <c r="F74" i="388"/>
  <c r="D74" i="388"/>
  <c r="D73" i="388"/>
  <c r="F73" i="388" s="1"/>
  <c r="F72" i="388"/>
  <c r="D72" i="388"/>
  <c r="D71" i="388"/>
  <c r="F71" i="388" s="1"/>
  <c r="F70" i="388"/>
  <c r="D70" i="388"/>
  <c r="D69" i="388"/>
  <c r="F69" i="388" s="1"/>
  <c r="F68" i="388"/>
  <c r="D68" i="388"/>
  <c r="D67" i="388"/>
  <c r="F67" i="388" s="1"/>
  <c r="F66" i="388"/>
  <c r="D66" i="388"/>
  <c r="D65" i="388"/>
  <c r="F65" i="388" s="1"/>
  <c r="F64" i="388"/>
  <c r="D64" i="388"/>
  <c r="D63" i="388"/>
  <c r="F63" i="388" s="1"/>
  <c r="F62" i="388"/>
  <c r="D62" i="388"/>
  <c r="D61" i="388"/>
  <c r="F61" i="388" s="1"/>
  <c r="F60" i="388"/>
  <c r="D60" i="388"/>
  <c r="D59" i="388"/>
  <c r="F59" i="388" s="1"/>
  <c r="F58" i="388"/>
  <c r="D58" i="388"/>
  <c r="D57" i="388"/>
  <c r="F57" i="388" s="1"/>
  <c r="F56" i="388"/>
  <c r="D56" i="388"/>
  <c r="D55" i="388"/>
  <c r="F55" i="388" s="1"/>
  <c r="F54" i="388"/>
  <c r="D54" i="388"/>
  <c r="D53" i="388"/>
  <c r="F53" i="388" s="1"/>
  <c r="F52" i="388"/>
  <c r="D52" i="388"/>
  <c r="D51" i="388"/>
  <c r="F51" i="388" s="1"/>
  <c r="F50" i="388"/>
  <c r="D50" i="388"/>
  <c r="D49" i="388"/>
  <c r="F49" i="388" s="1"/>
  <c r="F48" i="388"/>
  <c r="D48" i="388"/>
  <c r="D47" i="388"/>
  <c r="F47" i="388" s="1"/>
  <c r="F46" i="388"/>
  <c r="D46" i="388"/>
  <c r="D45" i="388"/>
  <c r="F45" i="388" s="1"/>
  <c r="F44" i="388"/>
  <c r="D44" i="388"/>
  <c r="D43" i="388"/>
  <c r="F43" i="388" s="1"/>
  <c r="F42" i="388"/>
  <c r="D42" i="388"/>
  <c r="D41" i="388"/>
  <c r="F41" i="388" s="1"/>
  <c r="F40" i="388"/>
  <c r="D40" i="388"/>
  <c r="D39" i="388"/>
  <c r="F39" i="388" s="1"/>
  <c r="F38" i="388"/>
  <c r="D38" i="388"/>
  <c r="D37" i="388"/>
  <c r="F37" i="388" s="1"/>
  <c r="F36" i="388"/>
  <c r="D36" i="388"/>
  <c r="D35" i="388"/>
  <c r="F35" i="388" s="1"/>
  <c r="F34" i="388"/>
  <c r="D34" i="388"/>
  <c r="D33" i="388"/>
  <c r="F33" i="388" s="1"/>
  <c r="F32" i="388"/>
  <c r="D32" i="388"/>
  <c r="D31" i="388"/>
  <c r="F31" i="388" s="1"/>
  <c r="F30" i="388"/>
  <c r="D30" i="388"/>
  <c r="D29" i="388"/>
  <c r="F29" i="388" s="1"/>
  <c r="F28" i="388"/>
  <c r="D28" i="388"/>
  <c r="D27" i="388"/>
  <c r="F27" i="388" s="1"/>
  <c r="F26" i="388"/>
  <c r="D26" i="388"/>
  <c r="D25" i="388"/>
  <c r="F25" i="388" s="1"/>
  <c r="F24" i="388"/>
  <c r="D24" i="388"/>
  <c r="D23" i="388"/>
  <c r="F23" i="388" s="1"/>
  <c r="F22" i="388"/>
  <c r="D22" i="388"/>
  <c r="D21" i="388"/>
  <c r="F21" i="388" s="1"/>
  <c r="F20" i="388"/>
  <c r="D20" i="388"/>
  <c r="D19" i="388"/>
  <c r="F19" i="388" s="1"/>
  <c r="F18" i="388"/>
  <c r="D18" i="388"/>
  <c r="D17" i="388"/>
  <c r="F17" i="388" s="1"/>
  <c r="F16" i="388"/>
  <c r="D16" i="388"/>
  <c r="D15" i="388"/>
  <c r="F15" i="388" s="1"/>
  <c r="F14" i="388"/>
  <c r="D14" i="388"/>
  <c r="D13" i="388"/>
  <c r="F13" i="388" s="1"/>
  <c r="F12" i="388"/>
  <c r="D12" i="388"/>
  <c r="D11" i="388"/>
  <c r="F11" i="388" s="1"/>
  <c r="F10" i="388"/>
  <c r="D10" i="388"/>
  <c r="D9" i="388"/>
  <c r="F9" i="388" s="1"/>
  <c r="F8" i="388"/>
  <c r="D8" i="388"/>
  <c r="D7" i="388"/>
  <c r="F7" i="388" s="1"/>
  <c r="F6" i="388"/>
  <c r="D6" i="388"/>
  <c r="D5" i="388"/>
  <c r="F5" i="388" s="1"/>
  <c r="F4" i="388"/>
  <c r="D4" i="388"/>
  <c r="D82" i="388" s="1"/>
  <c r="F82" i="388" l="1"/>
  <c r="M6" i="362"/>
  <c r="M4" i="362"/>
  <c r="M3" i="362"/>
  <c r="C25" i="362"/>
  <c r="C23" i="362"/>
  <c r="C21" i="362"/>
  <c r="C20" i="362"/>
  <c r="C19" i="362"/>
  <c r="C18" i="362"/>
  <c r="C3" i="361"/>
  <c r="C3" i="360"/>
  <c r="M6" i="359"/>
  <c r="M4" i="359"/>
  <c r="M3" i="359"/>
  <c r="C28" i="359"/>
  <c r="C27" i="359"/>
  <c r="C25" i="359"/>
  <c r="C24" i="359"/>
  <c r="C23" i="359"/>
  <c r="C22" i="359"/>
  <c r="C21" i="359"/>
  <c r="C20" i="359"/>
  <c r="C19" i="359"/>
  <c r="C18" i="359"/>
  <c r="C12" i="359"/>
  <c r="C10" i="359"/>
  <c r="C6" i="359"/>
  <c r="C5" i="359"/>
  <c r="C3" i="359"/>
  <c r="M3" i="207"/>
  <c r="M6" i="207"/>
  <c r="C3" i="207"/>
  <c r="M4" i="45"/>
  <c r="M3" i="45"/>
  <c r="C7" i="45"/>
  <c r="C6" i="45"/>
  <c r="C5" i="45"/>
  <c r="C3" i="45"/>
  <c r="M32" i="362"/>
  <c r="E32" i="362"/>
  <c r="M29" i="362"/>
  <c r="E29" i="362"/>
  <c r="M26" i="362"/>
  <c r="E26" i="362"/>
  <c r="E17" i="362"/>
  <c r="N13" i="362" s="1"/>
  <c r="O15" i="362"/>
  <c r="E14" i="362"/>
  <c r="E11" i="362"/>
  <c r="L11" i="362" s="1"/>
  <c r="N11" i="362" s="1"/>
  <c r="L5" i="362"/>
  <c r="K5" i="362"/>
  <c r="D1" i="362"/>
  <c r="M32" i="361"/>
  <c r="E32" i="361"/>
  <c r="M29" i="361"/>
  <c r="E29" i="361"/>
  <c r="M26" i="361"/>
  <c r="E26" i="361"/>
  <c r="E17" i="361"/>
  <c r="O15" i="361"/>
  <c r="E14" i="361"/>
  <c r="N13" i="361"/>
  <c r="L11" i="361"/>
  <c r="E11" i="361"/>
  <c r="L5" i="361"/>
  <c r="K5" i="361"/>
  <c r="D1" i="361"/>
  <c r="M32" i="360"/>
  <c r="E32" i="360"/>
  <c r="M29" i="360"/>
  <c r="E29" i="360"/>
  <c r="M26" i="360"/>
  <c r="E26" i="360"/>
  <c r="E17" i="360"/>
  <c r="N13" i="360" s="1"/>
  <c r="O15" i="360"/>
  <c r="E14" i="360"/>
  <c r="L12" i="360"/>
  <c r="E11" i="360"/>
  <c r="L11" i="360" s="1"/>
  <c r="L5" i="360"/>
  <c r="K5" i="360"/>
  <c r="D1" i="360"/>
  <c r="M32" i="359"/>
  <c r="E32" i="359"/>
  <c r="M29" i="359"/>
  <c r="E29" i="359"/>
  <c r="M26" i="359"/>
  <c r="E26" i="359"/>
  <c r="E17" i="359"/>
  <c r="O15" i="359"/>
  <c r="E14" i="359"/>
  <c r="N13" i="359"/>
  <c r="N12" i="359"/>
  <c r="E11" i="359"/>
  <c r="L5" i="359"/>
  <c r="K5" i="359"/>
  <c r="D1" i="359"/>
  <c r="I1" i="45"/>
  <c r="M7" i="45"/>
  <c r="C16" i="45"/>
  <c r="C15" i="45"/>
  <c r="K5" i="207"/>
  <c r="L5" i="207"/>
  <c r="K5" i="45"/>
  <c r="L5" i="45"/>
  <c r="O15" i="207"/>
  <c r="N13" i="207"/>
  <c r="N13" i="45"/>
  <c r="M32" i="207"/>
  <c r="E32" i="207"/>
  <c r="M29" i="207"/>
  <c r="E29" i="207"/>
  <c r="M26" i="207"/>
  <c r="E26" i="207"/>
  <c r="E17" i="207"/>
  <c r="E14" i="207"/>
  <c r="E11" i="207"/>
  <c r="N11" i="207" s="1"/>
  <c r="D1" i="207"/>
  <c r="L11" i="207"/>
  <c r="L12" i="207"/>
  <c r="M5" i="45"/>
  <c r="N4" i="45"/>
  <c r="N6" i="45"/>
  <c r="N7" i="45"/>
  <c r="N3" i="45"/>
  <c r="J5" i="45"/>
  <c r="E17" i="45"/>
  <c r="O15" i="45"/>
  <c r="M32" i="45"/>
  <c r="M29" i="45"/>
  <c r="M26" i="45"/>
  <c r="B31" i="45"/>
  <c r="C31" i="45"/>
  <c r="J31" i="45"/>
  <c r="B30" i="45"/>
  <c r="C30" i="45"/>
  <c r="J30" i="45"/>
  <c r="B28" i="45"/>
  <c r="C28" i="45"/>
  <c r="J28" i="45"/>
  <c r="B27" i="45"/>
  <c r="C27" i="45"/>
  <c r="J27" i="45"/>
  <c r="B25" i="45"/>
  <c r="C25" i="45"/>
  <c r="J25" i="45"/>
  <c r="K25" i="45"/>
  <c r="B24" i="45"/>
  <c r="C24" i="45"/>
  <c r="J24" i="45"/>
  <c r="K24" i="45"/>
  <c r="B23" i="45"/>
  <c r="C23" i="45"/>
  <c r="J23" i="45"/>
  <c r="K23" i="45"/>
  <c r="B22" i="45"/>
  <c r="C22" i="45"/>
  <c r="J22" i="45"/>
  <c r="K22" i="45"/>
  <c r="B21" i="45"/>
  <c r="C21" i="45"/>
  <c r="J21" i="45"/>
  <c r="K21" i="45"/>
  <c r="B20" i="45"/>
  <c r="C20" i="45"/>
  <c r="J20" i="45"/>
  <c r="K20" i="45"/>
  <c r="B19" i="45"/>
  <c r="C19" i="45"/>
  <c r="J19" i="45"/>
  <c r="K19" i="45"/>
  <c r="B18" i="45"/>
  <c r="C18" i="45"/>
  <c r="J18" i="45"/>
  <c r="K18" i="45"/>
  <c r="N5" i="45"/>
  <c r="K31" i="45"/>
  <c r="K30" i="45"/>
  <c r="K28" i="45"/>
  <c r="L28" i="45"/>
  <c r="K27" i="45"/>
  <c r="L27" i="45"/>
  <c r="L29" i="45"/>
  <c r="L19" i="45"/>
  <c r="L20" i="45"/>
  <c r="L24" i="45"/>
  <c r="L23" i="45"/>
  <c r="L21" i="45"/>
  <c r="L25" i="45"/>
  <c r="L22" i="45"/>
  <c r="L18" i="45"/>
  <c r="N29" i="45"/>
  <c r="P29" i="45"/>
  <c r="N26" i="45"/>
  <c r="L26" i="45"/>
  <c r="L31" i="45"/>
  <c r="L30" i="45"/>
  <c r="P26" i="45"/>
  <c r="L32" i="45"/>
  <c r="N32" i="45"/>
  <c r="P32" i="45"/>
  <c r="D1" i="45"/>
  <c r="E32" i="45"/>
  <c r="D31" i="45"/>
  <c r="D30" i="45"/>
  <c r="E29" i="45"/>
  <c r="D28" i="45"/>
  <c r="D27" i="45"/>
  <c r="E26" i="45"/>
  <c r="D25" i="45"/>
  <c r="D24" i="45"/>
  <c r="D23" i="45"/>
  <c r="D22" i="45"/>
  <c r="D21" i="45"/>
  <c r="D20" i="45"/>
  <c r="D19" i="45"/>
  <c r="D18" i="45"/>
  <c r="D16" i="45"/>
  <c r="D15" i="45"/>
  <c r="E14" i="45"/>
  <c r="D13" i="45"/>
  <c r="D12" i="45"/>
  <c r="L12" i="45"/>
  <c r="N12" i="45"/>
  <c r="O7" i="45"/>
  <c r="O6" i="45"/>
  <c r="D17" i="45"/>
  <c r="F17" i="45"/>
  <c r="F32" i="45"/>
  <c r="H32" i="45"/>
  <c r="F29" i="45"/>
  <c r="D26" i="45"/>
  <c r="D29" i="45"/>
  <c r="F26" i="45"/>
  <c r="H26" i="45"/>
  <c r="D32" i="45"/>
  <c r="F14" i="45"/>
  <c r="H14" i="45"/>
  <c r="P12" i="45" s="1"/>
  <c r="D14" i="45"/>
  <c r="E11" i="45"/>
  <c r="D9" i="45"/>
  <c r="D10" i="45"/>
  <c r="D5" i="45"/>
  <c r="D4" i="45"/>
  <c r="D7" i="45"/>
  <c r="D6" i="45"/>
  <c r="D8" i="45"/>
  <c r="D3" i="45"/>
  <c r="O4" i="45"/>
  <c r="P7" i="45"/>
  <c r="P6" i="45"/>
  <c r="O3" i="45"/>
  <c r="P3" i="45"/>
  <c r="O5" i="45"/>
  <c r="P4" i="45"/>
  <c r="O13" i="45"/>
  <c r="O12" i="45"/>
  <c r="H17" i="45"/>
  <c r="P13" i="45"/>
  <c r="D11" i="45"/>
  <c r="F11" i="45"/>
  <c r="P5" i="45"/>
  <c r="H11" i="45"/>
  <c r="P11" i="45"/>
  <c r="O11" i="45"/>
  <c r="O5" i="204" a="1"/>
  <c r="O5" i="204" l="1"/>
  <c r="N12" i="362"/>
  <c r="N12" i="207"/>
  <c r="L11" i="45"/>
  <c r="N11" i="45"/>
  <c r="N12" i="360"/>
  <c r="N11" i="360"/>
  <c r="N11" i="361"/>
  <c r="N12" i="361"/>
  <c r="L11" i="359"/>
  <c r="N11" i="359" s="1"/>
  <c r="O14" i="45"/>
  <c r="I13" i="361" a="1"/>
  <c r="I12" i="362" a="1"/>
  <c r="I14" i="360" a="1"/>
  <c r="G9" i="204" a="1"/>
  <c r="I12" i="360" a="1"/>
  <c r="I16" i="362" a="1"/>
  <c r="I15" i="360" a="1"/>
  <c r="I11" i="207" a="1"/>
  <c r="I13" i="362" a="1"/>
  <c r="I16" i="359" a="1"/>
  <c r="G6" i="204" a="1"/>
  <c r="I15" i="45" a="1"/>
  <c r="I16" i="45" a="1"/>
  <c r="I12" i="207" a="1"/>
  <c r="I11" i="360" a="1"/>
  <c r="I14" i="45" a="1"/>
  <c r="I12" i="45" a="1"/>
  <c r="I13" i="207" a="1"/>
  <c r="I14" i="207" a="1"/>
  <c r="I15" i="362" a="1"/>
  <c r="I14" i="359" a="1"/>
  <c r="G7" i="204" a="1"/>
  <c r="I16" i="361" a="1"/>
  <c r="I15" i="359" a="1"/>
  <c r="I14" i="362" a="1"/>
  <c r="H6" i="204" a="1"/>
  <c r="I11" i="45" a="1"/>
  <c r="I15" i="207" a="1"/>
  <c r="J7" i="207" a="1"/>
  <c r="B10" i="207" a="1"/>
  <c r="N5" i="204" a="1"/>
  <c r="J4" i="207" a="1"/>
  <c r="B8" i="207" a="1"/>
  <c r="I13" i="359" a="1"/>
  <c r="I11" i="361" a="1"/>
  <c r="I8" i="204" a="1"/>
  <c r="I6" i="204" a="1"/>
  <c r="I15" i="361" a="1"/>
  <c r="I12" i="361" a="1"/>
  <c r="H5" i="204" a="1"/>
  <c r="B6" i="207" a="1"/>
  <c r="H1" i="207" a="1"/>
  <c r="C5" i="204" a="1"/>
  <c r="I14" i="361" a="1"/>
  <c r="I16" i="360" a="1"/>
  <c r="I13" i="360" a="1"/>
  <c r="I13" i="45" a="1"/>
  <c r="E5" i="204" a="1"/>
  <c r="K5" i="204" a="1"/>
  <c r="H10" i="204" a="1"/>
  <c r="I11" i="359" a="1"/>
  <c r="I7" i="204" a="1"/>
  <c r="I9" i="204" a="1"/>
  <c r="B15" i="207" a="1"/>
  <c r="B4" i="207" a="1"/>
  <c r="I10" i="204" a="1"/>
  <c r="H8" i="204" a="1"/>
  <c r="B5" i="204" a="1"/>
  <c r="J3" i="207" a="1"/>
  <c r="B5" i="207" a="1"/>
  <c r="I11" i="362" a="1"/>
  <c r="I5" i="204" a="1"/>
  <c r="B3" i="207" a="1"/>
  <c r="L5" i="204" a="1"/>
  <c r="B9" i="207" a="1"/>
  <c r="H7" i="204" a="1"/>
  <c r="B13" i="207" a="1"/>
  <c r="M5" i="204" a="1"/>
  <c r="I12" i="359" a="1"/>
  <c r="G8" i="204" a="1"/>
  <c r="G1" i="207" a="1"/>
  <c r="H9" i="204" a="1"/>
  <c r="B7" i="207" a="1"/>
  <c r="F5" i="204" a="1"/>
  <c r="B16" i="207" a="1"/>
  <c r="G10" i="204" a="1"/>
  <c r="B12" i="207" a="1"/>
  <c r="J6" i="207" a="1"/>
  <c r="G5" i="204" a="1"/>
  <c r="I16" i="207" a="1"/>
  <c r="J5" i="204" a="1"/>
  <c r="J5" i="204" l="1"/>
  <c r="B16" i="207"/>
  <c r="B9" i="207"/>
  <c r="I10" i="204"/>
  <c r="B4" i="207"/>
  <c r="F5" i="204"/>
  <c r="B7" i="207"/>
  <c r="B15" i="207"/>
  <c r="C15" i="207" s="1"/>
  <c r="B30" i="207" s="1"/>
  <c r="C30" i="207" s="1"/>
  <c r="H9" i="204"/>
  <c r="L5" i="204"/>
  <c r="G10" i="204"/>
  <c r="G1" i="207"/>
  <c r="B3" i="207"/>
  <c r="I5" i="204"/>
  <c r="I16" i="207"/>
  <c r="G8" i="204"/>
  <c r="I12" i="359"/>
  <c r="I11" i="362"/>
  <c r="G5" i="204"/>
  <c r="M5" i="204"/>
  <c r="B5" i="207"/>
  <c r="J6" i="207"/>
  <c r="B12" i="207"/>
  <c r="B13" i="207"/>
  <c r="J3" i="207"/>
  <c r="N3" i="207" s="1"/>
  <c r="I9" i="204"/>
  <c r="H7" i="204"/>
  <c r="I7" i="204"/>
  <c r="I6" i="204"/>
  <c r="I8" i="204"/>
  <c r="I11" i="361"/>
  <c r="H10" i="204"/>
  <c r="I13" i="359"/>
  <c r="B8" i="207"/>
  <c r="K5" i="204"/>
  <c r="C5" i="204"/>
  <c r="J4" i="207"/>
  <c r="H1" i="207"/>
  <c r="N5" i="204"/>
  <c r="E5" i="204"/>
  <c r="B10" i="207"/>
  <c r="B6" i="207"/>
  <c r="J7" i="207"/>
  <c r="M7" i="207" s="1"/>
  <c r="H5" i="204"/>
  <c r="I12" i="361"/>
  <c r="B5" i="204"/>
  <c r="I13" i="45"/>
  <c r="I15" i="207"/>
  <c r="I13" i="360"/>
  <c r="I15" i="361"/>
  <c r="I16" i="362"/>
  <c r="I11" i="45"/>
  <c r="H8" i="204"/>
  <c r="I14" i="207"/>
  <c r="H6" i="204"/>
  <c r="I13" i="207"/>
  <c r="I12" i="45"/>
  <c r="I14" i="45"/>
  <c r="I11" i="360"/>
  <c r="I12" i="360"/>
  <c r="I14" i="362"/>
  <c r="I12" i="207"/>
  <c r="I16" i="45"/>
  <c r="G9" i="204"/>
  <c r="I15" i="45"/>
  <c r="G6" i="204"/>
  <c r="I15" i="359"/>
  <c r="I16" i="359"/>
  <c r="I14" i="360"/>
  <c r="I16" i="360"/>
  <c r="I16" i="361"/>
  <c r="I13" i="362"/>
  <c r="I12" i="362"/>
  <c r="I11" i="207"/>
  <c r="G7" i="204"/>
  <c r="I11" i="359"/>
  <c r="I14" i="359"/>
  <c r="I15" i="360"/>
  <c r="I13" i="361"/>
  <c r="I14" i="361"/>
  <c r="I15" i="362"/>
  <c r="C16" i="207"/>
  <c r="B31" i="207" s="1"/>
  <c r="C31" i="207" s="1"/>
  <c r="B28" i="207"/>
  <c r="C28" i="207" s="1"/>
  <c r="B27" i="207"/>
  <c r="C27" i="207" s="1"/>
  <c r="B21" i="207"/>
  <c r="C21" i="207" s="1"/>
  <c r="B25" i="207"/>
  <c r="C25" i="207" s="1"/>
  <c r="B19" i="207"/>
  <c r="C19" i="207" s="1"/>
  <c r="B22" i="207"/>
  <c r="C22" i="207" s="1"/>
  <c r="B20" i="207"/>
  <c r="C20" i="207" s="1"/>
  <c r="B23" i="207"/>
  <c r="C23" i="207" s="1"/>
  <c r="B24" i="207"/>
  <c r="C24" i="207" s="1"/>
  <c r="B18" i="207"/>
  <c r="C18" i="207" s="1"/>
  <c r="O16" i="45"/>
  <c r="J5" i="207"/>
  <c r="D5" i="204"/>
  <c r="B6" i="204" a="1"/>
  <c r="J4" i="359" a="1"/>
  <c r="G1" i="359" a="1"/>
  <c r="H1" i="359" a="1"/>
  <c r="J3" i="359" a="1"/>
  <c r="J7" i="359" a="1"/>
  <c r="J6" i="359" a="1"/>
  <c r="I1" i="207" l="1"/>
  <c r="J3" i="359"/>
  <c r="H1" i="359"/>
  <c r="G1" i="359"/>
  <c r="I1" i="359" s="1"/>
  <c r="B6" i="204"/>
  <c r="J6" i="359"/>
  <c r="J7" i="359"/>
  <c r="M7" i="359" s="1"/>
  <c r="J4" i="359"/>
  <c r="N6" i="207"/>
  <c r="M5" i="207"/>
  <c r="N5" i="207" s="1"/>
  <c r="N7" i="207"/>
  <c r="N4" i="207"/>
  <c r="D31" i="207"/>
  <c r="J31" i="207"/>
  <c r="K31" i="207" s="1"/>
  <c r="D16" i="207"/>
  <c r="J30" i="207"/>
  <c r="K30" i="207" s="1"/>
  <c r="D30" i="207"/>
  <c r="D15" i="207"/>
  <c r="D12" i="207"/>
  <c r="D28" i="207"/>
  <c r="J28" i="207"/>
  <c r="K28" i="207" s="1"/>
  <c r="D13" i="207"/>
  <c r="J27" i="207"/>
  <c r="K27" i="207" s="1"/>
  <c r="D27" i="207"/>
  <c r="D25" i="207"/>
  <c r="J25" i="207"/>
  <c r="K25" i="207" s="1"/>
  <c r="D3" i="207"/>
  <c r="D8" i="207"/>
  <c r="D7" i="207"/>
  <c r="D10" i="207"/>
  <c r="J23" i="207"/>
  <c r="K23" i="207" s="1"/>
  <c r="D23" i="207"/>
  <c r="J24" i="207"/>
  <c r="K24" i="207" s="1"/>
  <c r="D24" i="207"/>
  <c r="J20" i="207"/>
  <c r="K20" i="207" s="1"/>
  <c r="D20" i="207"/>
  <c r="D19" i="207"/>
  <c r="J19" i="207"/>
  <c r="K19" i="207" s="1"/>
  <c r="J21" i="207"/>
  <c r="K21" i="207" s="1"/>
  <c r="D21" i="207"/>
  <c r="J22" i="207"/>
  <c r="K22" i="207" s="1"/>
  <c r="D22" i="207"/>
  <c r="D9" i="207"/>
  <c r="D5" i="207"/>
  <c r="D4" i="207"/>
  <c r="D6" i="207"/>
  <c r="D18" i="207"/>
  <c r="J18" i="207"/>
  <c r="K18" i="207" s="1"/>
  <c r="B16" i="359" a="1"/>
  <c r="J3" i="360" a="1"/>
  <c r="G1" i="360" a="1"/>
  <c r="B7" i="204" a="1"/>
  <c r="B8" i="359" a="1"/>
  <c r="B13" i="359" a="1"/>
  <c r="B7" i="359" a="1"/>
  <c r="B10" i="359" a="1"/>
  <c r="H1" i="360" a="1"/>
  <c r="B3" i="359" a="1"/>
  <c r="B6" i="359" a="1"/>
  <c r="B12" i="359" a="1"/>
  <c r="J6" i="360" a="1"/>
  <c r="B5" i="359" a="1"/>
  <c r="B9" i="359" a="1"/>
  <c r="B15" i="359" a="1"/>
  <c r="B4" i="359" a="1"/>
  <c r="J7" i="360" a="1"/>
  <c r="J5" i="359" l="1"/>
  <c r="B7" i="204"/>
  <c r="G1" i="360"/>
  <c r="H1" i="360"/>
  <c r="J3" i="360"/>
  <c r="N3" i="359"/>
  <c r="N4" i="359"/>
  <c r="J7" i="360"/>
  <c r="M7" i="360" s="1"/>
  <c r="J6" i="360"/>
  <c r="N7" i="359"/>
  <c r="N6" i="359"/>
  <c r="B9" i="359"/>
  <c r="C9" i="359" s="1"/>
  <c r="B3" i="359"/>
  <c r="B15" i="359"/>
  <c r="C15" i="359" s="1"/>
  <c r="B6" i="359"/>
  <c r="B5" i="359"/>
  <c r="B8" i="359"/>
  <c r="C8" i="359" s="1"/>
  <c r="B12" i="359"/>
  <c r="B7" i="359"/>
  <c r="C7" i="359" s="1"/>
  <c r="B13" i="359"/>
  <c r="B4" i="359"/>
  <c r="B10" i="359"/>
  <c r="B16" i="359"/>
  <c r="C16" i="359" s="1"/>
  <c r="L31" i="207"/>
  <c r="F17" i="207"/>
  <c r="D17" i="207"/>
  <c r="F32" i="207"/>
  <c r="H32" i="207" s="1"/>
  <c r="D32" i="207"/>
  <c r="L30" i="207"/>
  <c r="L28" i="207"/>
  <c r="D14" i="207"/>
  <c r="F14" i="207"/>
  <c r="H14" i="207" s="1"/>
  <c r="D29" i="207"/>
  <c r="F29" i="207"/>
  <c r="L27" i="207"/>
  <c r="L21" i="207"/>
  <c r="L20" i="207"/>
  <c r="L23" i="207"/>
  <c r="D11" i="207"/>
  <c r="F11" i="207"/>
  <c r="H11" i="207" s="1"/>
  <c r="L19" i="207"/>
  <c r="L25" i="207"/>
  <c r="L22" i="207"/>
  <c r="L24" i="207"/>
  <c r="L18" i="207"/>
  <c r="D26" i="207"/>
  <c r="F26" i="207"/>
  <c r="J3" i="361" a="1"/>
  <c r="B8" i="204" a="1"/>
  <c r="H1" i="361" a="1"/>
  <c r="J4" i="360" a="1"/>
  <c r="G1" i="361" a="1"/>
  <c r="J6" i="361" a="1"/>
  <c r="J7" i="361" a="1"/>
  <c r="I1" i="360" l="1"/>
  <c r="G1" i="361"/>
  <c r="B8" i="204"/>
  <c r="H1" i="361"/>
  <c r="M5" i="359"/>
  <c r="N5" i="359" s="1"/>
  <c r="J4" i="360"/>
  <c r="J3" i="361"/>
  <c r="J6" i="361"/>
  <c r="J7" i="361"/>
  <c r="M7" i="361" s="1"/>
  <c r="N6" i="360"/>
  <c r="N7" i="360"/>
  <c r="N3" i="360"/>
  <c r="D15" i="359"/>
  <c r="B30" i="359"/>
  <c r="C30" i="359" s="1"/>
  <c r="B19" i="359"/>
  <c r="D4" i="359"/>
  <c r="D8" i="359"/>
  <c r="B23" i="359"/>
  <c r="B18" i="359"/>
  <c r="D3" i="359"/>
  <c r="B25" i="359"/>
  <c r="D10" i="359"/>
  <c r="B27" i="359"/>
  <c r="D12" i="359"/>
  <c r="B28" i="359"/>
  <c r="D13" i="359"/>
  <c r="D5" i="359"/>
  <c r="B20" i="359"/>
  <c r="B31" i="359"/>
  <c r="C31" i="359" s="1"/>
  <c r="D16" i="359"/>
  <c r="D7" i="359"/>
  <c r="B22" i="359"/>
  <c r="D6" i="359"/>
  <c r="B21" i="359"/>
  <c r="D9" i="359"/>
  <c r="B24" i="359"/>
  <c r="O7" i="207"/>
  <c r="P7" i="207" s="1"/>
  <c r="N32" i="207"/>
  <c r="P32" i="207" s="1"/>
  <c r="L32" i="207"/>
  <c r="O4" i="207"/>
  <c r="P4" i="207" s="1"/>
  <c r="H17" i="207"/>
  <c r="H29" i="207"/>
  <c r="O3" i="207"/>
  <c r="P3" i="207" s="1"/>
  <c r="N29" i="207"/>
  <c r="P29" i="207" s="1"/>
  <c r="L29" i="207"/>
  <c r="O6" i="207"/>
  <c r="L26" i="207"/>
  <c r="N26" i="207"/>
  <c r="P26" i="207" s="1"/>
  <c r="H26" i="207"/>
  <c r="J3" i="362" a="1"/>
  <c r="B9" i="204" a="1"/>
  <c r="K6" i="204" a="1"/>
  <c r="J6" i="362" a="1"/>
  <c r="J7" i="362" a="1"/>
  <c r="H1" i="362" a="1"/>
  <c r="L6" i="204" a="1"/>
  <c r="G1" i="362" a="1"/>
  <c r="I1" i="361" l="1"/>
  <c r="H1" i="362"/>
  <c r="B9" i="204"/>
  <c r="G1" i="362"/>
  <c r="J5" i="360"/>
  <c r="J3" i="362"/>
  <c r="J7" i="362"/>
  <c r="M7" i="362" s="1"/>
  <c r="J6" i="362"/>
  <c r="N3" i="361"/>
  <c r="N7" i="361"/>
  <c r="N6" i="361"/>
  <c r="D24" i="359"/>
  <c r="J24" i="359"/>
  <c r="K24" i="359" s="1"/>
  <c r="D22" i="359"/>
  <c r="J22" i="359"/>
  <c r="K22" i="359" s="1"/>
  <c r="J20" i="359"/>
  <c r="K20" i="359" s="1"/>
  <c r="D20" i="359"/>
  <c r="F14" i="359"/>
  <c r="D14" i="359"/>
  <c r="F11" i="359"/>
  <c r="H11" i="359" s="1"/>
  <c r="D11" i="359"/>
  <c r="D27" i="359"/>
  <c r="J27" i="359"/>
  <c r="K27" i="359" s="1"/>
  <c r="J18" i="359"/>
  <c r="K18" i="359" s="1"/>
  <c r="D18" i="359"/>
  <c r="D19" i="359"/>
  <c r="J19" i="359"/>
  <c r="K19" i="359" s="1"/>
  <c r="J21" i="359"/>
  <c r="K21" i="359" s="1"/>
  <c r="D21" i="359"/>
  <c r="J23" i="359"/>
  <c r="K23" i="359" s="1"/>
  <c r="D23" i="359"/>
  <c r="J30" i="359"/>
  <c r="K30" i="359" s="1"/>
  <c r="D30" i="359"/>
  <c r="D31" i="359"/>
  <c r="J31" i="359"/>
  <c r="K31" i="359" s="1"/>
  <c r="J28" i="359"/>
  <c r="K28" i="359" s="1"/>
  <c r="D28" i="359"/>
  <c r="J25" i="359"/>
  <c r="K25" i="359" s="1"/>
  <c r="D25" i="359"/>
  <c r="D17" i="359"/>
  <c r="F17" i="359"/>
  <c r="O13" i="207"/>
  <c r="P13" i="207"/>
  <c r="L6" i="204"/>
  <c r="O5" i="207"/>
  <c r="P5" i="207" s="1"/>
  <c r="P11" i="207"/>
  <c r="K6" i="204"/>
  <c r="P6" i="207"/>
  <c r="O12" i="207"/>
  <c r="P12" i="207"/>
  <c r="O11" i="207"/>
  <c r="J4" i="361" a="1"/>
  <c r="F6" i="204" a="1"/>
  <c r="B16" i="360" a="1"/>
  <c r="B3" i="360" a="1"/>
  <c r="C6" i="204" a="1"/>
  <c r="B8" i="360" a="1"/>
  <c r="B5" i="360" a="1"/>
  <c r="O6" i="204" a="1"/>
  <c r="B4" i="360" a="1"/>
  <c r="E6" i="204" a="1"/>
  <c r="B10" i="204" a="1"/>
  <c r="N6" i="204" a="1"/>
  <c r="B13" i="360" a="1"/>
  <c r="B12" i="360" a="1"/>
  <c r="B6" i="360" a="1"/>
  <c r="B7" i="360" a="1"/>
  <c r="B10" i="360" a="1"/>
  <c r="B9" i="360" a="1"/>
  <c r="J6" i="204" a="1"/>
  <c r="B15" i="360" a="1"/>
  <c r="M6" i="204" a="1"/>
  <c r="B10" i="204" l="1"/>
  <c r="I1" i="362"/>
  <c r="J4" i="361"/>
  <c r="N6" i="362"/>
  <c r="M5" i="360"/>
  <c r="N5" i="360" s="1"/>
  <c r="N4" i="360"/>
  <c r="N7" i="362"/>
  <c r="B10" i="360"/>
  <c r="B8" i="360"/>
  <c r="B9" i="360"/>
  <c r="B13" i="360"/>
  <c r="B15" i="360"/>
  <c r="C15" i="360" s="1"/>
  <c r="B6" i="360"/>
  <c r="B3" i="360"/>
  <c r="B5" i="360"/>
  <c r="B16" i="360"/>
  <c r="C16" i="360" s="1"/>
  <c r="B4" i="360"/>
  <c r="B12" i="360"/>
  <c r="B7" i="360"/>
  <c r="L25" i="359"/>
  <c r="L23" i="359"/>
  <c r="L24" i="359"/>
  <c r="L28" i="359"/>
  <c r="L30" i="359"/>
  <c r="L21" i="359"/>
  <c r="L18" i="359"/>
  <c r="L20" i="359"/>
  <c r="L31" i="359"/>
  <c r="L19" i="359"/>
  <c r="L27" i="359"/>
  <c r="L22" i="359"/>
  <c r="H17" i="359"/>
  <c r="D32" i="359"/>
  <c r="F32" i="359"/>
  <c r="H32" i="359" s="1"/>
  <c r="F26" i="359"/>
  <c r="D26" i="359"/>
  <c r="H14" i="359"/>
  <c r="D29" i="359"/>
  <c r="F29" i="359"/>
  <c r="H29" i="359" s="1"/>
  <c r="F6" i="204"/>
  <c r="O6" i="204"/>
  <c r="J6" i="204"/>
  <c r="M6" i="204"/>
  <c r="N6" i="204"/>
  <c r="E6" i="204"/>
  <c r="O14" i="207"/>
  <c r="O16" i="207" s="1"/>
  <c r="C6" i="204"/>
  <c r="D6" i="204" s="1"/>
  <c r="O7" i="359" l="1"/>
  <c r="O4" i="359"/>
  <c r="P4" i="359" s="1"/>
  <c r="N29" i="359"/>
  <c r="P29" i="359" s="1"/>
  <c r="P12" i="359" s="1"/>
  <c r="O3" i="359"/>
  <c r="P3" i="359" s="1"/>
  <c r="N32" i="359"/>
  <c r="P32" i="359" s="1"/>
  <c r="P13" i="359" s="1"/>
  <c r="L32" i="359"/>
  <c r="J5" i="361"/>
  <c r="N26" i="359"/>
  <c r="P26" i="359" s="1"/>
  <c r="N3" i="362"/>
  <c r="L29" i="359"/>
  <c r="O6" i="359"/>
  <c r="P6" i="359" s="1"/>
  <c r="B22" i="360"/>
  <c r="C22" i="360" s="1"/>
  <c r="D7" i="360"/>
  <c r="B20" i="360"/>
  <c r="C20" i="360" s="1"/>
  <c r="D5" i="360"/>
  <c r="B28" i="360"/>
  <c r="C28" i="360" s="1"/>
  <c r="D13" i="360"/>
  <c r="L26" i="359"/>
  <c r="D12" i="360"/>
  <c r="B27" i="360"/>
  <c r="C27" i="360" s="1"/>
  <c r="B18" i="360"/>
  <c r="C18" i="360" s="1"/>
  <c r="D3" i="360"/>
  <c r="B24" i="360"/>
  <c r="C24" i="360" s="1"/>
  <c r="D9" i="360"/>
  <c r="D4" i="360"/>
  <c r="B19" i="360"/>
  <c r="C19" i="360" s="1"/>
  <c r="D6" i="360"/>
  <c r="B21" i="360"/>
  <c r="C21" i="360" s="1"/>
  <c r="B23" i="360"/>
  <c r="C23" i="360" s="1"/>
  <c r="D8" i="360"/>
  <c r="D16" i="360"/>
  <c r="B31" i="360"/>
  <c r="C31" i="360" s="1"/>
  <c r="B30" i="360"/>
  <c r="C30" i="360" s="1"/>
  <c r="D15" i="360"/>
  <c r="B25" i="360"/>
  <c r="C25" i="360" s="1"/>
  <c r="D10" i="360"/>
  <c r="H26" i="359"/>
  <c r="L7" i="204" a="1"/>
  <c r="J4" i="362" a="1"/>
  <c r="N7" i="204" a="1"/>
  <c r="K7" i="204" a="1"/>
  <c r="O7" i="204" a="1"/>
  <c r="L7" i="204" l="1"/>
  <c r="P7" i="359"/>
  <c r="O5" i="359"/>
  <c r="P5" i="359" s="1"/>
  <c r="O13" i="359"/>
  <c r="O12" i="359"/>
  <c r="O11" i="359"/>
  <c r="J4" i="362"/>
  <c r="M5" i="361"/>
  <c r="N5" i="361" s="1"/>
  <c r="N4" i="361"/>
  <c r="P11" i="359"/>
  <c r="O7" i="204"/>
  <c r="K7" i="204"/>
  <c r="D23" i="360"/>
  <c r="J23" i="360"/>
  <c r="K23" i="360" s="1"/>
  <c r="J31" i="360"/>
  <c r="K31" i="360" s="1"/>
  <c r="D31" i="360"/>
  <c r="D21" i="360"/>
  <c r="J21" i="360"/>
  <c r="K21" i="360" s="1"/>
  <c r="J18" i="360"/>
  <c r="K18" i="360" s="1"/>
  <c r="D18" i="360"/>
  <c r="J25" i="360"/>
  <c r="K25" i="360" s="1"/>
  <c r="D25" i="360"/>
  <c r="J27" i="360"/>
  <c r="K27" i="360" s="1"/>
  <c r="D27" i="360"/>
  <c r="D28" i="360"/>
  <c r="J28" i="360"/>
  <c r="K28" i="360" s="1"/>
  <c r="D22" i="360"/>
  <c r="J22" i="360"/>
  <c r="K22" i="360" s="1"/>
  <c r="D17" i="360"/>
  <c r="F17" i="360"/>
  <c r="D19" i="360"/>
  <c r="J19" i="360"/>
  <c r="K19" i="360" s="1"/>
  <c r="J24" i="360"/>
  <c r="K24" i="360" s="1"/>
  <c r="D24" i="360"/>
  <c r="F14" i="360"/>
  <c r="D14" i="360"/>
  <c r="D30" i="360"/>
  <c r="J30" i="360"/>
  <c r="K30" i="360" s="1"/>
  <c r="F11" i="360"/>
  <c r="D11" i="360"/>
  <c r="D20" i="360"/>
  <c r="J20" i="360"/>
  <c r="K20" i="360" s="1"/>
  <c r="N7" i="204"/>
  <c r="B6" i="361" a="1"/>
  <c r="B9" i="361" a="1"/>
  <c r="B7" i="361" a="1"/>
  <c r="B4" i="361" a="1"/>
  <c r="B12" i="361" a="1"/>
  <c r="E7" i="204" a="1"/>
  <c r="B13" i="361" a="1"/>
  <c r="J7" i="204" a="1"/>
  <c r="F7" i="204" a="1"/>
  <c r="C7" i="204" a="1"/>
  <c r="B16" i="361" a="1"/>
  <c r="B8" i="361" a="1"/>
  <c r="B3" i="361" a="1"/>
  <c r="B15" i="361" a="1"/>
  <c r="B5" i="361" a="1"/>
  <c r="M7" i="204" a="1"/>
  <c r="B10" i="361" a="1"/>
  <c r="E7" i="204" l="1"/>
  <c r="J7" i="204"/>
  <c r="F7" i="204"/>
  <c r="C7" i="204"/>
  <c r="D7" i="204" s="1"/>
  <c r="J5" i="362"/>
  <c r="M7" i="204"/>
  <c r="O14" i="359"/>
  <c r="B4" i="361"/>
  <c r="B7" i="361"/>
  <c r="B15" i="361"/>
  <c r="C15" i="361" s="1"/>
  <c r="B12" i="361"/>
  <c r="C12" i="361" s="1"/>
  <c r="B3" i="361"/>
  <c r="B16" i="361"/>
  <c r="C16" i="361" s="1"/>
  <c r="B13" i="361"/>
  <c r="B6" i="361"/>
  <c r="B8" i="361"/>
  <c r="B5" i="361"/>
  <c r="B9" i="361"/>
  <c r="B10" i="361"/>
  <c r="L19" i="360"/>
  <c r="L22" i="360"/>
  <c r="L30" i="360"/>
  <c r="L27" i="360"/>
  <c r="L18" i="360"/>
  <c r="L31" i="360"/>
  <c r="L28" i="360"/>
  <c r="L21" i="360"/>
  <c r="L23" i="360"/>
  <c r="L20" i="360"/>
  <c r="L24" i="360"/>
  <c r="L25" i="360"/>
  <c r="H11" i="360"/>
  <c r="H17" i="360"/>
  <c r="D32" i="360"/>
  <c r="F32" i="360"/>
  <c r="H32" i="360" s="1"/>
  <c r="H14" i="360"/>
  <c r="F29" i="360"/>
  <c r="H29" i="360" s="1"/>
  <c r="D29" i="360"/>
  <c r="F26" i="360"/>
  <c r="H26" i="360" s="1"/>
  <c r="D26" i="360"/>
  <c r="L32" i="360" l="1"/>
  <c r="N4" i="362"/>
  <c r="M5" i="362"/>
  <c r="N5" i="362" s="1"/>
  <c r="N29" i="360"/>
  <c r="P29" i="360" s="1"/>
  <c r="P12" i="360" s="1"/>
  <c r="O4" i="360"/>
  <c r="P4" i="360" s="1"/>
  <c r="O7" i="360"/>
  <c r="P7" i="360" s="1"/>
  <c r="O16" i="359"/>
  <c r="L26" i="360"/>
  <c r="L29" i="360"/>
  <c r="B20" i="361"/>
  <c r="C20" i="361" s="1"/>
  <c r="D5" i="361"/>
  <c r="D7" i="361"/>
  <c r="B22" i="361"/>
  <c r="C22" i="361" s="1"/>
  <c r="N26" i="360"/>
  <c r="P26" i="360" s="1"/>
  <c r="P11" i="360" s="1"/>
  <c r="O6" i="360"/>
  <c r="D8" i="361"/>
  <c r="B23" i="361"/>
  <c r="C23" i="361" s="1"/>
  <c r="D3" i="361"/>
  <c r="B18" i="361"/>
  <c r="C18" i="361" s="1"/>
  <c r="N32" i="360"/>
  <c r="P32" i="360" s="1"/>
  <c r="P13" i="360" s="1"/>
  <c r="O3" i="360"/>
  <c r="B25" i="361"/>
  <c r="C25" i="361" s="1"/>
  <c r="D10" i="361"/>
  <c r="B21" i="361"/>
  <c r="C21" i="361" s="1"/>
  <c r="D6" i="361"/>
  <c r="D12" i="361"/>
  <c r="B27" i="361"/>
  <c r="B31" i="361"/>
  <c r="C31" i="361" s="1"/>
  <c r="D16" i="361"/>
  <c r="B19" i="361"/>
  <c r="C19" i="361" s="1"/>
  <c r="D4" i="361"/>
  <c r="B24" i="361"/>
  <c r="C24" i="361" s="1"/>
  <c r="D9" i="361"/>
  <c r="D13" i="361"/>
  <c r="B28" i="361"/>
  <c r="B30" i="361"/>
  <c r="C30" i="361" s="1"/>
  <c r="D15" i="361"/>
  <c r="N8" i="204" a="1"/>
  <c r="M8" i="204" a="1"/>
  <c r="O8" i="204" a="1"/>
  <c r="K8" i="204" a="1"/>
  <c r="L8" i="204" a="1"/>
  <c r="O12" i="360" l="1"/>
  <c r="O11" i="360"/>
  <c r="L8" i="204"/>
  <c r="O13" i="360"/>
  <c r="K8" i="204"/>
  <c r="F17" i="361"/>
  <c r="D17" i="361"/>
  <c r="J22" i="361"/>
  <c r="K22" i="361" s="1"/>
  <c r="D22" i="361"/>
  <c r="J30" i="361"/>
  <c r="K30" i="361" s="1"/>
  <c r="D30" i="361"/>
  <c r="J28" i="361"/>
  <c r="K28" i="361" s="1"/>
  <c r="D28" i="361"/>
  <c r="J27" i="361"/>
  <c r="K27" i="361" s="1"/>
  <c r="D27" i="361"/>
  <c r="J18" i="361"/>
  <c r="K18" i="361" s="1"/>
  <c r="D18" i="361"/>
  <c r="P6" i="360"/>
  <c r="P3" i="360"/>
  <c r="O5" i="360"/>
  <c r="J24" i="361"/>
  <c r="K24" i="361" s="1"/>
  <c r="D24" i="361"/>
  <c r="J31" i="361"/>
  <c r="K31" i="361" s="1"/>
  <c r="D31" i="361"/>
  <c r="J21" i="361"/>
  <c r="K21" i="361" s="1"/>
  <c r="D21" i="361"/>
  <c r="J19" i="361"/>
  <c r="K19" i="361" s="1"/>
  <c r="D19" i="361"/>
  <c r="D14" i="361"/>
  <c r="F14" i="361"/>
  <c r="J25" i="361"/>
  <c r="K25" i="361" s="1"/>
  <c r="D25" i="361"/>
  <c r="D11" i="361"/>
  <c r="F11" i="361"/>
  <c r="J20" i="361"/>
  <c r="K20" i="361" s="1"/>
  <c r="D20" i="361"/>
  <c r="J23" i="361"/>
  <c r="K23" i="361" s="1"/>
  <c r="D23" i="361"/>
  <c r="N8" i="204"/>
  <c r="M8" i="204"/>
  <c r="O8" i="204"/>
  <c r="O14" i="360"/>
  <c r="B5" i="362" a="1"/>
  <c r="F8" i="204" a="1"/>
  <c r="B6" i="362" a="1"/>
  <c r="B10" i="362" a="1"/>
  <c r="B13" i="362" a="1"/>
  <c r="C8" i="204" a="1"/>
  <c r="B9" i="362" a="1"/>
  <c r="E8" i="204" a="1"/>
  <c r="J8" i="204" a="1"/>
  <c r="B8" i="362" a="1"/>
  <c r="B12" i="362" a="1"/>
  <c r="B15" i="362" a="1"/>
  <c r="B3" i="362" a="1"/>
  <c r="B7" i="362" a="1"/>
  <c r="B16" i="362" a="1"/>
  <c r="B4" i="362" a="1"/>
  <c r="E8" i="204" l="1"/>
  <c r="C8" i="204"/>
  <c r="D8" i="204" s="1"/>
  <c r="B4" i="362"/>
  <c r="B15" i="362"/>
  <c r="C15" i="362" s="1"/>
  <c r="B8" i="362"/>
  <c r="B6" i="362"/>
  <c r="B9" i="362"/>
  <c r="B5" i="362"/>
  <c r="B10" i="362"/>
  <c r="B16" i="362"/>
  <c r="C16" i="362" s="1"/>
  <c r="F8" i="204"/>
  <c r="B12" i="362"/>
  <c r="B3" i="362"/>
  <c r="B13" i="362"/>
  <c r="B7" i="362"/>
  <c r="L19" i="361"/>
  <c r="L30" i="361"/>
  <c r="L23" i="361"/>
  <c r="L21" i="361"/>
  <c r="L24" i="361"/>
  <c r="L20" i="361"/>
  <c r="L25" i="361"/>
  <c r="L31" i="361"/>
  <c r="L27" i="361"/>
  <c r="L18" i="361"/>
  <c r="L28" i="361"/>
  <c r="L22" i="361"/>
  <c r="J8" i="204"/>
  <c r="H14" i="361"/>
  <c r="H11" i="361"/>
  <c r="F29" i="361"/>
  <c r="H29" i="361" s="1"/>
  <c r="D29" i="361"/>
  <c r="F32" i="361"/>
  <c r="H32" i="361" s="1"/>
  <c r="D32" i="361"/>
  <c r="D26" i="361"/>
  <c r="P5" i="360"/>
  <c r="F26" i="361"/>
  <c r="H26" i="361" s="1"/>
  <c r="H17" i="361"/>
  <c r="O16" i="360"/>
  <c r="L29" i="361" l="1"/>
  <c r="N29" i="361"/>
  <c r="P29" i="361" s="1"/>
  <c r="P12" i="361" s="1"/>
  <c r="L32" i="361"/>
  <c r="L26" i="361"/>
  <c r="N32" i="361"/>
  <c r="P32" i="361" s="1"/>
  <c r="P13" i="361" s="1"/>
  <c r="O3" i="361"/>
  <c r="O4" i="361"/>
  <c r="P4" i="361" s="1"/>
  <c r="N26" i="361"/>
  <c r="P26" i="361" s="1"/>
  <c r="P11" i="361" s="1"/>
  <c r="B22" i="362"/>
  <c r="C22" i="362" s="1"/>
  <c r="D7" i="362"/>
  <c r="B24" i="362"/>
  <c r="D9" i="362"/>
  <c r="D4" i="362"/>
  <c r="B19" i="362"/>
  <c r="B28" i="362"/>
  <c r="D13" i="362"/>
  <c r="B31" i="362"/>
  <c r="C31" i="362" s="1"/>
  <c r="D16" i="362"/>
  <c r="B21" i="362"/>
  <c r="D6" i="362"/>
  <c r="B18" i="362"/>
  <c r="D3" i="362"/>
  <c r="B25" i="362"/>
  <c r="D10" i="362"/>
  <c r="D8" i="362"/>
  <c r="B23" i="362"/>
  <c r="O6" i="361"/>
  <c r="O7" i="361"/>
  <c r="B27" i="362"/>
  <c r="D12" i="362"/>
  <c r="B20" i="362"/>
  <c r="D5" i="362"/>
  <c r="B30" i="362"/>
  <c r="C30" i="362" s="1"/>
  <c r="D15" i="362"/>
  <c r="O9" i="204" a="1"/>
  <c r="L9" i="204" a="1"/>
  <c r="N9" i="204" a="1"/>
  <c r="K9" i="204" a="1"/>
  <c r="M9" i="204" a="1"/>
  <c r="O12" i="361" l="1"/>
  <c r="O13" i="361"/>
  <c r="O14" i="361"/>
  <c r="O16" i="361" s="1"/>
  <c r="O11" i="361"/>
  <c r="O5" i="361"/>
  <c r="P3" i="361"/>
  <c r="O9" i="204"/>
  <c r="K9" i="204"/>
  <c r="L9" i="204"/>
  <c r="M9" i="204"/>
  <c r="J31" i="362"/>
  <c r="K31" i="362" s="1"/>
  <c r="D31" i="362"/>
  <c r="D17" i="362"/>
  <c r="F17" i="362"/>
  <c r="D22" i="362"/>
  <c r="J22" i="362"/>
  <c r="K22" i="362" s="1"/>
  <c r="D20" i="362"/>
  <c r="J20" i="362"/>
  <c r="K20" i="362" s="1"/>
  <c r="D19" i="362"/>
  <c r="J19" i="362"/>
  <c r="K19" i="362" s="1"/>
  <c r="F14" i="362"/>
  <c r="D30" i="362"/>
  <c r="J30" i="362"/>
  <c r="K30" i="362" s="1"/>
  <c r="D27" i="362"/>
  <c r="J27" i="362"/>
  <c r="D25" i="362"/>
  <c r="J25" i="362"/>
  <c r="K25" i="362" s="1"/>
  <c r="D21" i="362"/>
  <c r="J21" i="362"/>
  <c r="K21" i="362" s="1"/>
  <c r="J28" i="362"/>
  <c r="D28" i="362"/>
  <c r="P6" i="361"/>
  <c r="J18" i="362"/>
  <c r="K18" i="362" s="1"/>
  <c r="D18" i="362"/>
  <c r="D14" i="362"/>
  <c r="P7" i="361"/>
  <c r="D23" i="362"/>
  <c r="J23" i="362"/>
  <c r="K23" i="362" s="1"/>
  <c r="F11" i="362"/>
  <c r="D11" i="362"/>
  <c r="D24" i="362"/>
  <c r="J24" i="362"/>
  <c r="K24" i="362" s="1"/>
  <c r="N9" i="204"/>
  <c r="F9" i="204" a="1"/>
  <c r="E9" i="204" a="1"/>
  <c r="J9" i="204" a="1"/>
  <c r="C9" i="204" a="1"/>
  <c r="E9" i="204" l="1"/>
  <c r="F9" i="204"/>
  <c r="J9" i="204"/>
  <c r="C9" i="204"/>
  <c r="D9" i="204" s="1"/>
  <c r="F29" i="362"/>
  <c r="H29" i="362" s="1"/>
  <c r="P5" i="361"/>
  <c r="L18" i="362"/>
  <c r="L21" i="362"/>
  <c r="L27" i="362"/>
  <c r="L19" i="362"/>
  <c r="L22" i="362"/>
  <c r="L24" i="362"/>
  <c r="L25" i="362"/>
  <c r="L30" i="362"/>
  <c r="L31" i="362"/>
  <c r="L23" i="362"/>
  <c r="L28" i="362"/>
  <c r="L20" i="362"/>
  <c r="D32" i="362"/>
  <c r="F32" i="362"/>
  <c r="H32" i="362" s="1"/>
  <c r="H11" i="362"/>
  <c r="H14" i="362"/>
  <c r="H17" i="362"/>
  <c r="D26" i="362"/>
  <c r="F26" i="362"/>
  <c r="H26" i="362" s="1"/>
  <c r="D29" i="362"/>
  <c r="L29" i="362" l="1"/>
  <c r="L32" i="362"/>
  <c r="O4" i="362"/>
  <c r="P4" i="362" s="1"/>
  <c r="N32" i="362"/>
  <c r="P32" i="362" s="1"/>
  <c r="P13" i="362" s="1"/>
  <c r="O3" i="362"/>
  <c r="P3" i="362" s="1"/>
  <c r="O6" i="362"/>
  <c r="P6" i="362" s="1"/>
  <c r="N26" i="362"/>
  <c r="P26" i="362" s="1"/>
  <c r="P11" i="362" s="1"/>
  <c r="L26" i="362"/>
  <c r="N29" i="362"/>
  <c r="O7" i="362"/>
  <c r="P7" i="362" s="1"/>
  <c r="K10" i="204" a="1"/>
  <c r="M10" i="204" a="1"/>
  <c r="L10" i="204" a="1"/>
  <c r="O10" i="204" a="1"/>
  <c r="O5" i="362" l="1"/>
  <c r="O13" i="362"/>
  <c r="K10" i="204"/>
  <c r="L10" i="204"/>
  <c r="O10" i="204"/>
  <c r="O11" i="362"/>
  <c r="P29" i="362"/>
  <c r="P12" i="362" s="1"/>
  <c r="O14" i="362" s="1"/>
  <c r="O12" i="362"/>
  <c r="M10" i="204"/>
  <c r="C10" i="204" a="1"/>
  <c r="F10" i="204" a="1"/>
  <c r="J10" i="204" a="1"/>
  <c r="E10" i="204" a="1"/>
  <c r="N10" i="204" a="1"/>
  <c r="J10" i="204" l="1"/>
  <c r="P5" i="362"/>
  <c r="F10" i="204"/>
  <c r="E10" i="204"/>
  <c r="C10" i="204"/>
  <c r="D10" i="204" s="1"/>
  <c r="N10" i="204"/>
  <c r="O16" i="362"/>
  <c r="L36" i="204" l="1"/>
  <c r="E36" i="204" l="1"/>
  <c r="N36" i="204"/>
  <c r="O36" i="204"/>
  <c r="F36" i="204"/>
  <c r="K36" i="204"/>
  <c r="C36" i="204" l="1"/>
  <c r="M36" i="204" l="1"/>
  <c r="J36" i="20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<sst xmlns="http://schemas.openxmlformats.org/spreadsheetml/2006/main" count="388" uniqueCount="62">
  <si>
    <t>SALES</t>
  </si>
  <si>
    <t>Sheet</t>
  </si>
  <si>
    <t>Date</t>
  </si>
  <si>
    <t>Sales (Volume)</t>
  </si>
  <si>
    <t>Price 1</t>
  </si>
  <si>
    <t>Dispensed</t>
  </si>
  <si>
    <t>Sales (Amount)</t>
  </si>
  <si>
    <t>PMS</t>
  </si>
  <si>
    <t>AGO</t>
  </si>
  <si>
    <t>DPK</t>
  </si>
  <si>
    <t xml:space="preserve">PMS </t>
  </si>
  <si>
    <t>Actual Supply</t>
  </si>
  <si>
    <t>PMS 1</t>
  </si>
  <si>
    <t>PMS 2</t>
  </si>
  <si>
    <t>Total</t>
  </si>
  <si>
    <t>Others</t>
  </si>
  <si>
    <t>Logistics</t>
  </si>
  <si>
    <t>Sales</t>
  </si>
  <si>
    <t>Summary</t>
  </si>
  <si>
    <t>POS</t>
  </si>
  <si>
    <t>DAILY SALES OPERATION</t>
  </si>
  <si>
    <t>PREV SHEET</t>
  </si>
  <si>
    <t>DATE</t>
  </si>
  <si>
    <t>Pumps</t>
  </si>
  <si>
    <t>Opening</t>
  </si>
  <si>
    <t>Closing</t>
  </si>
  <si>
    <t>Consumed</t>
  </si>
  <si>
    <t>Actual</t>
  </si>
  <si>
    <t>Price</t>
  </si>
  <si>
    <t>Amount</t>
  </si>
  <si>
    <t>Tank</t>
  </si>
  <si>
    <t xml:space="preserve">Opening </t>
  </si>
  <si>
    <t>Waybill Supply</t>
  </si>
  <si>
    <t>Difference</t>
  </si>
  <si>
    <t>OV/SH</t>
  </si>
  <si>
    <t>Consumption</t>
  </si>
  <si>
    <t>P/b</t>
  </si>
  <si>
    <t>S.M</t>
  </si>
  <si>
    <t>AGO 1</t>
  </si>
  <si>
    <t>Gen</t>
  </si>
  <si>
    <t>R.M</t>
  </si>
  <si>
    <t xml:space="preserve">SALES  </t>
  </si>
  <si>
    <t>DPK 1</t>
  </si>
  <si>
    <t>A.M</t>
  </si>
  <si>
    <t xml:space="preserve">POS  </t>
  </si>
  <si>
    <t xml:space="preserve">CAH  </t>
  </si>
  <si>
    <t>ugomail2017@gmail.com</t>
  </si>
  <si>
    <t>PMS Sales for the Period</t>
  </si>
  <si>
    <t>Meter reading</t>
  </si>
  <si>
    <t>Opening (10/07/2023)</t>
  </si>
  <si>
    <t>Closing (16/07/2023)</t>
  </si>
  <si>
    <t xml:space="preserve">   </t>
  </si>
  <si>
    <t>Pump 1</t>
  </si>
  <si>
    <t xml:space="preserve">Pump 2 </t>
  </si>
  <si>
    <t>Pump 3</t>
  </si>
  <si>
    <t>Pump 4</t>
  </si>
  <si>
    <t>Pump 5</t>
  </si>
  <si>
    <t>Pump 6</t>
  </si>
  <si>
    <t>Pump 7</t>
  </si>
  <si>
    <t xml:space="preserve">Pump 8 </t>
  </si>
  <si>
    <t>A</t>
  </si>
  <si>
    <t>Total PMS sales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</si>
</sst>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dddd\,\ d\ mmmm\,\ yyyy"/>
    <numFmt numFmtId="167" formatCode="_-* #,##0_-;\-* #,##0_-;_-* &quot;-&quot;_-;_-@_-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rbel"/>
      <family val="2"/>
    </font>
    <font>
      <b/>
      <sz val="11"/>
      <name val="Corbe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orbe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orbel"/>
      <family val="2"/>
    </font>
    <font>
      <b/>
      <u/>
      <sz val="11"/>
      <color theme="0"/>
      <name val="Calibri"/>
      <family val="2"/>
      <scheme val="minor"/>
    </font>
    <font>
      <sz val="11"/>
      <color theme="1"/>
      <name val="Corbel"/>
      <family val="2"/>
    </font>
    <font>
      <sz val="11"/>
      <name val="Corbel"/>
      <family val="2"/>
    </font>
    <font>
      <b/>
      <sz val="11"/>
      <color rgb="FFFF0000"/>
      <name val="Corbel"/>
      <family val="2"/>
    </font>
    <font>
      <b/>
      <i/>
      <sz val="11"/>
      <color theme="1"/>
      <name val="Corbe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8" tint="-0.499984740745262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0"/>
        <bgColor rgb="FFBDD6EE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-0.499984740745262"/>
        <bgColor rgb="FFBDD6EE"/>
      </patternFill>
    </fill>
    <fill>
      <patternFill patternType="solid">
        <fgColor theme="8" tint="0.79998168889431442"/>
        <bgColor rgb="FFBDD6EE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5" fillId="0" borderId="1"/>
    <xf numFmtId="0" fontId="1" fillId="0" borderId="1"/>
    <xf numFmtId="0" fontId="9" fillId="0" borderId="1"/>
    <xf numFmtId="0" fontId="10" fillId="0" borderId="0" applyNumberFormat="0" applyFill="0" applyBorder="0" applyAlignment="0" applyProtection="0"/>
  </cellStyleXfs>
  <cellXfs count="170">
    <xf numFmtId="0" fontId="0" fillId="0" borderId="0" xfId="0"/>
    <xf numFmtId="38" fontId="3" fillId="5" borderId="22" xfId="0" applyNumberFormat="1" applyFont="1" applyFill="1" applyBorder="1" applyProtection="1">
      <protection locked="0"/>
    </xf>
    <xf numFmtId="38" fontId="3" fillId="5" borderId="26" xfId="0" applyNumberFormat="1" applyFont="1" applyFill="1" applyBorder="1" applyProtection="1">
      <protection locked="0"/>
    </xf>
    <xf numFmtId="38" fontId="3" fillId="7" borderId="10" xfId="0" applyNumberFormat="1" applyFont="1" applyFill="1" applyBorder="1" applyProtection="1">
      <protection locked="0"/>
    </xf>
    <xf numFmtId="38" fontId="3" fillId="5" borderId="10" xfId="0" applyNumberFormat="1" applyFont="1" applyFill="1" applyBorder="1" applyProtection="1">
      <protection locked="0"/>
    </xf>
    <xf numFmtId="38" fontId="3" fillId="7" borderId="20" xfId="0" applyNumberFormat="1" applyFont="1" applyFill="1" applyBorder="1" applyProtection="1">
      <protection locked="0"/>
    </xf>
    <xf numFmtId="38" fontId="3" fillId="5" borderId="28" xfId="0" applyNumberFormat="1" applyFont="1" applyFill="1" applyBorder="1" applyProtection="1">
      <protection locked="0"/>
    </xf>
    <xf numFmtId="38" fontId="3" fillId="5" borderId="31" xfId="0" applyNumberFormat="1" applyFont="1" applyFill="1" applyBorder="1" applyProtection="1">
      <protection locked="0"/>
    </xf>
    <xf numFmtId="38" fontId="3" fillId="5" borderId="36" xfId="0" applyNumberFormat="1" applyFont="1" applyFill="1" applyBorder="1" applyProtection="1">
      <protection locked="0"/>
    </xf>
    <xf numFmtId="164" fontId="3" fillId="11" borderId="22" xfId="0" applyNumberFormat="1" applyFont="1" applyFill="1" applyBorder="1" applyProtection="1">
      <protection locked="0"/>
    </xf>
    <xf numFmtId="164" fontId="3" fillId="11" borderId="35" xfId="0" applyNumberFormat="1" applyFont="1" applyFill="1" applyBorder="1" applyProtection="1">
      <protection locked="0"/>
    </xf>
    <xf numFmtId="38" fontId="3" fillId="7" borderId="16" xfId="0" applyNumberFormat="1" applyFont="1" applyFill="1" applyBorder="1" applyProtection="1">
      <protection locked="0"/>
    </xf>
    <xf numFmtId="38" fontId="3" fillId="5" borderId="16" xfId="0" applyNumberFormat="1" applyFont="1" applyFill="1" applyBorder="1" applyProtection="1">
      <protection locked="0"/>
    </xf>
    <xf numFmtId="38" fontId="4" fillId="2" borderId="22" xfId="0" applyNumberFormat="1" applyFont="1" applyFill="1" applyBorder="1" applyProtection="1">
      <protection locked="0"/>
    </xf>
    <xf numFmtId="38" fontId="4" fillId="2" borderId="26" xfId="0" applyNumberFormat="1" applyFont="1" applyFill="1" applyBorder="1" applyProtection="1">
      <protection locked="0"/>
    </xf>
    <xf numFmtId="38" fontId="4" fillId="2" borderId="10" xfId="0" applyNumberFormat="1" applyFont="1" applyFill="1" applyBorder="1" applyProtection="1">
      <protection locked="0"/>
    </xf>
    <xf numFmtId="38" fontId="4" fillId="2" borderId="16" xfId="0" applyNumberFormat="1" applyFont="1" applyFill="1" applyBorder="1" applyProtection="1">
      <protection locked="0"/>
    </xf>
    <xf numFmtId="38" fontId="4" fillId="11" borderId="44" xfId="0" applyNumberFormat="1" applyFont="1" applyFill="1" applyBorder="1" applyAlignment="1" applyProtection="1">
      <alignment horizontal="center" vertical="center" wrapText="1"/>
      <protection locked="0"/>
    </xf>
    <xf numFmtId="38" fontId="4" fillId="11" borderId="45" xfId="0" applyNumberFormat="1" applyFont="1" applyFill="1" applyBorder="1" applyAlignment="1" applyProtection="1">
      <alignment horizontal="center" vertical="center" wrapText="1"/>
      <protection locked="0"/>
    </xf>
    <xf numFmtId="38" fontId="11" fillId="14" borderId="44" xfId="0" applyNumberFormat="1" applyFont="1" applyFill="1" applyBorder="1" applyAlignment="1">
      <alignment horizontal="center" vertical="center" wrapText="1"/>
    </xf>
    <xf numFmtId="38" fontId="4" fillId="15" borderId="44" xfId="0" applyNumberFormat="1" applyFont="1" applyFill="1" applyBorder="1" applyAlignment="1">
      <alignment horizontal="center" vertical="center" wrapText="1"/>
    </xf>
    <xf numFmtId="0" fontId="7" fillId="0" borderId="0" xfId="0" applyFont="1"/>
    <xf numFmtId="38" fontId="3" fillId="4" borderId="27" xfId="0" applyNumberFormat="1" applyFont="1" applyFill="1" applyBorder="1" applyAlignment="1">
      <alignment horizontal="center" vertical="center" wrapText="1"/>
    </xf>
    <xf numFmtId="38" fontId="3" fillId="4" borderId="28" xfId="0" applyNumberFormat="1" applyFont="1" applyFill="1" applyBorder="1" applyAlignment="1">
      <alignment horizontal="center" vertical="center" wrapText="1"/>
    </xf>
    <xf numFmtId="38" fontId="3" fillId="4" borderId="40" xfId="0" applyNumberFormat="1" applyFont="1" applyFill="1" applyBorder="1" applyAlignment="1">
      <alignment horizontal="center" vertical="center" wrapText="1"/>
    </xf>
    <xf numFmtId="14" fontId="3" fillId="4" borderId="41" xfId="0" applyNumberFormat="1" applyFont="1" applyFill="1" applyBorder="1" applyAlignment="1">
      <alignment horizontal="center" vertical="center" wrapText="1"/>
    </xf>
    <xf numFmtId="14" fontId="3" fillId="4" borderId="23" xfId="0" applyNumberFormat="1" applyFont="1" applyFill="1" applyBorder="1" applyAlignment="1">
      <alignment horizontal="center" vertical="center" wrapText="1"/>
    </xf>
    <xf numFmtId="14" fontId="3" fillId="4" borderId="24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13" borderId="30" xfId="0" applyFont="1" applyFill="1" applyBorder="1" applyAlignment="1">
      <alignment horizontal="right"/>
    </xf>
    <xf numFmtId="38" fontId="3" fillId="12" borderId="22" xfId="0" applyNumberFormat="1" applyFont="1" applyFill="1" applyBorder="1"/>
    <xf numFmtId="38" fontId="3" fillId="12" borderId="39" xfId="0" applyNumberFormat="1" applyFont="1" applyFill="1" applyBorder="1"/>
    <xf numFmtId="14" fontId="3" fillId="13" borderId="12" xfId="0" applyNumberFormat="1" applyFont="1" applyFill="1" applyBorder="1"/>
    <xf numFmtId="38" fontId="4" fillId="12" borderId="10" xfId="0" applyNumberFormat="1" applyFont="1" applyFill="1" applyBorder="1"/>
    <xf numFmtId="38" fontId="4" fillId="12" borderId="11" xfId="0" applyNumberFormat="1" applyFont="1" applyFill="1" applyBorder="1"/>
    <xf numFmtId="14" fontId="3" fillId="13" borderId="15" xfId="0" applyNumberFormat="1" applyFont="1" applyFill="1" applyBorder="1"/>
    <xf numFmtId="38" fontId="4" fillId="12" borderId="16" xfId="0" applyNumberFormat="1" applyFont="1" applyFill="1" applyBorder="1"/>
    <xf numFmtId="38" fontId="4" fillId="12" borderId="17" xfId="0" applyNumberFormat="1" applyFont="1" applyFill="1" applyBorder="1"/>
    <xf numFmtId="14" fontId="3" fillId="13" borderId="48" xfId="0" applyNumberFormat="1" applyFont="1" applyFill="1" applyBorder="1"/>
    <xf numFmtId="38" fontId="4" fillId="12" borderId="49" xfId="0" applyNumberFormat="1" applyFont="1" applyFill="1" applyBorder="1"/>
    <xf numFmtId="38" fontId="4" fillId="12" borderId="50" xfId="0" applyNumberFormat="1" applyFont="1" applyFill="1" applyBorder="1"/>
    <xf numFmtId="0" fontId="3" fillId="3" borderId="5" xfId="0" applyFont="1" applyFill="1" applyBorder="1"/>
    <xf numFmtId="0" fontId="3" fillId="3" borderId="68" xfId="0" applyFont="1" applyFill="1" applyBorder="1"/>
    <xf numFmtId="0" fontId="3" fillId="3" borderId="6" xfId="0" applyFont="1" applyFill="1" applyBorder="1"/>
    <xf numFmtId="0" fontId="3" fillId="3" borderId="60" xfId="0" applyFont="1" applyFill="1" applyBorder="1"/>
    <xf numFmtId="0" fontId="3" fillId="3" borderId="56" xfId="0" applyFont="1" applyFill="1" applyBorder="1"/>
    <xf numFmtId="38" fontId="3" fillId="10" borderId="13" xfId="0" applyNumberFormat="1" applyFont="1" applyFill="1" applyBorder="1"/>
    <xf numFmtId="38" fontId="3" fillId="10" borderId="13" xfId="0" applyNumberFormat="1" applyFont="1" applyFill="1" applyBorder="1" applyAlignment="1">
      <alignment horizontal="center"/>
    </xf>
    <xf numFmtId="38" fontId="3" fillId="10" borderId="18" xfId="0" applyNumberFormat="1" applyFont="1" applyFill="1" applyBorder="1" applyAlignment="1">
      <alignment horizontal="center"/>
    </xf>
    <xf numFmtId="0" fontId="3" fillId="4" borderId="30" xfId="0" applyFont="1" applyFill="1" applyBorder="1"/>
    <xf numFmtId="164" fontId="8" fillId="4" borderId="22" xfId="0" applyNumberFormat="1" applyFont="1" applyFill="1" applyBorder="1" applyAlignment="1">
      <alignment horizontal="center" vertical="center"/>
    </xf>
    <xf numFmtId="164" fontId="3" fillId="4" borderId="22" xfId="0" applyNumberFormat="1" applyFont="1" applyFill="1" applyBorder="1"/>
    <xf numFmtId="164" fontId="3" fillId="4" borderId="39" xfId="0" applyNumberFormat="1" applyFont="1" applyFill="1" applyBorder="1"/>
    <xf numFmtId="38" fontId="3" fillId="12" borderId="30" xfId="0" applyNumberFormat="1" applyFont="1" applyFill="1" applyBorder="1"/>
    <xf numFmtId="38" fontId="3" fillId="12" borderId="66" xfId="0" applyNumberFormat="1" applyFont="1" applyFill="1" applyBorder="1"/>
    <xf numFmtId="38" fontId="3" fillId="12" borderId="58" xfId="0" applyNumberFormat="1" applyFont="1" applyFill="1" applyBorder="1"/>
    <xf numFmtId="38" fontId="3" fillId="12" borderId="26" xfId="0" applyNumberFormat="1" applyFont="1" applyFill="1" applyBorder="1"/>
    <xf numFmtId="38" fontId="3" fillId="12" borderId="33" xfId="0" applyNumberFormat="1" applyFont="1" applyFill="1" applyBorder="1"/>
    <xf numFmtId="0" fontId="3" fillId="13" borderId="32" xfId="0" applyFont="1" applyFill="1" applyBorder="1" applyAlignment="1">
      <alignment horizontal="right"/>
    </xf>
    <xf numFmtId="38" fontId="3" fillId="12" borderId="57" xfId="0" applyNumberFormat="1" applyFont="1" applyFill="1" applyBorder="1"/>
    <xf numFmtId="38" fontId="3" fillId="12" borderId="65" xfId="0" applyNumberFormat="1" applyFont="1" applyFill="1" applyBorder="1"/>
    <xf numFmtId="38" fontId="3" fillId="12" borderId="59" xfId="0" applyNumberFormat="1" applyFont="1" applyFill="1" applyBorder="1"/>
    <xf numFmtId="38" fontId="3" fillId="12" borderId="31" xfId="0" applyNumberFormat="1" applyFont="1" applyFill="1" applyBorder="1"/>
    <xf numFmtId="38" fontId="3" fillId="12" borderId="63" xfId="0" applyNumberFormat="1" applyFont="1" applyFill="1" applyBorder="1"/>
    <xf numFmtId="38" fontId="3" fillId="12" borderId="64" xfId="0" applyNumberFormat="1" applyFont="1" applyFill="1" applyBorder="1"/>
    <xf numFmtId="38" fontId="3" fillId="12" borderId="35" xfId="0" applyNumberFormat="1" applyFont="1" applyFill="1" applyBorder="1"/>
    <xf numFmtId="38" fontId="3" fillId="12" borderId="36" xfId="0" applyNumberFormat="1" applyFont="1" applyFill="1" applyBorder="1"/>
    <xf numFmtId="38" fontId="11" fillId="8" borderId="66" xfId="0" applyNumberFormat="1" applyFont="1" applyFill="1" applyBorder="1"/>
    <xf numFmtId="38" fontId="11" fillId="8" borderId="58" xfId="0" applyNumberFormat="1" applyFont="1" applyFill="1" applyBorder="1"/>
    <xf numFmtId="38" fontId="11" fillId="8" borderId="65" xfId="0" applyNumberFormat="1" applyFont="1" applyFill="1" applyBorder="1"/>
    <xf numFmtId="38" fontId="11" fillId="8" borderId="59" xfId="0" applyNumberFormat="1" applyFont="1" applyFill="1" applyBorder="1"/>
    <xf numFmtId="38" fontId="3" fillId="12" borderId="34" xfId="0" applyNumberFormat="1" applyFont="1" applyFill="1" applyBorder="1"/>
    <xf numFmtId="38" fontId="11" fillId="8" borderId="63" xfId="0" applyNumberFormat="1" applyFont="1" applyFill="1" applyBorder="1"/>
    <xf numFmtId="38" fontId="11" fillId="8" borderId="64" xfId="0" applyNumberFormat="1" applyFont="1" applyFill="1" applyBorder="1"/>
    <xf numFmtId="0" fontId="3" fillId="4" borderId="34" xfId="0" applyFont="1" applyFill="1" applyBorder="1"/>
    <xf numFmtId="164" fontId="8" fillId="4" borderId="35" xfId="0" applyNumberFormat="1" applyFont="1" applyFill="1" applyBorder="1" applyAlignment="1">
      <alignment horizontal="center" vertical="center"/>
    </xf>
    <xf numFmtId="164" fontId="3" fillId="4" borderId="35" xfId="0" applyNumberFormat="1" applyFont="1" applyFill="1" applyBorder="1"/>
    <xf numFmtId="164" fontId="3" fillId="4" borderId="36" xfId="0" applyNumberFormat="1" applyFont="1" applyFill="1" applyBorder="1"/>
    <xf numFmtId="0" fontId="3" fillId="3" borderId="7" xfId="0" applyFont="1" applyFill="1" applyBorder="1"/>
    <xf numFmtId="0" fontId="3" fillId="3" borderId="1" xfId="0" applyFont="1" applyFill="1" applyBorder="1"/>
    <xf numFmtId="0" fontId="3" fillId="3" borderId="8" xfId="0" applyFont="1" applyFill="1" applyBorder="1"/>
    <xf numFmtId="38" fontId="4" fillId="12" borderId="22" xfId="0" applyNumberFormat="1" applyFont="1" applyFill="1" applyBorder="1"/>
    <xf numFmtId="0" fontId="3" fillId="13" borderId="27" xfId="0" applyFont="1" applyFill="1" applyBorder="1" applyAlignment="1">
      <alignment horizontal="right"/>
    </xf>
    <xf numFmtId="38" fontId="4" fillId="12" borderId="28" xfId="0" applyNumberFormat="1" applyFont="1" applyFill="1" applyBorder="1"/>
    <xf numFmtId="38" fontId="3" fillId="12" borderId="28" xfId="0" applyNumberFormat="1" applyFont="1" applyFill="1" applyBorder="1"/>
    <xf numFmtId="38" fontId="3" fillId="12" borderId="29" xfId="0" applyNumberFormat="1" applyFont="1" applyFill="1" applyBorder="1"/>
    <xf numFmtId="164" fontId="3" fillId="4" borderId="31" xfId="0" applyNumberFormat="1" applyFont="1" applyFill="1" applyBorder="1"/>
    <xf numFmtId="38" fontId="4" fillId="12" borderId="26" xfId="0" applyNumberFormat="1" applyFont="1" applyFill="1" applyBorder="1"/>
    <xf numFmtId="40" fontId="3" fillId="6" borderId="10" xfId="0" applyNumberFormat="1" applyFont="1" applyFill="1" applyBorder="1" applyProtection="1">
      <protection locked="0"/>
    </xf>
    <xf numFmtId="40" fontId="3" fillId="6" borderId="16" xfId="0" applyNumberFormat="1" applyFont="1" applyFill="1" applyBorder="1" applyProtection="1">
      <protection locked="0"/>
    </xf>
    <xf numFmtId="40" fontId="3" fillId="6" borderId="20" xfId="0" applyNumberFormat="1" applyFont="1" applyFill="1" applyBorder="1" applyProtection="1">
      <protection locked="0"/>
    </xf>
    <xf numFmtId="38" fontId="4" fillId="15" borderId="45" xfId="0" applyNumberFormat="1" applyFont="1" applyFill="1" applyBorder="1" applyAlignment="1">
      <alignment horizontal="center" vertical="center" wrapText="1"/>
    </xf>
    <xf numFmtId="14" fontId="3" fillId="13" borderId="19" xfId="0" applyNumberFormat="1" applyFont="1" applyFill="1" applyBorder="1"/>
    <xf numFmtId="38" fontId="4" fillId="12" borderId="20" xfId="0" applyNumberFormat="1" applyFont="1" applyFill="1" applyBorder="1"/>
    <xf numFmtId="38" fontId="4" fillId="12" borderId="21" xfId="0" applyNumberFormat="1" applyFont="1" applyFill="1" applyBorder="1"/>
    <xf numFmtId="0" fontId="6" fillId="0" borderId="1" xfId="4" applyFont="1"/>
    <xf numFmtId="0" fontId="6" fillId="0" borderId="1" xfId="4" applyFont="1" applyAlignment="1">
      <alignment horizontal="center" vertical="center"/>
    </xf>
    <xf numFmtId="38" fontId="3" fillId="4" borderId="53" xfId="0" applyNumberFormat="1" applyFont="1" applyFill="1" applyBorder="1" applyAlignment="1">
      <alignment horizontal="center" vertical="center" wrapText="1"/>
    </xf>
    <xf numFmtId="38" fontId="3" fillId="4" borderId="32" xfId="0" applyNumberFormat="1" applyFont="1" applyFill="1" applyBorder="1" applyAlignment="1">
      <alignment horizontal="center" vertical="center" wrapText="1"/>
    </xf>
    <xf numFmtId="38" fontId="3" fillId="4" borderId="26" xfId="0" applyNumberFormat="1" applyFont="1" applyFill="1" applyBorder="1" applyAlignment="1">
      <alignment horizontal="center" vertical="center" wrapText="1"/>
    </xf>
    <xf numFmtId="38" fontId="3" fillId="4" borderId="33" xfId="0" applyNumberFormat="1" applyFont="1" applyFill="1" applyBorder="1" applyAlignment="1">
      <alignment horizontal="center" vertical="center" wrapText="1"/>
    </xf>
    <xf numFmtId="38" fontId="3" fillId="12" borderId="51" xfId="0" applyNumberFormat="1" applyFont="1" applyFill="1" applyBorder="1"/>
    <xf numFmtId="38" fontId="3" fillId="12" borderId="51" xfId="0" applyNumberFormat="1" applyFont="1" applyFill="1" applyBorder="1" applyAlignment="1">
      <alignment horizontal="center"/>
    </xf>
    <xf numFmtId="38" fontId="8" fillId="12" borderId="30" xfId="0" applyNumberFormat="1" applyFont="1" applyFill="1" applyBorder="1"/>
    <xf numFmtId="38" fontId="8" fillId="12" borderId="22" xfId="0" applyNumberFormat="1" applyFont="1" applyFill="1" applyBorder="1"/>
    <xf numFmtId="38" fontId="8" fillId="12" borderId="31" xfId="0" applyNumberFormat="1" applyFont="1" applyFill="1" applyBorder="1"/>
    <xf numFmtId="38" fontId="3" fillId="12" borderId="52" xfId="0" applyNumberFormat="1" applyFont="1" applyFill="1" applyBorder="1"/>
    <xf numFmtId="38" fontId="3" fillId="12" borderId="52" xfId="0" applyNumberFormat="1" applyFont="1" applyFill="1" applyBorder="1" applyAlignment="1">
      <alignment horizontal="center"/>
    </xf>
    <xf numFmtId="38" fontId="3" fillId="12" borderId="37" xfId="0" applyNumberFormat="1" applyFont="1" applyFill="1" applyBorder="1"/>
    <xf numFmtId="38" fontId="3" fillId="12" borderId="25" xfId="0" applyNumberFormat="1" applyFont="1" applyFill="1" applyBorder="1"/>
    <xf numFmtId="38" fontId="3" fillId="12" borderId="38" xfId="0" applyNumberFormat="1" applyFont="1" applyFill="1" applyBorder="1"/>
    <xf numFmtId="38" fontId="8" fillId="12" borderId="37" xfId="0" applyNumberFormat="1" applyFont="1" applyFill="1" applyBorder="1"/>
    <xf numFmtId="38" fontId="8" fillId="12" borderId="25" xfId="0" applyNumberFormat="1" applyFont="1" applyFill="1" applyBorder="1"/>
    <xf numFmtId="38" fontId="8" fillId="12" borderId="38" xfId="0" applyNumberFormat="1" applyFont="1" applyFill="1" applyBorder="1"/>
    <xf numFmtId="38" fontId="3" fillId="10" borderId="54" xfId="0" applyNumberFormat="1" applyFont="1" applyFill="1" applyBorder="1"/>
    <xf numFmtId="38" fontId="3" fillId="10" borderId="55" xfId="0" applyNumberFormat="1" applyFont="1" applyFill="1" applyBorder="1"/>
    <xf numFmtId="38" fontId="3" fillId="6" borderId="10" xfId="0" applyNumberFormat="1" applyFont="1" applyFill="1" applyBorder="1" applyProtection="1">
      <protection locked="0"/>
    </xf>
    <xf numFmtId="38" fontId="3" fillId="6" borderId="16" xfId="0" applyNumberFormat="1" applyFont="1" applyFill="1" applyBorder="1" applyProtection="1">
      <protection locked="0"/>
    </xf>
    <xf numFmtId="38" fontId="8" fillId="10" borderId="22" xfId="0" applyNumberFormat="1" applyFont="1" applyFill="1" applyBorder="1"/>
    <xf numFmtId="38" fontId="8" fillId="10" borderId="25" xfId="0" applyNumberFormat="1" applyFont="1" applyFill="1" applyBorder="1"/>
    <xf numFmtId="38" fontId="6" fillId="0" borderId="1" xfId="4" applyNumberFormat="1" applyFont="1"/>
    <xf numFmtId="38" fontId="3" fillId="4" borderId="13" xfId="0" applyNumberFormat="1" applyFont="1" applyFill="1" applyBorder="1" applyAlignment="1">
      <alignment horizontal="center" vertical="center" wrapText="1"/>
    </xf>
    <xf numFmtId="38" fontId="11" fillId="14" borderId="9" xfId="0" applyNumberFormat="1" applyFont="1" applyFill="1" applyBorder="1" applyAlignment="1">
      <alignment horizontal="center" vertical="center" wrapText="1"/>
    </xf>
    <xf numFmtId="38" fontId="11" fillId="14" borderId="5" xfId="0" applyNumberFormat="1" applyFont="1" applyFill="1" applyBorder="1" applyAlignment="1">
      <alignment horizontal="center" vertical="center" wrapText="1"/>
    </xf>
    <xf numFmtId="38" fontId="3" fillId="4" borderId="13" xfId="0" applyNumberFormat="1" applyFont="1" applyFill="1" applyBorder="1" applyAlignment="1">
      <alignment horizontal="center" vertical="center" wrapText="1"/>
    </xf>
    <xf numFmtId="38" fontId="11" fillId="14" borderId="2" xfId="0" applyNumberFormat="1" applyFont="1" applyFill="1" applyBorder="1" applyAlignment="1">
      <alignment horizontal="center" vertical="center" wrapText="1"/>
    </xf>
    <xf numFmtId="38" fontId="11" fillId="14" borderId="3" xfId="0" applyNumberFormat="1" applyFont="1" applyFill="1" applyBorder="1" applyAlignment="1">
      <alignment horizontal="center" vertical="center" wrapText="1"/>
    </xf>
    <xf numFmtId="165" fontId="11" fillId="14" borderId="2" xfId="0" applyNumberFormat="1" applyFont="1" applyFill="1" applyBorder="1" applyAlignment="1">
      <alignment horizontal="center" vertical="center" wrapText="1"/>
    </xf>
    <xf numFmtId="165" fontId="11" fillId="14" borderId="3" xfId="0" applyNumberFormat="1" applyFont="1" applyFill="1" applyBorder="1" applyAlignment="1">
      <alignment horizontal="center" vertical="center" wrapText="1"/>
    </xf>
    <xf numFmtId="165" fontId="11" fillId="14" borderId="4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3" fillId="3" borderId="67" xfId="0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/>
    </xf>
    <xf numFmtId="0" fontId="3" fillId="3" borderId="61" xfId="0" applyFont="1" applyFill="1" applyBorder="1" applyAlignment="1">
      <alignment horizontal="center"/>
    </xf>
    <xf numFmtId="38" fontId="11" fillId="8" borderId="42" xfId="0" applyNumberFormat="1" applyFont="1" applyFill="1" applyBorder="1" applyAlignment="1">
      <alignment horizontal="right"/>
    </xf>
    <xf numFmtId="38" fontId="11" fillId="8" borderId="47" xfId="0" applyNumberFormat="1" applyFont="1" applyFill="1" applyBorder="1" applyAlignment="1">
      <alignment horizontal="right"/>
    </xf>
    <xf numFmtId="0" fontId="12" fillId="9" borderId="2" xfId="6" applyFont="1" applyFill="1" applyBorder="1" applyAlignment="1" applyProtection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38" fontId="11" fillId="8" borderId="57" xfId="0" applyNumberFormat="1" applyFont="1" applyFill="1" applyBorder="1" applyAlignment="1">
      <alignment horizontal="right"/>
    </xf>
    <xf numFmtId="38" fontId="11" fillId="8" borderId="62" xfId="0" applyNumberFormat="1" applyFont="1" applyFill="1" applyBorder="1" applyAlignment="1">
      <alignment horizontal="right"/>
    </xf>
    <xf numFmtId="38" fontId="11" fillId="8" borderId="39" xfId="0" applyNumberFormat="1" applyFont="1" applyFill="1" applyBorder="1" applyAlignment="1">
      <alignment horizontal="right"/>
    </xf>
    <xf numFmtId="38" fontId="11" fillId="8" borderId="46" xfId="0" applyNumberFormat="1" applyFont="1" applyFill="1" applyBorder="1" applyAlignment="1">
      <alignment horizontal="right"/>
    </xf>
    <xf numFmtId="38" fontId="3" fillId="10" borderId="43" xfId="0" applyNumberFormat="1" applyFont="1" applyFill="1" applyBorder="1" applyAlignment="1">
      <alignment horizontal="center"/>
    </xf>
    <xf numFmtId="38" fontId="3" fillId="10" borderId="58" xfId="0" applyNumberFormat="1" applyFont="1" applyFill="1" applyBorder="1" applyAlignment="1">
      <alignment horizontal="center"/>
    </xf>
    <xf numFmtId="38" fontId="3" fillId="10" borderId="62" xfId="0" applyNumberFormat="1" applyFont="1" applyFill="1" applyBorder="1" applyAlignment="1">
      <alignment horizontal="center"/>
    </xf>
    <xf numFmtId="0" fontId="3" fillId="0" borderId="54" xfId="0" applyFont="1" applyBorder="1" applyAlignment="1" applyProtection="1">
      <alignment horizontal="center"/>
      <protection locked="0"/>
    </xf>
    <xf numFmtId="0" fontId="3" fillId="0" borderId="55" xfId="0" applyFont="1" applyBorder="1" applyAlignment="1" applyProtection="1">
      <alignment horizontal="center"/>
      <protection locked="0"/>
    </xf>
    <xf numFmtId="0" fontId="13" fillId="0" borderId="55" xfId="0" applyFont="1" applyBorder="1" applyProtection="1">
      <protection locked="0"/>
    </xf>
    <xf numFmtId="0" fontId="13" fillId="0" borderId="69" xfId="0" applyFont="1" applyBorder="1" applyProtection="1">
      <protection locked="0"/>
    </xf>
    <xf numFmtId="0" fontId="3" fillId="0" borderId="70" xfId="0" applyFont="1" applyBorder="1" applyAlignment="1" applyProtection="1">
      <alignment horizontal="center"/>
      <protection locked="0"/>
    </xf>
    <xf numFmtId="0" fontId="3" fillId="0" borderId="71" xfId="0" applyFont="1" applyBorder="1" applyAlignment="1" applyProtection="1">
      <alignment horizontal="center"/>
      <protection locked="0"/>
    </xf>
    <xf numFmtId="0" fontId="3" fillId="0" borderId="72" xfId="0" applyFont="1" applyBorder="1" applyAlignment="1" applyProtection="1">
      <alignment horizontal="center"/>
      <protection locked="0"/>
    </xf>
    <xf numFmtId="0" fontId="3" fillId="0" borderId="14" xfId="0" applyFont="1" applyBorder="1" applyProtection="1">
      <protection locked="0"/>
    </xf>
    <xf numFmtId="0" fontId="13" fillId="0" borderId="13" xfId="0" applyFont="1" applyBorder="1" applyAlignment="1" applyProtection="1">
      <alignment horizontal="center"/>
      <protection locked="0"/>
    </xf>
    <xf numFmtId="0" fontId="13" fillId="0" borderId="13" xfId="0" applyFont="1" applyBorder="1" applyProtection="1">
      <protection locked="0"/>
    </xf>
    <xf numFmtId="0" fontId="13" fillId="0" borderId="18" xfId="0" applyFont="1" applyBorder="1" applyProtection="1">
      <protection locked="0"/>
    </xf>
    <xf numFmtId="0" fontId="3" fillId="0" borderId="14" xfId="0" applyFont="1" applyBorder="1" applyAlignment="1" applyProtection="1">
      <alignment horizontal="center"/>
      <protection locked="0"/>
    </xf>
    <xf numFmtId="3" fontId="14" fillId="0" borderId="13" xfId="0" applyNumberFormat="1" applyFont="1" applyBorder="1" applyAlignment="1" applyProtection="1">
      <alignment horizontal="center"/>
      <protection locked="0"/>
    </xf>
    <xf numFmtId="167" fontId="13" fillId="16" borderId="13" xfId="0" applyNumberFormat="1" applyFont="1" applyFill="1" applyBorder="1" applyAlignment="1">
      <alignment horizontal="center"/>
    </xf>
    <xf numFmtId="0" fontId="14" fillId="0" borderId="13" xfId="0" applyFont="1" applyBorder="1" applyAlignment="1" applyProtection="1">
      <alignment horizontal="center"/>
      <protection locked="0"/>
    </xf>
    <xf numFmtId="167" fontId="13" fillId="16" borderId="18" xfId="0" applyNumberFormat="1" applyFont="1" applyFill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18" xfId="0" applyNumberFormat="1" applyFont="1" applyBorder="1" applyAlignment="1">
      <alignment horizontal="center"/>
    </xf>
    <xf numFmtId="0" fontId="15" fillId="16" borderId="14" xfId="0" applyFont="1" applyFill="1" applyBorder="1" applyAlignment="1">
      <alignment horizontal="center"/>
    </xf>
    <xf numFmtId="0" fontId="16" fillId="16" borderId="13" xfId="0" applyFont="1" applyFill="1" applyBorder="1" applyAlignment="1">
      <alignment horizontal="center" wrapText="1"/>
    </xf>
    <xf numFmtId="0" fontId="3" fillId="16" borderId="13" xfId="0" applyFont="1" applyFill="1" applyBorder="1" applyAlignment="1">
      <alignment horizontal="center"/>
    </xf>
    <xf numFmtId="167" fontId="3" fillId="16" borderId="13" xfId="0" applyNumberFormat="1" applyFont="1" applyFill="1" applyBorder="1" applyAlignment="1">
      <alignment horizontal="center"/>
    </xf>
    <xf numFmtId="0" fontId="4" fillId="16" borderId="13" xfId="0" applyFont="1" applyFill="1" applyBorder="1" applyAlignment="1">
      <alignment horizontal="center"/>
    </xf>
    <xf numFmtId="167" fontId="3" fillId="16" borderId="18" xfId="0" applyNumberFormat="1" applyFont="1" applyFill="1" applyBorder="1" applyAlignment="1">
      <alignment horizontal="center"/>
    </xf>
  </cellXfs>
  <cellStyles count="7">
    <cellStyle name="Comma 2" xfId="1"/>
    <cellStyle name="Comma 2 2" xfId="2"/>
    <cellStyle name="Hyperlink" xfId="6" builtinId="8"/>
    <cellStyle name="Normal" xfId="0" builtinId="0"/>
    <cellStyle name="Normal 2" xfId="3"/>
    <cellStyle name="Normal 2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4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gomail2017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gomail2017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gomail2017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ugomail2017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ugomail2017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gomail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zoomScaleNormal="100" workbookViewId="0">
      <pane xSplit="1" ySplit="1" topLeftCell="B9" activePane="bottomRight" state="frozen"/>
      <selection pane="topRight" activeCell="C1" sqref="C1"/>
      <selection pane="bottomLeft" activeCell="A2" sqref="A2"/>
      <selection pane="bottomRight" activeCell="J31" sqref="J31"/>
    </sheetView>
  </sheetViews>
  <sheetFormatPr defaultColWidth="9.140625" defaultRowHeight="15" x14ac:dyDescent="0.25"/>
  <cols>
    <col min="1" max="1" width="6.5703125" style="96" bestFit="1" customWidth="1"/>
    <col min="2" max="2" width="14" style="96" customWidth="1"/>
    <col min="3" max="3" width="13.140625" style="95" customWidth="1"/>
    <col min="4" max="4" width="12.85546875" style="95" customWidth="1"/>
    <col min="5" max="5" width="9.140625" style="95"/>
    <col min="6" max="6" width="9.7109375" style="95" customWidth="1"/>
    <col min="7" max="7" width="13.140625" style="95" customWidth="1"/>
    <col min="8" max="8" width="9.140625" style="95"/>
    <col min="9" max="9" width="9.7109375" style="95" customWidth="1"/>
    <col min="10" max="11" width="13" style="95" customWidth="1"/>
    <col min="12" max="12" width="13.140625" style="95" customWidth="1"/>
    <col min="13" max="13" width="14.7109375" style="95" customWidth="1"/>
    <col min="14" max="14" width="14" style="95" customWidth="1"/>
    <col min="15" max="15" width="12.28515625" style="95" customWidth="1"/>
    <col min="16" max="16384" width="9.140625" style="95"/>
  </cols>
  <sheetData>
    <row r="1" spans="1:17" ht="24" customHeight="1" x14ac:dyDescent="0.25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7" x14ac:dyDescent="0.25">
      <c r="A2" s="121" t="s">
        <v>1</v>
      </c>
      <c r="B2" s="121" t="s">
        <v>2</v>
      </c>
      <c r="C2" s="124" t="s">
        <v>3</v>
      </c>
      <c r="D2" s="124"/>
      <c r="E2" s="124"/>
      <c r="F2" s="124"/>
      <c r="G2" s="124" t="s">
        <v>4</v>
      </c>
      <c r="H2" s="124"/>
      <c r="I2" s="124"/>
      <c r="J2" s="124" t="s">
        <v>5</v>
      </c>
      <c r="K2" s="124"/>
      <c r="L2" s="124"/>
      <c r="M2" s="124" t="s">
        <v>6</v>
      </c>
      <c r="N2" s="124"/>
      <c r="O2" s="124"/>
    </row>
    <row r="3" spans="1:17" x14ac:dyDescent="0.25">
      <c r="A3" s="121"/>
      <c r="B3" s="121"/>
      <c r="C3" s="121" t="s">
        <v>7</v>
      </c>
      <c r="D3" s="121"/>
      <c r="E3" s="121" t="s">
        <v>8</v>
      </c>
      <c r="F3" s="121" t="s">
        <v>9</v>
      </c>
      <c r="G3" s="121" t="s">
        <v>7</v>
      </c>
      <c r="H3" s="121" t="s">
        <v>8</v>
      </c>
      <c r="I3" s="121" t="s">
        <v>9</v>
      </c>
      <c r="J3" s="121" t="s">
        <v>7</v>
      </c>
      <c r="K3" s="121" t="s">
        <v>8</v>
      </c>
      <c r="L3" s="121" t="s">
        <v>9</v>
      </c>
      <c r="M3" s="121" t="s">
        <v>10</v>
      </c>
      <c r="N3" s="121" t="s">
        <v>8</v>
      </c>
      <c r="O3" s="121" t="s">
        <v>9</v>
      </c>
    </row>
    <row r="4" spans="1:17" x14ac:dyDescent="0.25">
      <c r="A4" s="97"/>
      <c r="B4" s="97"/>
      <c r="C4" s="98"/>
      <c r="D4" s="99"/>
      <c r="E4" s="99"/>
      <c r="F4" s="100"/>
      <c r="G4" s="98"/>
      <c r="H4" s="99"/>
      <c r="I4" s="100"/>
      <c r="J4" s="98"/>
      <c r="K4" s="99"/>
      <c r="L4" s="100"/>
      <c r="M4" s="98"/>
      <c r="N4" s="99"/>
      <c r="O4" s="100"/>
    </row>
    <row r="5" spans="1:17" x14ac:dyDescent="0.25">
      <c r="A5" s="101">
        <v>1</v>
      </c>
      <c r="B5" s="102" t="str" cm="1">
        <f t="array" aca="1" ref="B5" ca="1">""&amp;INDIRECT(A5&amp;"!f1")&amp;"-"&amp;INDIRECT(A5&amp;"!g1")&amp;"-"&amp;INDIRECT(A5&amp;"!h1")</f>
        <v>1-3-2026</v>
      </c>
      <c r="C5" s="53" cm="1">
        <f t="array" aca="1" ref="C5" ca="1">INDIRECT(A5&amp;"!o11")</f>
        <v>4523</v>
      </c>
      <c r="D5" s="118">
        <f ca="1">IF(C5=0, 0, SUM($C$5:C5)/A5)</f>
        <v>4523</v>
      </c>
      <c r="E5" s="30" cm="1">
        <f t="array" aca="1" ref="E5" ca="1">INDIRECT(A5&amp;"!o12")</f>
        <v>293</v>
      </c>
      <c r="F5" s="62" cm="1">
        <f t="array" aca="1" ref="F5" ca="1">INDIRECT(A5&amp;"!o13")</f>
        <v>0</v>
      </c>
      <c r="G5" s="103" cm="1">
        <f t="array" aca="1" ref="G5" ca="1">INDIRECT(A5&amp;"!G11")</f>
        <v>850</v>
      </c>
      <c r="H5" s="104" cm="1">
        <f t="array" aca="1" ref="H5" ca="1">INDIRECT(A5&amp;"!G14")</f>
        <v>990</v>
      </c>
      <c r="I5" s="105" cm="1">
        <f t="array" aca="1" ref="I5" ca="1">INDIRECT(A5&amp;"!G17")</f>
        <v>0</v>
      </c>
      <c r="J5" s="53" cm="1">
        <f t="array" aca="1" ref="J5" ca="1">INDIRECT(A5&amp;"!O5")</f>
        <v>4573</v>
      </c>
      <c r="K5" s="53" cm="1">
        <f t="array" aca="1" ref="K5" ca="1">INDIRECT(A5&amp;"!O6")</f>
        <v>325</v>
      </c>
      <c r="L5" s="53" cm="1">
        <f t="array" aca="1" ref="L5" ca="1">INDIRECT(A5&amp;"!O7")</f>
        <v>0</v>
      </c>
      <c r="M5" s="53" cm="1">
        <f t="array" aca="1" ref="M5" ca="1">INDIRECT(A5&amp;"!P11")</f>
        <v>3844550</v>
      </c>
      <c r="N5" s="30" cm="1">
        <f t="array" aca="1" ref="N5" ca="1">INDIRECT(A5&amp;"!P12")</f>
        <v>290070</v>
      </c>
      <c r="O5" s="62" cm="1">
        <f t="array" aca="1" ref="O5" ca="1">INDIRECT(A5&amp;"!P13")</f>
        <v>0</v>
      </c>
    </row>
    <row r="6" spans="1:17" x14ac:dyDescent="0.25">
      <c r="A6" s="101">
        <v>2</v>
      </c>
      <c r="B6" s="102" t="str" cm="1">
        <f t="array" aca="1" ref="B6" ca="1">""&amp;INDIRECT(A6&amp;"!f1")&amp;"-"&amp;INDIRECT(A6&amp;"!g1")&amp;"-"&amp;INDIRECT(A6&amp;"!h1")</f>
        <v>2-3-2026</v>
      </c>
      <c r="C6" s="53" cm="1">
        <f t="array" aca="1" ref="C6" ca="1">INDIRECT(A6&amp;"!o11")</f>
        <v>4778</v>
      </c>
      <c r="D6" s="118">
        <f ca="1">IF(C6=0, 0, SUM($C$5:C6)/A6)</f>
        <v>4650.5</v>
      </c>
      <c r="E6" s="30" cm="1">
        <f t="array" aca="1" ref="E6" ca="1">INDIRECT(A6&amp;"!o12")</f>
        <v>386</v>
      </c>
      <c r="F6" s="62" cm="1">
        <f t="array" aca="1" ref="F6" ca="1">INDIRECT(A6&amp;"!o13")</f>
        <v>0</v>
      </c>
      <c r="G6" s="103" cm="1">
        <f t="array" aca="1" ref="G6" ca="1">INDIRECT(A6&amp;"!G11")</f>
        <v>850</v>
      </c>
      <c r="H6" s="104" cm="1">
        <f t="array" aca="1" ref="H6" ca="1">INDIRECT(A6&amp;"!G14")</f>
        <v>990</v>
      </c>
      <c r="I6" s="105" cm="1">
        <f t="array" aca="1" ref="I6" ca="1">INDIRECT(A6&amp;"!G17")</f>
        <v>0</v>
      </c>
      <c r="J6" s="53" cm="1">
        <f t="array" aca="1" ref="J6" ca="1">INDIRECT(A6&amp;"!O5")</f>
        <v>4778</v>
      </c>
      <c r="K6" s="53" cm="1">
        <f t="array" aca="1" ref="K6" ca="1">INDIRECT(A6&amp;"!O6")</f>
        <v>418</v>
      </c>
      <c r="L6" s="53" cm="1">
        <f t="array" aca="1" ref="L6" ca="1">INDIRECT(A6&amp;"!O7")</f>
        <v>0</v>
      </c>
      <c r="M6" s="53" cm="1">
        <f t="array" aca="1" ref="M6" ca="1">INDIRECT(A6&amp;"!P11")</f>
        <v>4061300</v>
      </c>
      <c r="N6" s="30" cm="1">
        <f t="array" aca="1" ref="N6" ca="1">INDIRECT(A6&amp;"!P12")</f>
        <v>382140</v>
      </c>
      <c r="O6" s="62" cm="1">
        <f t="array" aca="1" ref="O6" ca="1">INDIRECT(A6&amp;"!P13")</f>
        <v>0</v>
      </c>
    </row>
    <row r="7" spans="1:17" x14ac:dyDescent="0.25">
      <c r="A7" s="101">
        <v>3</v>
      </c>
      <c r="B7" s="102" t="str" cm="1">
        <f t="array" aca="1" ref="B7" ca="1">""&amp;INDIRECT(A7&amp;"!f1")&amp;"-"&amp;INDIRECT(A7&amp;"!g1")&amp;"-"&amp;INDIRECT(A7&amp;"!h1")</f>
        <v>3-3-2026</v>
      </c>
      <c r="C7" s="53" cm="1">
        <f t="array" aca="1" ref="C7" ca="1">INDIRECT(A7&amp;"!o11")</f>
        <v>4242</v>
      </c>
      <c r="D7" s="118">
        <f ca="1">IF(C7=0, 0, SUM($C$5:C7)/A7)</f>
        <v>4514.333333333333</v>
      </c>
      <c r="E7" s="30" cm="1">
        <f t="array" aca="1" ref="E7" ca="1">INDIRECT(A7&amp;"!o12")</f>
        <v>206</v>
      </c>
      <c r="F7" s="62" cm="1">
        <f t="array" aca="1" ref="F7" ca="1">INDIRECT(A7&amp;"!o13")</f>
        <v>0</v>
      </c>
      <c r="G7" s="103" cm="1">
        <f t="array" aca="1" ref="G7" ca="1">INDIRECT(A7&amp;"!G11")</f>
        <v>850</v>
      </c>
      <c r="H7" s="104" cm="1">
        <f t="array" aca="1" ref="H7" ca="1">INDIRECT(A7&amp;"!G14")</f>
        <v>990</v>
      </c>
      <c r="I7" s="105" cm="1">
        <f t="array" aca="1" ref="I7" ca="1">INDIRECT(A7&amp;"!G17")</f>
        <v>0</v>
      </c>
      <c r="J7" s="53" cm="1">
        <f t="array" aca="1" ref="J7" ca="1">INDIRECT(A7&amp;"!O5")</f>
        <v>4242</v>
      </c>
      <c r="K7" s="53" cm="1">
        <f t="array" aca="1" ref="K7" ca="1">INDIRECT(A7&amp;"!O6")</f>
        <v>239</v>
      </c>
      <c r="L7" s="53" cm="1">
        <f t="array" aca="1" ref="L7" ca="1">INDIRECT(A7&amp;"!O7")</f>
        <v>0</v>
      </c>
      <c r="M7" s="53" cm="1">
        <f t="array" aca="1" ref="M7" ca="1">INDIRECT(A7&amp;"!P11")</f>
        <v>3998300</v>
      </c>
      <c r="N7" s="30" cm="1">
        <f t="array" aca="1" ref="N7" ca="1">INDIRECT(A7&amp;"!P12")</f>
        <v>214200</v>
      </c>
      <c r="O7" s="62" cm="1">
        <f t="array" aca="1" ref="O7" ca="1">INDIRECT(A7&amp;"!P13")</f>
        <v>0</v>
      </c>
    </row>
    <row r="8" spans="1:17" x14ac:dyDescent="0.25">
      <c r="A8" s="101">
        <v>4</v>
      </c>
      <c r="B8" s="102" t="str" cm="1">
        <f t="array" aca="1" ref="B8" ca="1">""&amp;INDIRECT(A8&amp;"!f1")&amp;"-"&amp;INDIRECT(A8&amp;"!g1")&amp;"-"&amp;INDIRECT(A8&amp;"!h1")</f>
        <v>4-3-2026</v>
      </c>
      <c r="C8" s="53" cm="1">
        <f t="array" aca="1" ref="C8" ca="1">INDIRECT(A8&amp;"!o11")</f>
        <v>4845</v>
      </c>
      <c r="D8" s="118">
        <f ca="1">IF(C8=0, 0, SUM($C$5:C8)/A8)</f>
        <v>4597</v>
      </c>
      <c r="E8" s="30" cm="1">
        <f t="array" aca="1" ref="E8" ca="1">INDIRECT(A8&amp;"!o12")</f>
        <v>263</v>
      </c>
      <c r="F8" s="62" cm="1">
        <f t="array" aca="1" ref="F8" ca="1">INDIRECT(A8&amp;"!o13")</f>
        <v>0</v>
      </c>
      <c r="G8" s="103" cm="1">
        <f t="array" aca="1" ref="G8" ca="1">INDIRECT(A8&amp;"!G11")</f>
        <v>950</v>
      </c>
      <c r="H8" s="104" cm="1">
        <f t="array" aca="1" ref="H8" ca="1">INDIRECT(A8&amp;"!G14")</f>
        <v>1050</v>
      </c>
      <c r="I8" s="105" cm="1">
        <f t="array" aca="1" ref="I8" ca="1">INDIRECT(A8&amp;"!G17")</f>
        <v>0</v>
      </c>
      <c r="J8" s="53" cm="1">
        <f t="array" aca="1" ref="J8" ca="1">INDIRECT(A8&amp;"!O5")</f>
        <v>4845</v>
      </c>
      <c r="K8" s="53" cm="1">
        <f t="array" aca="1" ref="K8" ca="1">INDIRECT(A8&amp;"!O6")</f>
        <v>295</v>
      </c>
      <c r="L8" s="53" cm="1">
        <f t="array" aca="1" ref="L8" ca="1">INDIRECT(A8&amp;"!O7")</f>
        <v>0</v>
      </c>
      <c r="M8" s="53" cm="1">
        <f t="array" aca="1" ref="M8" ca="1">INDIRECT(A8&amp;"!P11")</f>
        <v>4602750</v>
      </c>
      <c r="N8" s="30" cm="1">
        <f t="array" aca="1" ref="N8" ca="1">INDIRECT(A8&amp;"!P12")</f>
        <v>276150</v>
      </c>
      <c r="O8" s="62" cm="1">
        <f t="array" aca="1" ref="O8" ca="1">INDIRECT(A8&amp;"!P13")</f>
        <v>0</v>
      </c>
    </row>
    <row r="9" spans="1:17" x14ac:dyDescent="0.25">
      <c r="A9" s="101">
        <v>5</v>
      </c>
      <c r="B9" s="102" t="str" cm="1">
        <f t="array" aca="1" ref="B9" ca="1">""&amp;INDIRECT(A9&amp;"!f1")&amp;"-"&amp;INDIRECT(A9&amp;"!g1")&amp;"-"&amp;INDIRECT(A9&amp;"!h1")</f>
        <v>5-3-2026</v>
      </c>
      <c r="C9" s="53" cm="1">
        <f t="array" aca="1" ref="C9" ca="1">INDIRECT(A9&amp;"!o11")</f>
        <v>4507</v>
      </c>
      <c r="D9" s="118">
        <f ca="1">IF(C9=0, 0, SUM($C$5:C9)/A9)</f>
        <v>4579</v>
      </c>
      <c r="E9" s="30" cm="1">
        <f t="array" aca="1" ref="E9" ca="1">INDIRECT(A9&amp;"!o12")</f>
        <v>372</v>
      </c>
      <c r="F9" s="62" cm="1">
        <f t="array" aca="1" ref="F9" ca="1">INDIRECT(A9&amp;"!o13")</f>
        <v>0</v>
      </c>
      <c r="G9" s="103" cm="1">
        <f t="array" aca="1" ref="G9" ca="1">INDIRECT(A9&amp;"!G11")</f>
        <v>950</v>
      </c>
      <c r="H9" s="104" cm="1">
        <f t="array" aca="1" ref="H9" ca="1">INDIRECT(A9&amp;"!G14")</f>
        <v>1050</v>
      </c>
      <c r="I9" s="105" cm="1">
        <f t="array" aca="1" ref="I9" ca="1">INDIRECT(A9&amp;"!G17")</f>
        <v>0</v>
      </c>
      <c r="J9" s="53" cm="1">
        <f t="array" aca="1" ref="J9" ca="1">INDIRECT(A9&amp;"!O5")</f>
        <v>4507</v>
      </c>
      <c r="K9" s="53" cm="1">
        <f t="array" aca="1" ref="K9" ca="1">INDIRECT(A9&amp;"!O6")</f>
        <v>404</v>
      </c>
      <c r="L9" s="53" cm="1">
        <f t="array" aca="1" ref="L9" ca="1">INDIRECT(A9&amp;"!O7")</f>
        <v>0</v>
      </c>
      <c r="M9" s="53" cm="1">
        <f t="array" aca="1" ref="M9" ca="1">INDIRECT(A9&amp;"!P11")</f>
        <v>4281650</v>
      </c>
      <c r="N9" s="30" cm="1">
        <f t="array" aca="1" ref="N9" ca="1">INDIRECT(A9&amp;"!P12")</f>
        <v>413220</v>
      </c>
      <c r="O9" s="62" cm="1">
        <f t="array" aca="1" ref="O9" ca="1">INDIRECT(A9&amp;"!P13")</f>
        <v>0</v>
      </c>
    </row>
    <row r="10" spans="1:17" x14ac:dyDescent="0.25">
      <c r="A10" s="101">
        <v>6</v>
      </c>
      <c r="B10" s="102" t="str" cm="1">
        <f t="array" aca="1" ref="B10" ca="1">""&amp;INDIRECT(A10&amp;"!f1")&amp;"-"&amp;INDIRECT(A10&amp;"!g1")&amp;"-"&amp;INDIRECT(A10&amp;"!h1")</f>
        <v>6-3-2026</v>
      </c>
      <c r="C10" s="53" cm="1">
        <f t="array" aca="1" ref="C10" ca="1">INDIRECT(A10&amp;"!o11")</f>
        <v>5758</v>
      </c>
      <c r="D10" s="118">
        <f ca="1">IF(C10=0, 0, SUM($C$5:C10)/A10)</f>
        <v>4775.5</v>
      </c>
      <c r="E10" s="30" cm="1">
        <f t="array" aca="1" ref="E10" ca="1">INDIRECT(A10&amp;"!o12")</f>
        <v>461</v>
      </c>
      <c r="F10" s="62" cm="1">
        <f t="array" aca="1" ref="F10" ca="1">INDIRECT(A10&amp;"!o13")</f>
        <v>0</v>
      </c>
      <c r="G10" s="103" cm="1">
        <f t="array" aca="1" ref="G10" ca="1">INDIRECT(A10&amp;"!G11")</f>
        <v>950</v>
      </c>
      <c r="H10" s="104" cm="1">
        <f t="array" aca="1" ref="H10" ca="1">INDIRECT(A10&amp;"!G14")</f>
        <v>1200</v>
      </c>
      <c r="I10" s="105" cm="1">
        <f t="array" aca="1" ref="I10" ca="1">INDIRECT(A10&amp;"!G17")</f>
        <v>0</v>
      </c>
      <c r="J10" s="53" cm="1">
        <f t="array" aca="1" ref="J10" ca="1">INDIRECT(A10&amp;"!O5")</f>
        <v>5758</v>
      </c>
      <c r="K10" s="53" cm="1">
        <f t="array" aca="1" ref="K10" ca="1">INDIRECT(A10&amp;"!O6")</f>
        <v>493</v>
      </c>
      <c r="L10" s="53" cm="1">
        <f t="array" aca="1" ref="L10" ca="1">INDIRECT(A10&amp;"!O7")</f>
        <v>0</v>
      </c>
      <c r="M10" s="53" cm="1">
        <f t="array" aca="1" ref="M10" ca="1">INDIRECT(A10&amp;"!P11")</f>
        <v>5594225</v>
      </c>
      <c r="N10" s="30" cm="1">
        <f t="array" aca="1" ref="N10" ca="1">INDIRECT(A10&amp;"!P12")</f>
        <v>623300</v>
      </c>
      <c r="O10" s="62" cm="1">
        <f t="array" aca="1" ref="O10" ca="1">INDIRECT(A10&amp;"!P13")</f>
        <v>0</v>
      </c>
    </row>
    <row r="11" spans="1:17" x14ac:dyDescent="0.25">
      <c r="A11" s="101"/>
      <c r="B11" s="102"/>
      <c r="C11" s="53"/>
      <c r="D11" s="118"/>
      <c r="E11" s="30"/>
      <c r="F11" s="62"/>
      <c r="G11" s="103"/>
      <c r="H11" s="104"/>
      <c r="I11" s="105"/>
      <c r="J11" s="53"/>
      <c r="K11" s="53"/>
      <c r="L11" s="53"/>
      <c r="M11" s="53"/>
      <c r="N11" s="30"/>
      <c r="O11" s="62"/>
    </row>
    <row r="12" spans="1:17" x14ac:dyDescent="0.25">
      <c r="A12" s="101"/>
      <c r="B12" s="102"/>
      <c r="C12" s="53"/>
      <c r="D12" s="118"/>
      <c r="E12" s="30"/>
      <c r="F12" s="62"/>
      <c r="G12" s="103"/>
      <c r="H12" s="104"/>
      <c r="I12" s="105"/>
      <c r="J12" s="53"/>
      <c r="K12" s="53"/>
      <c r="L12" s="53"/>
      <c r="M12" s="53"/>
      <c r="N12" s="30"/>
      <c r="O12" s="62"/>
    </row>
    <row r="13" spans="1:17" x14ac:dyDescent="0.25">
      <c r="A13" s="101"/>
      <c r="B13" s="102"/>
      <c r="C13" s="53"/>
      <c r="D13" s="118"/>
      <c r="E13" s="30"/>
      <c r="F13" s="62"/>
      <c r="G13" s="103"/>
      <c r="H13" s="104"/>
      <c r="I13" s="105"/>
      <c r="J13" s="53"/>
      <c r="K13" s="53"/>
      <c r="L13" s="53"/>
      <c r="M13" s="53"/>
      <c r="N13" s="30"/>
      <c r="O13" s="62"/>
    </row>
    <row r="14" spans="1:17" x14ac:dyDescent="0.25">
      <c r="A14" s="101"/>
      <c r="B14" s="102"/>
      <c r="C14" s="53"/>
      <c r="D14" s="118"/>
      <c r="E14" s="30"/>
      <c r="F14" s="62"/>
      <c r="G14" s="103"/>
      <c r="H14" s="104"/>
      <c r="I14" s="105"/>
      <c r="J14" s="53"/>
      <c r="K14" s="53"/>
      <c r="L14" s="53"/>
      <c r="M14" s="53"/>
      <c r="N14" s="30"/>
      <c r="O14" s="62"/>
      <c r="Q14" s="120"/>
    </row>
    <row r="15" spans="1:17" x14ac:dyDescent="0.25">
      <c r="A15" s="101"/>
      <c r="B15" s="102"/>
      <c r="C15" s="53"/>
      <c r="D15" s="118"/>
      <c r="E15" s="30"/>
      <c r="F15" s="62"/>
      <c r="G15" s="103"/>
      <c r="H15" s="104"/>
      <c r="I15" s="105"/>
      <c r="J15" s="53"/>
      <c r="K15" s="53"/>
      <c r="L15" s="53"/>
      <c r="M15" s="53"/>
      <c r="N15" s="30"/>
      <c r="O15" s="62"/>
    </row>
    <row r="16" spans="1:17" x14ac:dyDescent="0.25">
      <c r="A16" s="101"/>
      <c r="B16" s="102"/>
      <c r="C16" s="53"/>
      <c r="D16" s="118"/>
      <c r="E16" s="30"/>
      <c r="F16" s="62"/>
      <c r="G16" s="103"/>
      <c r="H16" s="104"/>
      <c r="I16" s="105"/>
      <c r="J16" s="53"/>
      <c r="K16" s="53"/>
      <c r="L16" s="53"/>
      <c r="M16" s="53"/>
      <c r="N16" s="30"/>
      <c r="O16" s="62"/>
    </row>
    <row r="17" spans="1:15" x14ac:dyDescent="0.25">
      <c r="A17" s="101"/>
      <c r="B17" s="102"/>
      <c r="C17" s="53"/>
      <c r="D17" s="118"/>
      <c r="E17" s="30"/>
      <c r="F17" s="62"/>
      <c r="G17" s="103"/>
      <c r="H17" s="104"/>
      <c r="I17" s="105"/>
      <c r="J17" s="53"/>
      <c r="K17" s="53"/>
      <c r="L17" s="53"/>
      <c r="M17" s="53"/>
      <c r="N17" s="30"/>
      <c r="O17" s="62"/>
    </row>
    <row r="18" spans="1:15" x14ac:dyDescent="0.25">
      <c r="A18" s="101"/>
      <c r="B18" s="102"/>
      <c r="C18" s="53"/>
      <c r="D18" s="118"/>
      <c r="E18" s="30"/>
      <c r="F18" s="62"/>
      <c r="G18" s="103"/>
      <c r="H18" s="104"/>
      <c r="I18" s="105"/>
      <c r="J18" s="53"/>
      <c r="K18" s="53"/>
      <c r="L18" s="53"/>
      <c r="M18" s="53"/>
      <c r="N18" s="30"/>
      <c r="O18" s="62"/>
    </row>
    <row r="19" spans="1:15" x14ac:dyDescent="0.25">
      <c r="A19" s="101"/>
      <c r="B19" s="102"/>
      <c r="C19" s="53"/>
      <c r="D19" s="118"/>
      <c r="E19" s="30"/>
      <c r="F19" s="62"/>
      <c r="G19" s="103"/>
      <c r="H19" s="104"/>
      <c r="I19" s="105"/>
      <c r="J19" s="53"/>
      <c r="K19" s="53"/>
      <c r="L19" s="53"/>
      <c r="M19" s="53"/>
      <c r="N19" s="30"/>
      <c r="O19" s="62"/>
    </row>
    <row r="20" spans="1:15" x14ac:dyDescent="0.25">
      <c r="A20" s="101"/>
      <c r="B20" s="102"/>
      <c r="C20" s="53"/>
      <c r="D20" s="118"/>
      <c r="E20" s="30"/>
      <c r="F20" s="62"/>
      <c r="G20" s="103"/>
      <c r="H20" s="104"/>
      <c r="I20" s="105"/>
      <c r="J20" s="53"/>
      <c r="K20" s="53"/>
      <c r="L20" s="53"/>
      <c r="M20" s="53"/>
      <c r="N20" s="30"/>
      <c r="O20" s="62"/>
    </row>
    <row r="21" spans="1:15" x14ac:dyDescent="0.25">
      <c r="A21" s="101"/>
      <c r="B21" s="102"/>
      <c r="C21" s="53"/>
      <c r="D21" s="118"/>
      <c r="E21" s="30"/>
      <c r="F21" s="62"/>
      <c r="G21" s="103"/>
      <c r="H21" s="104"/>
      <c r="I21" s="105"/>
      <c r="J21" s="53"/>
      <c r="K21" s="53"/>
      <c r="L21" s="53"/>
      <c r="M21" s="53"/>
      <c r="N21" s="30"/>
      <c r="O21" s="62"/>
    </row>
    <row r="22" spans="1:15" x14ac:dyDescent="0.25">
      <c r="A22" s="101"/>
      <c r="B22" s="102"/>
      <c r="C22" s="53"/>
      <c r="D22" s="118"/>
      <c r="E22" s="30"/>
      <c r="F22" s="62"/>
      <c r="G22" s="103"/>
      <c r="H22" s="104"/>
      <c r="I22" s="105"/>
      <c r="J22" s="53"/>
      <c r="K22" s="53"/>
      <c r="L22" s="53"/>
      <c r="M22" s="53"/>
      <c r="N22" s="30"/>
      <c r="O22" s="62"/>
    </row>
    <row r="23" spans="1:15" x14ac:dyDescent="0.25">
      <c r="A23" s="101"/>
      <c r="B23" s="102"/>
      <c r="C23" s="53"/>
      <c r="D23" s="118"/>
      <c r="E23" s="30"/>
      <c r="F23" s="62"/>
      <c r="G23" s="103"/>
      <c r="H23" s="104"/>
      <c r="I23" s="105"/>
      <c r="J23" s="53"/>
      <c r="K23" s="53"/>
      <c r="L23" s="53"/>
      <c r="M23" s="53"/>
      <c r="N23" s="30"/>
      <c r="O23" s="62"/>
    </row>
    <row r="24" spans="1:15" x14ac:dyDescent="0.25">
      <c r="A24" s="101"/>
      <c r="B24" s="102"/>
      <c r="C24" s="53"/>
      <c r="D24" s="118"/>
      <c r="E24" s="30"/>
      <c r="F24" s="62"/>
      <c r="G24" s="103"/>
      <c r="H24" s="104"/>
      <c r="I24" s="105"/>
      <c r="J24" s="53"/>
      <c r="K24" s="53"/>
      <c r="L24" s="53"/>
      <c r="M24" s="53"/>
      <c r="N24" s="30"/>
      <c r="O24" s="62"/>
    </row>
    <row r="25" spans="1:15" x14ac:dyDescent="0.25">
      <c r="A25" s="101"/>
      <c r="B25" s="102"/>
      <c r="C25" s="53"/>
      <c r="D25" s="118"/>
      <c r="E25" s="30"/>
      <c r="F25" s="62"/>
      <c r="G25" s="103"/>
      <c r="H25" s="104"/>
      <c r="I25" s="105"/>
      <c r="J25" s="53"/>
      <c r="K25" s="53"/>
      <c r="L25" s="53"/>
      <c r="M25" s="53"/>
      <c r="N25" s="30"/>
      <c r="O25" s="62"/>
    </row>
    <row r="26" spans="1:15" x14ac:dyDescent="0.25">
      <c r="A26" s="101"/>
      <c r="B26" s="102"/>
      <c r="C26" s="53"/>
      <c r="D26" s="118"/>
      <c r="E26" s="30"/>
      <c r="F26" s="62"/>
      <c r="G26" s="103"/>
      <c r="H26" s="104"/>
      <c r="I26" s="105"/>
      <c r="J26" s="53"/>
      <c r="K26" s="53"/>
      <c r="L26" s="53"/>
      <c r="M26" s="53"/>
      <c r="N26" s="30"/>
      <c r="O26" s="62"/>
    </row>
    <row r="27" spans="1:15" x14ac:dyDescent="0.25">
      <c r="A27" s="101"/>
      <c r="B27" s="102"/>
      <c r="C27" s="53"/>
      <c r="D27" s="118"/>
      <c r="E27" s="30"/>
      <c r="F27" s="62"/>
      <c r="G27" s="103"/>
      <c r="H27" s="104"/>
      <c r="I27" s="105"/>
      <c r="J27" s="53"/>
      <c r="K27" s="53"/>
      <c r="L27" s="53"/>
      <c r="M27" s="53"/>
      <c r="N27" s="30"/>
      <c r="O27" s="62"/>
    </row>
    <row r="28" spans="1:15" x14ac:dyDescent="0.25">
      <c r="A28" s="101"/>
      <c r="B28" s="102"/>
      <c r="C28" s="53"/>
      <c r="D28" s="118"/>
      <c r="E28" s="30"/>
      <c r="F28" s="62"/>
      <c r="G28" s="103"/>
      <c r="H28" s="104"/>
      <c r="I28" s="105"/>
      <c r="J28" s="53"/>
      <c r="K28" s="53"/>
      <c r="L28" s="53"/>
      <c r="M28" s="53"/>
      <c r="N28" s="30"/>
      <c r="O28" s="62"/>
    </row>
    <row r="29" spans="1:15" x14ac:dyDescent="0.25">
      <c r="A29" s="101"/>
      <c r="B29" s="102"/>
      <c r="C29" s="53"/>
      <c r="D29" s="118"/>
      <c r="E29" s="30"/>
      <c r="F29" s="62"/>
      <c r="G29" s="103"/>
      <c r="H29" s="104"/>
      <c r="I29" s="105"/>
      <c r="J29" s="53"/>
      <c r="K29" s="53"/>
      <c r="L29" s="53"/>
      <c r="M29" s="53"/>
      <c r="N29" s="30"/>
      <c r="O29" s="62"/>
    </row>
    <row r="30" spans="1:15" x14ac:dyDescent="0.25">
      <c r="A30" s="101"/>
      <c r="B30" s="102"/>
      <c r="C30" s="53"/>
      <c r="D30" s="118"/>
      <c r="E30" s="30"/>
      <c r="F30" s="62"/>
      <c r="G30" s="103"/>
      <c r="H30" s="104"/>
      <c r="I30" s="105"/>
      <c r="J30" s="53"/>
      <c r="K30" s="53"/>
      <c r="L30" s="53"/>
      <c r="M30" s="53"/>
      <c r="N30" s="30"/>
      <c r="O30" s="62"/>
    </row>
    <row r="31" spans="1:15" x14ac:dyDescent="0.25">
      <c r="A31" s="101"/>
      <c r="B31" s="102"/>
      <c r="C31" s="53"/>
      <c r="D31" s="118"/>
      <c r="E31" s="30"/>
      <c r="F31" s="62"/>
      <c r="G31" s="103"/>
      <c r="H31" s="104"/>
      <c r="I31" s="105"/>
      <c r="J31" s="53"/>
      <c r="K31" s="53"/>
      <c r="L31" s="53"/>
      <c r="M31" s="53"/>
      <c r="N31" s="30"/>
      <c r="O31" s="62"/>
    </row>
    <row r="32" spans="1:15" x14ac:dyDescent="0.25">
      <c r="A32" s="101"/>
      <c r="B32" s="102"/>
      <c r="C32" s="53"/>
      <c r="D32" s="118"/>
      <c r="E32" s="30"/>
      <c r="F32" s="62"/>
      <c r="G32" s="103"/>
      <c r="H32" s="104"/>
      <c r="I32" s="105"/>
      <c r="J32" s="53"/>
      <c r="K32" s="53"/>
      <c r="L32" s="53"/>
      <c r="M32" s="53"/>
      <c r="N32" s="30"/>
      <c r="O32" s="62"/>
    </row>
    <row r="33" spans="1:15" x14ac:dyDescent="0.25">
      <c r="A33" s="101"/>
      <c r="B33" s="102"/>
      <c r="C33" s="53"/>
      <c r="D33" s="118"/>
      <c r="E33" s="30"/>
      <c r="F33" s="62"/>
      <c r="G33" s="103"/>
      <c r="H33" s="104"/>
      <c r="I33" s="105"/>
      <c r="J33" s="53"/>
      <c r="K33" s="53"/>
      <c r="L33" s="53"/>
      <c r="M33" s="53"/>
      <c r="N33" s="30"/>
      <c r="O33" s="62"/>
    </row>
    <row r="34" spans="1:15" x14ac:dyDescent="0.25">
      <c r="A34" s="101"/>
      <c r="B34" s="102"/>
      <c r="C34" s="53"/>
      <c r="D34" s="118"/>
      <c r="E34" s="30"/>
      <c r="F34" s="62"/>
      <c r="G34" s="103"/>
      <c r="H34" s="104"/>
      <c r="I34" s="105"/>
      <c r="J34" s="53"/>
      <c r="K34" s="53"/>
      <c r="L34" s="53"/>
      <c r="M34" s="53"/>
      <c r="N34" s="30"/>
      <c r="O34" s="62"/>
    </row>
    <row r="35" spans="1:15" ht="15.75" thickBot="1" x14ac:dyDescent="0.3">
      <c r="A35" s="106"/>
      <c r="B35" s="107"/>
      <c r="C35" s="108"/>
      <c r="D35" s="119"/>
      <c r="E35" s="109"/>
      <c r="F35" s="110"/>
      <c r="G35" s="111"/>
      <c r="H35" s="112"/>
      <c r="I35" s="113"/>
      <c r="J35" s="108"/>
      <c r="K35" s="108"/>
      <c r="L35" s="108"/>
      <c r="M35" s="108"/>
      <c r="N35" s="109"/>
      <c r="O35" s="62"/>
    </row>
    <row r="36" spans="1:15" x14ac:dyDescent="0.25">
      <c r="A36" s="114"/>
      <c r="B36" s="115"/>
      <c r="C36" s="115">
        <f ca="1">SUM(C5:C35)</f>
        <v>28653</v>
      </c>
      <c r="D36" s="115"/>
      <c r="E36" s="115">
        <f t="shared" ref="E36:K36" ca="1" si="0">SUM(E5:E35)</f>
        <v>1981</v>
      </c>
      <c r="F36" s="115">
        <f t="shared" ca="1" si="0"/>
        <v>0</v>
      </c>
      <c r="G36" s="115"/>
      <c r="H36" s="115"/>
      <c r="I36" s="115"/>
      <c r="J36" s="115">
        <f t="shared" ca="1" si="0"/>
        <v>28703</v>
      </c>
      <c r="K36" s="115">
        <f t="shared" ca="1" si="0"/>
        <v>2174</v>
      </c>
      <c r="L36" s="115">
        <f ca="1">SUM(L5:L35)</f>
        <v>0</v>
      </c>
      <c r="M36" s="115">
        <f t="shared" ref="M36:O36" ca="1" si="1">SUM(M5:M35)</f>
        <v>26382775</v>
      </c>
      <c r="N36" s="115">
        <f t="shared" ca="1" si="1"/>
        <v>2199080</v>
      </c>
      <c r="O36" s="115">
        <f t="shared" ca="1" si="1"/>
        <v>0</v>
      </c>
    </row>
  </sheetData>
  <mergeCells count="5">
    <mergeCell ref="A1:O1"/>
    <mergeCell ref="M2:O2"/>
    <mergeCell ref="C2:F2"/>
    <mergeCell ref="G2:I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workbookViewId="0">
      <selection sqref="A1:F82"/>
    </sheetView>
  </sheetViews>
  <sheetFormatPr defaultRowHeight="15" x14ac:dyDescent="0.25"/>
  <cols>
    <col min="1" max="1" width="15.7109375" customWidth="1"/>
    <col min="2" max="2" width="38" customWidth="1"/>
    <col min="3" max="3" width="22.5703125" customWidth="1"/>
    <col min="4" max="4" width="26.5703125" customWidth="1"/>
    <col min="5" max="5" width="15.7109375" customWidth="1"/>
    <col min="6" max="6" width="16.7109375" customWidth="1"/>
  </cols>
  <sheetData>
    <row r="1" spans="1:6" ht="15.75" thickBot="1" x14ac:dyDescent="0.3">
      <c r="A1" s="146">
        <v>1</v>
      </c>
      <c r="B1" s="147" t="s">
        <v>47</v>
      </c>
      <c r="C1" s="147"/>
      <c r="D1" s="148"/>
      <c r="E1" s="148"/>
      <c r="F1" s="149"/>
    </row>
    <row r="2" spans="1:6" x14ac:dyDescent="0.25">
      <c r="A2" s="150" t="s">
        <v>48</v>
      </c>
      <c r="B2" s="151" t="s">
        <v>49</v>
      </c>
      <c r="C2" s="151" t="s">
        <v>50</v>
      </c>
      <c r="D2" s="151" t="s">
        <v>51</v>
      </c>
      <c r="E2" s="151" t="s">
        <v>28</v>
      </c>
      <c r="F2" s="152" t="s">
        <v>29</v>
      </c>
    </row>
    <row r="3" spans="1:6" x14ac:dyDescent="0.25">
      <c r="A3" s="153"/>
      <c r="B3" s="154"/>
      <c r="C3" s="154"/>
      <c r="D3" s="155"/>
      <c r="E3" s="155"/>
      <c r="F3" s="156"/>
    </row>
    <row r="4" spans="1:6" x14ac:dyDescent="0.25">
      <c r="A4" s="157" t="s">
        <v>52</v>
      </c>
      <c r="B4" s="158">
        <v>945281</v>
      </c>
      <c r="C4" s="158">
        <v>945479</v>
      </c>
      <c r="D4" s="159">
        <f>C4-B4</f>
        <v>198</v>
      </c>
      <c r="E4" s="160">
        <v>850</v>
      </c>
      <c r="F4" s="161">
        <f t="shared" ref="F4:F67" si="0">D4*E4</f>
        <v>168300</v>
      </c>
    </row>
    <row r="5" spans="1:6" x14ac:dyDescent="0.25">
      <c r="A5" s="157" t="s">
        <v>53</v>
      </c>
      <c r="B5" s="158">
        <v>913277</v>
      </c>
      <c r="C5" s="158">
        <v>913278</v>
      </c>
      <c r="D5" s="159">
        <f t="shared" ref="D5:D68" si="1">C5-B5</f>
        <v>1</v>
      </c>
      <c r="E5" s="160">
        <v>850</v>
      </c>
      <c r="F5" s="161">
        <f t="shared" si="0"/>
        <v>850</v>
      </c>
    </row>
    <row r="6" spans="1:6" x14ac:dyDescent="0.25">
      <c r="A6" s="157" t="s">
        <v>54</v>
      </c>
      <c r="B6" s="158">
        <v>1361945</v>
      </c>
      <c r="C6" s="158">
        <v>1365359</v>
      </c>
      <c r="D6" s="159">
        <f t="shared" si="1"/>
        <v>3414</v>
      </c>
      <c r="E6" s="160">
        <v>850</v>
      </c>
      <c r="F6" s="161">
        <f t="shared" si="0"/>
        <v>2901900</v>
      </c>
    </row>
    <row r="7" spans="1:6" x14ac:dyDescent="0.25">
      <c r="A7" s="157" t="s">
        <v>55</v>
      </c>
      <c r="B7" s="158">
        <v>1149584</v>
      </c>
      <c r="C7" s="158">
        <v>1149584</v>
      </c>
      <c r="D7" s="159">
        <f t="shared" si="1"/>
        <v>0</v>
      </c>
      <c r="E7" s="160">
        <v>850</v>
      </c>
      <c r="F7" s="161">
        <f t="shared" si="0"/>
        <v>0</v>
      </c>
    </row>
    <row r="8" spans="1:6" x14ac:dyDescent="0.25">
      <c r="A8" s="157" t="s">
        <v>56</v>
      </c>
      <c r="B8" s="158">
        <v>1213393</v>
      </c>
      <c r="C8" s="158">
        <v>1214846</v>
      </c>
      <c r="D8" s="159">
        <f t="shared" si="1"/>
        <v>1453</v>
      </c>
      <c r="E8" s="160">
        <v>850</v>
      </c>
      <c r="F8" s="161">
        <f t="shared" si="0"/>
        <v>1235050</v>
      </c>
    </row>
    <row r="9" spans="1:6" x14ac:dyDescent="0.25">
      <c r="A9" s="157" t="s">
        <v>57</v>
      </c>
      <c r="B9" s="158">
        <v>1040351</v>
      </c>
      <c r="C9" s="158">
        <v>1041765</v>
      </c>
      <c r="D9" s="159">
        <f t="shared" si="1"/>
        <v>1414</v>
      </c>
      <c r="E9" s="160">
        <v>850</v>
      </c>
      <c r="F9" s="161">
        <f t="shared" si="0"/>
        <v>1201900</v>
      </c>
    </row>
    <row r="10" spans="1:6" x14ac:dyDescent="0.25">
      <c r="A10" s="157" t="s">
        <v>58</v>
      </c>
      <c r="B10" s="158">
        <v>1012522</v>
      </c>
      <c r="C10" s="158">
        <v>1012522</v>
      </c>
      <c r="D10" s="159">
        <f t="shared" si="1"/>
        <v>0</v>
      </c>
      <c r="E10" s="160">
        <v>850</v>
      </c>
      <c r="F10" s="161">
        <f t="shared" si="0"/>
        <v>0</v>
      </c>
    </row>
    <row r="11" spans="1:6" x14ac:dyDescent="0.25">
      <c r="A11" s="157" t="s">
        <v>59</v>
      </c>
      <c r="B11" s="158">
        <v>1145146</v>
      </c>
      <c r="C11" s="158">
        <v>1148333</v>
      </c>
      <c r="D11" s="159">
        <f t="shared" si="1"/>
        <v>3187</v>
      </c>
      <c r="E11" s="160">
        <v>850</v>
      </c>
      <c r="F11" s="161">
        <f t="shared" si="0"/>
        <v>2708950</v>
      </c>
    </row>
    <row r="12" spans="1:6" x14ac:dyDescent="0.25">
      <c r="A12" s="157"/>
      <c r="B12" s="160"/>
      <c r="C12" s="160"/>
      <c r="D12" s="159">
        <f t="shared" si="1"/>
        <v>0</v>
      </c>
      <c r="E12" s="160"/>
      <c r="F12" s="161">
        <f t="shared" si="0"/>
        <v>0</v>
      </c>
    </row>
    <row r="13" spans="1:6" x14ac:dyDescent="0.25">
      <c r="A13" s="157"/>
      <c r="B13" s="160"/>
      <c r="C13" s="160"/>
      <c r="D13" s="159">
        <f t="shared" si="1"/>
        <v>0</v>
      </c>
      <c r="E13" s="160"/>
      <c r="F13" s="161">
        <f t="shared" si="0"/>
        <v>0</v>
      </c>
    </row>
    <row r="14" spans="1:6" x14ac:dyDescent="0.25">
      <c r="A14" s="157" t="s">
        <v>52</v>
      </c>
      <c r="B14" s="158">
        <v>945479</v>
      </c>
      <c r="C14" s="158">
        <v>947628</v>
      </c>
      <c r="D14" s="159">
        <f t="shared" si="1"/>
        <v>2149</v>
      </c>
      <c r="E14" s="160">
        <v>950</v>
      </c>
      <c r="F14" s="161">
        <f t="shared" si="0"/>
        <v>2041550</v>
      </c>
    </row>
    <row r="15" spans="1:6" x14ac:dyDescent="0.25">
      <c r="A15" s="157" t="s">
        <v>53</v>
      </c>
      <c r="B15" s="158">
        <v>913278</v>
      </c>
      <c r="C15" s="158">
        <v>913374</v>
      </c>
      <c r="D15" s="159">
        <f t="shared" si="1"/>
        <v>96</v>
      </c>
      <c r="E15" s="160">
        <v>950</v>
      </c>
      <c r="F15" s="161">
        <f t="shared" si="0"/>
        <v>91200</v>
      </c>
    </row>
    <row r="16" spans="1:6" x14ac:dyDescent="0.25">
      <c r="A16" s="157" t="s">
        <v>54</v>
      </c>
      <c r="B16" s="158">
        <v>1365359</v>
      </c>
      <c r="C16" s="158">
        <v>1370607</v>
      </c>
      <c r="D16" s="159">
        <f t="shared" si="1"/>
        <v>5248</v>
      </c>
      <c r="E16" s="160">
        <v>950</v>
      </c>
      <c r="F16" s="161">
        <f t="shared" si="0"/>
        <v>4985600</v>
      </c>
    </row>
    <row r="17" spans="1:6" x14ac:dyDescent="0.25">
      <c r="A17" s="157" t="s">
        <v>55</v>
      </c>
      <c r="B17" s="158">
        <v>1149584</v>
      </c>
      <c r="C17" s="158">
        <v>1151178</v>
      </c>
      <c r="D17" s="159">
        <f t="shared" si="1"/>
        <v>1594</v>
      </c>
      <c r="E17" s="160">
        <v>950</v>
      </c>
      <c r="F17" s="161">
        <f t="shared" si="0"/>
        <v>1514300</v>
      </c>
    </row>
    <row r="18" spans="1:6" x14ac:dyDescent="0.25">
      <c r="A18" s="157" t="s">
        <v>56</v>
      </c>
      <c r="B18" s="158">
        <v>1214846</v>
      </c>
      <c r="C18" s="158">
        <v>1215271</v>
      </c>
      <c r="D18" s="159">
        <f t="shared" si="1"/>
        <v>425</v>
      </c>
      <c r="E18" s="160">
        <v>950</v>
      </c>
      <c r="F18" s="161">
        <f t="shared" si="0"/>
        <v>403750</v>
      </c>
    </row>
    <row r="19" spans="1:6" x14ac:dyDescent="0.25">
      <c r="A19" s="157" t="s">
        <v>57</v>
      </c>
      <c r="B19" s="158">
        <v>1041765</v>
      </c>
      <c r="C19" s="158">
        <v>1044332</v>
      </c>
      <c r="D19" s="159">
        <f t="shared" si="1"/>
        <v>2567</v>
      </c>
      <c r="E19" s="160">
        <v>950</v>
      </c>
      <c r="F19" s="161">
        <f t="shared" si="0"/>
        <v>2438650</v>
      </c>
    </row>
    <row r="20" spans="1:6" x14ac:dyDescent="0.25">
      <c r="A20" s="157" t="s">
        <v>58</v>
      </c>
      <c r="B20" s="158">
        <v>1012522</v>
      </c>
      <c r="C20" s="158">
        <v>1012522</v>
      </c>
      <c r="D20" s="159">
        <f t="shared" si="1"/>
        <v>0</v>
      </c>
      <c r="E20" s="160">
        <v>950</v>
      </c>
      <c r="F20" s="161">
        <f t="shared" si="0"/>
        <v>0</v>
      </c>
    </row>
    <row r="21" spans="1:6" x14ac:dyDescent="0.25">
      <c r="A21" s="157" t="s">
        <v>59</v>
      </c>
      <c r="B21" s="158">
        <v>1148333</v>
      </c>
      <c r="C21" s="158">
        <v>1153635</v>
      </c>
      <c r="D21" s="159">
        <f t="shared" si="1"/>
        <v>5302</v>
      </c>
      <c r="E21" s="160">
        <v>950</v>
      </c>
      <c r="F21" s="161">
        <f t="shared" si="0"/>
        <v>5036900</v>
      </c>
    </row>
    <row r="22" spans="1:6" x14ac:dyDescent="0.25">
      <c r="A22" s="157"/>
      <c r="B22" s="160"/>
      <c r="C22" s="160"/>
      <c r="D22" s="159">
        <f t="shared" si="1"/>
        <v>0</v>
      </c>
      <c r="E22" s="160"/>
      <c r="F22" s="161">
        <f t="shared" si="0"/>
        <v>0</v>
      </c>
    </row>
    <row r="23" spans="1:6" x14ac:dyDescent="0.25">
      <c r="A23" s="157"/>
      <c r="B23" s="160"/>
      <c r="C23" s="160"/>
      <c r="D23" s="159">
        <f t="shared" si="1"/>
        <v>0</v>
      </c>
      <c r="E23" s="160"/>
      <c r="F23" s="161">
        <f t="shared" si="0"/>
        <v>0</v>
      </c>
    </row>
    <row r="24" spans="1:6" x14ac:dyDescent="0.25">
      <c r="A24" s="157" t="s">
        <v>52</v>
      </c>
      <c r="B24" s="158">
        <v>947628</v>
      </c>
      <c r="C24" s="158">
        <v>947748</v>
      </c>
      <c r="D24" s="159">
        <f t="shared" si="1"/>
        <v>120</v>
      </c>
      <c r="E24" s="160">
        <v>1025</v>
      </c>
      <c r="F24" s="161">
        <f t="shared" si="0"/>
        <v>123000</v>
      </c>
    </row>
    <row r="25" spans="1:6" x14ac:dyDescent="0.25">
      <c r="A25" s="157" t="s">
        <v>53</v>
      </c>
      <c r="B25" s="158">
        <v>913374</v>
      </c>
      <c r="C25" s="158">
        <v>913374</v>
      </c>
      <c r="D25" s="159">
        <f t="shared" si="1"/>
        <v>0</v>
      </c>
      <c r="E25" s="160">
        <v>1025</v>
      </c>
      <c r="F25" s="161">
        <f t="shared" si="0"/>
        <v>0</v>
      </c>
    </row>
    <row r="26" spans="1:6" x14ac:dyDescent="0.25">
      <c r="A26" s="157" t="s">
        <v>54</v>
      </c>
      <c r="B26" s="158">
        <v>1370607</v>
      </c>
      <c r="C26" s="158">
        <v>1371332</v>
      </c>
      <c r="D26" s="159">
        <f t="shared" si="1"/>
        <v>725</v>
      </c>
      <c r="E26" s="160">
        <v>1025</v>
      </c>
      <c r="F26" s="161">
        <f t="shared" si="0"/>
        <v>743125</v>
      </c>
    </row>
    <row r="27" spans="1:6" x14ac:dyDescent="0.25">
      <c r="A27" s="157" t="s">
        <v>55</v>
      </c>
      <c r="B27" s="158">
        <v>1151178</v>
      </c>
      <c r="C27" s="158">
        <v>1151178</v>
      </c>
      <c r="D27" s="159">
        <f t="shared" si="1"/>
        <v>0</v>
      </c>
      <c r="E27" s="160">
        <v>1025</v>
      </c>
      <c r="F27" s="161">
        <f t="shared" si="0"/>
        <v>0</v>
      </c>
    </row>
    <row r="28" spans="1:6" x14ac:dyDescent="0.25">
      <c r="A28" s="157" t="s">
        <v>56</v>
      </c>
      <c r="B28" s="158">
        <v>1215271</v>
      </c>
      <c r="C28" s="158">
        <v>1215271</v>
      </c>
      <c r="D28" s="159">
        <f t="shared" si="1"/>
        <v>0</v>
      </c>
      <c r="E28" s="160">
        <v>1025</v>
      </c>
      <c r="F28" s="161">
        <f t="shared" si="0"/>
        <v>0</v>
      </c>
    </row>
    <row r="29" spans="1:6" x14ac:dyDescent="0.25">
      <c r="A29" s="157" t="s">
        <v>57</v>
      </c>
      <c r="B29" s="158">
        <v>1044332</v>
      </c>
      <c r="C29" s="158">
        <v>1044332</v>
      </c>
      <c r="D29" s="159">
        <f t="shared" si="1"/>
        <v>0</v>
      </c>
      <c r="E29" s="160">
        <v>1025</v>
      </c>
      <c r="F29" s="161">
        <f t="shared" si="0"/>
        <v>0</v>
      </c>
    </row>
    <row r="30" spans="1:6" x14ac:dyDescent="0.25">
      <c r="A30" s="157" t="s">
        <v>58</v>
      </c>
      <c r="B30" s="158">
        <v>1012522</v>
      </c>
      <c r="C30" s="158">
        <v>1012522</v>
      </c>
      <c r="D30" s="159">
        <f t="shared" si="1"/>
        <v>0</v>
      </c>
      <c r="E30" s="160">
        <v>1025</v>
      </c>
      <c r="F30" s="161">
        <f t="shared" si="0"/>
        <v>0</v>
      </c>
    </row>
    <row r="31" spans="1:6" x14ac:dyDescent="0.25">
      <c r="A31" s="157" t="s">
        <v>59</v>
      </c>
      <c r="B31" s="158">
        <v>1153635</v>
      </c>
      <c r="C31" s="158">
        <v>1154445</v>
      </c>
      <c r="D31" s="159">
        <f t="shared" si="1"/>
        <v>810</v>
      </c>
      <c r="E31" s="160">
        <v>1025</v>
      </c>
      <c r="F31" s="161">
        <f t="shared" si="0"/>
        <v>830250</v>
      </c>
    </row>
    <row r="32" spans="1:6" x14ac:dyDescent="0.25">
      <c r="A32" s="157"/>
      <c r="B32" s="160"/>
      <c r="C32" s="160"/>
      <c r="D32" s="159">
        <f t="shared" si="1"/>
        <v>0</v>
      </c>
      <c r="E32" s="160"/>
      <c r="F32" s="161">
        <f t="shared" si="0"/>
        <v>0</v>
      </c>
    </row>
    <row r="33" spans="1:6" x14ac:dyDescent="0.25">
      <c r="A33" s="157"/>
      <c r="B33" s="160"/>
      <c r="C33" s="160"/>
      <c r="D33" s="159">
        <f t="shared" si="1"/>
        <v>0</v>
      </c>
      <c r="E33" s="160"/>
      <c r="F33" s="161">
        <f t="shared" si="0"/>
        <v>0</v>
      </c>
    </row>
    <row r="34" spans="1:6" x14ac:dyDescent="0.25">
      <c r="A34" s="157" t="s">
        <v>52</v>
      </c>
      <c r="B34" s="160"/>
      <c r="C34" s="160"/>
      <c r="D34" s="159">
        <f t="shared" si="1"/>
        <v>0</v>
      </c>
      <c r="E34" s="160"/>
      <c r="F34" s="161">
        <f t="shared" si="0"/>
        <v>0</v>
      </c>
    </row>
    <row r="35" spans="1:6" x14ac:dyDescent="0.25">
      <c r="A35" s="157" t="s">
        <v>53</v>
      </c>
      <c r="B35" s="160"/>
      <c r="C35" s="160"/>
      <c r="D35" s="159">
        <f t="shared" si="1"/>
        <v>0</v>
      </c>
      <c r="E35" s="160"/>
      <c r="F35" s="161">
        <f t="shared" si="0"/>
        <v>0</v>
      </c>
    </row>
    <row r="36" spans="1:6" x14ac:dyDescent="0.25">
      <c r="A36" s="157" t="s">
        <v>54</v>
      </c>
      <c r="B36" s="160"/>
      <c r="C36" s="160"/>
      <c r="D36" s="159">
        <f t="shared" si="1"/>
        <v>0</v>
      </c>
      <c r="E36" s="160"/>
      <c r="F36" s="161">
        <f t="shared" si="0"/>
        <v>0</v>
      </c>
    </row>
    <row r="37" spans="1:6" x14ac:dyDescent="0.25">
      <c r="A37" s="157" t="s">
        <v>55</v>
      </c>
      <c r="B37" s="160"/>
      <c r="C37" s="160"/>
      <c r="D37" s="159">
        <f t="shared" si="1"/>
        <v>0</v>
      </c>
      <c r="E37" s="160"/>
      <c r="F37" s="161">
        <f t="shared" si="0"/>
        <v>0</v>
      </c>
    </row>
    <row r="38" spans="1:6" x14ac:dyDescent="0.25">
      <c r="A38" s="157" t="s">
        <v>56</v>
      </c>
      <c r="B38" s="160"/>
      <c r="C38" s="160"/>
      <c r="D38" s="159">
        <f t="shared" si="1"/>
        <v>0</v>
      </c>
      <c r="E38" s="160"/>
      <c r="F38" s="161">
        <f t="shared" si="0"/>
        <v>0</v>
      </c>
    </row>
    <row r="39" spans="1:6" x14ac:dyDescent="0.25">
      <c r="A39" s="157" t="s">
        <v>57</v>
      </c>
      <c r="B39" s="160"/>
      <c r="C39" s="160"/>
      <c r="D39" s="159">
        <f t="shared" si="1"/>
        <v>0</v>
      </c>
      <c r="E39" s="160"/>
      <c r="F39" s="161">
        <f t="shared" si="0"/>
        <v>0</v>
      </c>
    </row>
    <row r="40" spans="1:6" x14ac:dyDescent="0.25">
      <c r="A40" s="157" t="s">
        <v>58</v>
      </c>
      <c r="B40" s="160"/>
      <c r="C40" s="160"/>
      <c r="D40" s="159">
        <f t="shared" si="1"/>
        <v>0</v>
      </c>
      <c r="E40" s="160"/>
      <c r="F40" s="161">
        <f t="shared" si="0"/>
        <v>0</v>
      </c>
    </row>
    <row r="41" spans="1:6" x14ac:dyDescent="0.25">
      <c r="A41" s="157" t="s">
        <v>59</v>
      </c>
      <c r="B41" s="160"/>
      <c r="C41" s="160"/>
      <c r="D41" s="159">
        <f t="shared" si="1"/>
        <v>0</v>
      </c>
      <c r="E41" s="160"/>
      <c r="F41" s="161">
        <f t="shared" si="0"/>
        <v>0</v>
      </c>
    </row>
    <row r="42" spans="1:6" x14ac:dyDescent="0.25">
      <c r="A42" s="157"/>
      <c r="B42" s="160"/>
      <c r="C42" s="160"/>
      <c r="D42" s="159">
        <f t="shared" si="1"/>
        <v>0</v>
      </c>
      <c r="E42" s="160"/>
      <c r="F42" s="161">
        <f t="shared" si="0"/>
        <v>0</v>
      </c>
    </row>
    <row r="43" spans="1:6" x14ac:dyDescent="0.25">
      <c r="A43" s="157"/>
      <c r="B43" s="160"/>
      <c r="C43" s="160"/>
      <c r="D43" s="159">
        <f t="shared" si="1"/>
        <v>0</v>
      </c>
      <c r="E43" s="160"/>
      <c r="F43" s="161">
        <f t="shared" si="0"/>
        <v>0</v>
      </c>
    </row>
    <row r="44" spans="1:6" x14ac:dyDescent="0.25">
      <c r="A44" s="157" t="s">
        <v>52</v>
      </c>
      <c r="B44" s="160"/>
      <c r="C44" s="160"/>
      <c r="D44" s="159">
        <f t="shared" si="1"/>
        <v>0</v>
      </c>
      <c r="E44" s="160"/>
      <c r="F44" s="161">
        <f t="shared" si="0"/>
        <v>0</v>
      </c>
    </row>
    <row r="45" spans="1:6" x14ac:dyDescent="0.25">
      <c r="A45" s="157" t="s">
        <v>53</v>
      </c>
      <c r="B45" s="160"/>
      <c r="C45" s="160"/>
      <c r="D45" s="159">
        <f t="shared" si="1"/>
        <v>0</v>
      </c>
      <c r="E45" s="160"/>
      <c r="F45" s="161">
        <f t="shared" si="0"/>
        <v>0</v>
      </c>
    </row>
    <row r="46" spans="1:6" x14ac:dyDescent="0.25">
      <c r="A46" s="157" t="s">
        <v>54</v>
      </c>
      <c r="B46" s="160"/>
      <c r="C46" s="160"/>
      <c r="D46" s="159">
        <f t="shared" si="1"/>
        <v>0</v>
      </c>
      <c r="E46" s="160"/>
      <c r="F46" s="161">
        <f t="shared" si="0"/>
        <v>0</v>
      </c>
    </row>
    <row r="47" spans="1:6" x14ac:dyDescent="0.25">
      <c r="A47" s="157" t="s">
        <v>55</v>
      </c>
      <c r="B47" s="160"/>
      <c r="C47" s="160"/>
      <c r="D47" s="159">
        <f t="shared" si="1"/>
        <v>0</v>
      </c>
      <c r="E47" s="160"/>
      <c r="F47" s="161">
        <f t="shared" si="0"/>
        <v>0</v>
      </c>
    </row>
    <row r="48" spans="1:6" x14ac:dyDescent="0.25">
      <c r="A48" s="157" t="s">
        <v>56</v>
      </c>
      <c r="B48" s="160"/>
      <c r="C48" s="160"/>
      <c r="D48" s="159">
        <f t="shared" si="1"/>
        <v>0</v>
      </c>
      <c r="E48" s="160"/>
      <c r="F48" s="161">
        <f t="shared" si="0"/>
        <v>0</v>
      </c>
    </row>
    <row r="49" spans="1:6" x14ac:dyDescent="0.25">
      <c r="A49" s="157" t="s">
        <v>57</v>
      </c>
      <c r="B49" s="160"/>
      <c r="C49" s="160"/>
      <c r="D49" s="159">
        <f t="shared" si="1"/>
        <v>0</v>
      </c>
      <c r="E49" s="160"/>
      <c r="F49" s="161">
        <f t="shared" si="0"/>
        <v>0</v>
      </c>
    </row>
    <row r="50" spans="1:6" x14ac:dyDescent="0.25">
      <c r="A50" s="157" t="s">
        <v>58</v>
      </c>
      <c r="B50" s="160"/>
      <c r="C50" s="160"/>
      <c r="D50" s="159">
        <f t="shared" si="1"/>
        <v>0</v>
      </c>
      <c r="E50" s="160"/>
      <c r="F50" s="161">
        <f t="shared" si="0"/>
        <v>0</v>
      </c>
    </row>
    <row r="51" spans="1:6" x14ac:dyDescent="0.25">
      <c r="A51" s="157" t="s">
        <v>59</v>
      </c>
      <c r="B51" s="160"/>
      <c r="C51" s="160"/>
      <c r="D51" s="159">
        <f t="shared" si="1"/>
        <v>0</v>
      </c>
      <c r="E51" s="160"/>
      <c r="F51" s="161">
        <f t="shared" si="0"/>
        <v>0</v>
      </c>
    </row>
    <row r="52" spans="1:6" x14ac:dyDescent="0.25">
      <c r="A52" s="157"/>
      <c r="B52" s="160"/>
      <c r="C52" s="160"/>
      <c r="D52" s="159">
        <f t="shared" si="1"/>
        <v>0</v>
      </c>
      <c r="E52" s="160"/>
      <c r="F52" s="161">
        <f t="shared" si="0"/>
        <v>0</v>
      </c>
    </row>
    <row r="53" spans="1:6" x14ac:dyDescent="0.25">
      <c r="A53" s="157"/>
      <c r="B53" s="160"/>
      <c r="C53" s="160"/>
      <c r="D53" s="159">
        <f t="shared" si="1"/>
        <v>0</v>
      </c>
      <c r="E53" s="160"/>
      <c r="F53" s="161">
        <f t="shared" si="0"/>
        <v>0</v>
      </c>
    </row>
    <row r="54" spans="1:6" x14ac:dyDescent="0.25">
      <c r="A54" s="157" t="s">
        <v>52</v>
      </c>
      <c r="B54" s="160"/>
      <c r="C54" s="160"/>
      <c r="D54" s="159">
        <f t="shared" si="1"/>
        <v>0</v>
      </c>
      <c r="E54" s="160"/>
      <c r="F54" s="161">
        <f t="shared" si="0"/>
        <v>0</v>
      </c>
    </row>
    <row r="55" spans="1:6" x14ac:dyDescent="0.25">
      <c r="A55" s="157" t="s">
        <v>53</v>
      </c>
      <c r="B55" s="160"/>
      <c r="C55" s="160"/>
      <c r="D55" s="159">
        <f t="shared" si="1"/>
        <v>0</v>
      </c>
      <c r="E55" s="160"/>
      <c r="F55" s="161">
        <f t="shared" si="0"/>
        <v>0</v>
      </c>
    </row>
    <row r="56" spans="1:6" x14ac:dyDescent="0.25">
      <c r="A56" s="157" t="s">
        <v>54</v>
      </c>
      <c r="B56" s="160"/>
      <c r="C56" s="160"/>
      <c r="D56" s="159">
        <f t="shared" si="1"/>
        <v>0</v>
      </c>
      <c r="E56" s="160"/>
      <c r="F56" s="161">
        <f t="shared" si="0"/>
        <v>0</v>
      </c>
    </row>
    <row r="57" spans="1:6" x14ac:dyDescent="0.25">
      <c r="A57" s="157" t="s">
        <v>55</v>
      </c>
      <c r="B57" s="160"/>
      <c r="C57" s="160"/>
      <c r="D57" s="159">
        <f t="shared" si="1"/>
        <v>0</v>
      </c>
      <c r="E57" s="160"/>
      <c r="F57" s="161">
        <f t="shared" si="0"/>
        <v>0</v>
      </c>
    </row>
    <row r="58" spans="1:6" x14ac:dyDescent="0.25">
      <c r="A58" s="157" t="s">
        <v>56</v>
      </c>
      <c r="B58" s="160"/>
      <c r="C58" s="160"/>
      <c r="D58" s="159">
        <f t="shared" si="1"/>
        <v>0</v>
      </c>
      <c r="E58" s="160"/>
      <c r="F58" s="161">
        <f t="shared" si="0"/>
        <v>0</v>
      </c>
    </row>
    <row r="59" spans="1:6" x14ac:dyDescent="0.25">
      <c r="A59" s="157" t="s">
        <v>57</v>
      </c>
      <c r="B59" s="160"/>
      <c r="C59" s="160"/>
      <c r="D59" s="159">
        <f t="shared" si="1"/>
        <v>0</v>
      </c>
      <c r="E59" s="160"/>
      <c r="F59" s="161">
        <f t="shared" si="0"/>
        <v>0</v>
      </c>
    </row>
    <row r="60" spans="1:6" x14ac:dyDescent="0.25">
      <c r="A60" s="157" t="s">
        <v>58</v>
      </c>
      <c r="B60" s="160"/>
      <c r="C60" s="160"/>
      <c r="D60" s="159">
        <f t="shared" si="1"/>
        <v>0</v>
      </c>
      <c r="E60" s="160"/>
      <c r="F60" s="161">
        <f t="shared" si="0"/>
        <v>0</v>
      </c>
    </row>
    <row r="61" spans="1:6" x14ac:dyDescent="0.25">
      <c r="A61" s="157" t="s">
        <v>59</v>
      </c>
      <c r="B61" s="160"/>
      <c r="C61" s="160"/>
      <c r="D61" s="159">
        <f t="shared" si="1"/>
        <v>0</v>
      </c>
      <c r="E61" s="160"/>
      <c r="F61" s="161">
        <f t="shared" si="0"/>
        <v>0</v>
      </c>
    </row>
    <row r="62" spans="1:6" x14ac:dyDescent="0.25">
      <c r="A62" s="157"/>
      <c r="B62" s="160"/>
      <c r="C62" s="160"/>
      <c r="D62" s="159">
        <f t="shared" si="1"/>
        <v>0</v>
      </c>
      <c r="E62" s="160"/>
      <c r="F62" s="161">
        <f t="shared" si="0"/>
        <v>0</v>
      </c>
    </row>
    <row r="63" spans="1:6" x14ac:dyDescent="0.25">
      <c r="A63" s="157"/>
      <c r="B63" s="160"/>
      <c r="C63" s="160"/>
      <c r="D63" s="159">
        <f t="shared" si="1"/>
        <v>0</v>
      </c>
      <c r="E63" s="160"/>
      <c r="F63" s="161">
        <f t="shared" si="0"/>
        <v>0</v>
      </c>
    </row>
    <row r="64" spans="1:6" x14ac:dyDescent="0.25">
      <c r="A64" s="157"/>
      <c r="B64" s="160"/>
      <c r="C64" s="160"/>
      <c r="D64" s="159">
        <f t="shared" si="1"/>
        <v>0</v>
      </c>
      <c r="E64" s="160"/>
      <c r="F64" s="161">
        <f t="shared" si="0"/>
        <v>0</v>
      </c>
    </row>
    <row r="65" spans="1:6" x14ac:dyDescent="0.25">
      <c r="A65" s="157"/>
      <c r="B65" s="160"/>
      <c r="C65" s="160"/>
      <c r="D65" s="159">
        <f t="shared" si="1"/>
        <v>0</v>
      </c>
      <c r="E65" s="160"/>
      <c r="F65" s="161">
        <f t="shared" si="0"/>
        <v>0</v>
      </c>
    </row>
    <row r="66" spans="1:6" x14ac:dyDescent="0.25">
      <c r="A66" s="157"/>
      <c r="B66" s="160"/>
      <c r="C66" s="160"/>
      <c r="D66" s="159">
        <f t="shared" si="1"/>
        <v>0</v>
      </c>
      <c r="E66" s="160"/>
      <c r="F66" s="161">
        <f t="shared" si="0"/>
        <v>0</v>
      </c>
    </row>
    <row r="67" spans="1:6" x14ac:dyDescent="0.25">
      <c r="A67" s="157"/>
      <c r="B67" s="160"/>
      <c r="C67" s="160"/>
      <c r="D67" s="159">
        <f t="shared" si="1"/>
        <v>0</v>
      </c>
      <c r="E67" s="160"/>
      <c r="F67" s="161">
        <f t="shared" si="0"/>
        <v>0</v>
      </c>
    </row>
    <row r="68" spans="1:6" x14ac:dyDescent="0.25">
      <c r="A68" s="157"/>
      <c r="B68" s="160"/>
      <c r="C68" s="160"/>
      <c r="D68" s="159">
        <f t="shared" si="1"/>
        <v>0</v>
      </c>
      <c r="E68" s="160"/>
      <c r="F68" s="161">
        <f t="shared" ref="F68:F82" si="2">D68*E68</f>
        <v>0</v>
      </c>
    </row>
    <row r="69" spans="1:6" x14ac:dyDescent="0.25">
      <c r="A69" s="157"/>
      <c r="B69" s="160"/>
      <c r="C69" s="160"/>
      <c r="D69" s="159">
        <f t="shared" ref="D69:D80" si="3">C69-B69</f>
        <v>0</v>
      </c>
      <c r="E69" s="160"/>
      <c r="F69" s="161">
        <f t="shared" si="2"/>
        <v>0</v>
      </c>
    </row>
    <row r="70" spans="1:6" x14ac:dyDescent="0.25">
      <c r="A70" s="157"/>
      <c r="B70" s="160"/>
      <c r="C70" s="160"/>
      <c r="D70" s="159">
        <f t="shared" si="3"/>
        <v>0</v>
      </c>
      <c r="E70" s="160"/>
      <c r="F70" s="161">
        <f t="shared" si="2"/>
        <v>0</v>
      </c>
    </row>
    <row r="71" spans="1:6" x14ac:dyDescent="0.25">
      <c r="A71" s="157"/>
      <c r="B71" s="160"/>
      <c r="C71" s="160"/>
      <c r="D71" s="159">
        <f t="shared" si="3"/>
        <v>0</v>
      </c>
      <c r="E71" s="160"/>
      <c r="F71" s="161">
        <f t="shared" si="2"/>
        <v>0</v>
      </c>
    </row>
    <row r="72" spans="1:6" x14ac:dyDescent="0.25">
      <c r="A72" s="157"/>
      <c r="B72" s="160"/>
      <c r="C72" s="160"/>
      <c r="D72" s="159">
        <f t="shared" si="3"/>
        <v>0</v>
      </c>
      <c r="E72" s="160"/>
      <c r="F72" s="161">
        <f t="shared" si="2"/>
        <v>0</v>
      </c>
    </row>
    <row r="73" spans="1:6" x14ac:dyDescent="0.25">
      <c r="A73" s="157"/>
      <c r="B73" s="160"/>
      <c r="C73" s="160"/>
      <c r="D73" s="159">
        <f t="shared" si="3"/>
        <v>0</v>
      </c>
      <c r="E73" s="160"/>
      <c r="F73" s="161">
        <f t="shared" si="2"/>
        <v>0</v>
      </c>
    </row>
    <row r="74" spans="1:6" x14ac:dyDescent="0.25">
      <c r="A74" s="157"/>
      <c r="B74" s="160"/>
      <c r="C74" s="160"/>
      <c r="D74" s="159">
        <f t="shared" si="3"/>
        <v>0</v>
      </c>
      <c r="E74" s="160"/>
      <c r="F74" s="161">
        <f t="shared" si="2"/>
        <v>0</v>
      </c>
    </row>
    <row r="75" spans="1:6" x14ac:dyDescent="0.25">
      <c r="A75" s="157"/>
      <c r="B75" s="160"/>
      <c r="C75" s="160"/>
      <c r="D75" s="159">
        <f t="shared" si="3"/>
        <v>0</v>
      </c>
      <c r="E75" s="160"/>
      <c r="F75" s="161">
        <f t="shared" si="2"/>
        <v>0</v>
      </c>
    </row>
    <row r="76" spans="1:6" x14ac:dyDescent="0.25">
      <c r="A76" s="157"/>
      <c r="B76" s="160"/>
      <c r="C76" s="160"/>
      <c r="D76" s="159">
        <f t="shared" si="3"/>
        <v>0</v>
      </c>
      <c r="E76" s="160"/>
      <c r="F76" s="161">
        <f t="shared" si="2"/>
        <v>0</v>
      </c>
    </row>
    <row r="77" spans="1:6" x14ac:dyDescent="0.25">
      <c r="A77" s="157"/>
      <c r="B77" s="160"/>
      <c r="C77" s="160"/>
      <c r="D77" s="159">
        <f t="shared" si="3"/>
        <v>0</v>
      </c>
      <c r="E77" s="160"/>
      <c r="F77" s="161">
        <f t="shared" si="2"/>
        <v>0</v>
      </c>
    </row>
    <row r="78" spans="1:6" x14ac:dyDescent="0.25">
      <c r="A78" s="157"/>
      <c r="B78" s="160"/>
      <c r="C78" s="160"/>
      <c r="D78" s="159">
        <f t="shared" si="3"/>
        <v>0</v>
      </c>
      <c r="E78" s="160"/>
      <c r="F78" s="161">
        <f t="shared" si="2"/>
        <v>0</v>
      </c>
    </row>
    <row r="79" spans="1:6" x14ac:dyDescent="0.25">
      <c r="A79" s="157"/>
      <c r="B79" s="160"/>
      <c r="C79" s="160"/>
      <c r="D79" s="159">
        <f t="shared" si="3"/>
        <v>0</v>
      </c>
      <c r="E79" s="160"/>
      <c r="F79" s="161">
        <f t="shared" si="2"/>
        <v>0</v>
      </c>
    </row>
    <row r="80" spans="1:6" x14ac:dyDescent="0.25">
      <c r="A80" s="157"/>
      <c r="B80" s="160"/>
      <c r="C80" s="160"/>
      <c r="D80" s="159">
        <f t="shared" si="3"/>
        <v>0</v>
      </c>
      <c r="E80" s="160"/>
      <c r="F80" s="161">
        <f t="shared" si="2"/>
        <v>0</v>
      </c>
    </row>
    <row r="81" spans="1:6" x14ac:dyDescent="0.25">
      <c r="A81" s="157"/>
      <c r="B81" s="160"/>
      <c r="C81" s="160"/>
      <c r="D81" s="162"/>
      <c r="E81" s="160"/>
      <c r="F81" s="163"/>
    </row>
    <row r="82" spans="1:6" x14ac:dyDescent="0.25">
      <c r="A82" s="164" t="s">
        <v>60</v>
      </c>
      <c r="B82" s="165" t="s">
        <v>61</v>
      </c>
      <c r="C82" s="166"/>
      <c r="D82" s="167">
        <f>SUM(D4:D80)</f>
        <v>28703</v>
      </c>
      <c r="E82" s="168"/>
      <c r="F82" s="169">
        <f>SUM(F4:F80)</f>
        <v>26425275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zoomScaleNormal="100" zoomScaleSheetLayoutView="100" zoomScalePageLayoutView="55" workbookViewId="0">
      <pane ySplit="1" topLeftCell="A2" activePane="bottomLeft" state="frozen"/>
      <selection activeCell="F1" sqref="F1"/>
      <selection pane="bottomLeft" activeCell="B2" sqref="B1:B1048576"/>
    </sheetView>
  </sheetViews>
  <sheetFormatPr defaultColWidth="14.42578125" defaultRowHeight="15" customHeight="1" x14ac:dyDescent="0.25"/>
  <cols>
    <col min="1" max="1" width="7.28515625" style="28" bestFit="1" customWidth="1"/>
    <col min="2" max="2" width="13.7109375" style="28" customWidth="1"/>
    <col min="3" max="3" width="13.42578125" style="28" customWidth="1"/>
    <col min="4" max="4" width="10.85546875" style="28" customWidth="1"/>
    <col min="5" max="5" width="11.7109375" style="28" bestFit="1" customWidth="1"/>
    <col min="6" max="6" width="7.85546875" style="28" customWidth="1"/>
    <col min="7" max="7" width="8.85546875" style="28" customWidth="1"/>
    <col min="8" max="8" width="11.42578125" style="28" bestFit="1" customWidth="1"/>
    <col min="9" max="9" width="9.5703125" style="28" bestFit="1" customWidth="1"/>
    <col min="10" max="10" width="11.5703125" style="28" customWidth="1"/>
    <col min="11" max="11" width="11.28515625" style="28" customWidth="1"/>
    <col min="12" max="12" width="10.85546875" style="28" customWidth="1"/>
    <col min="13" max="13" width="10.7109375" style="28" customWidth="1"/>
    <col min="14" max="14" width="10.5703125" style="28" customWidth="1"/>
    <col min="15" max="15" width="10.7109375" style="28" customWidth="1"/>
    <col min="16" max="16" width="11.42578125" style="28" bestFit="1" customWidth="1"/>
    <col min="17" max="17" width="9.140625" style="28" customWidth="1"/>
    <col min="18" max="16384" width="14.42578125" style="28"/>
  </cols>
  <sheetData>
    <row r="1" spans="1:16" s="21" customFormat="1" ht="30" customHeight="1" thickBot="1" x14ac:dyDescent="0.3">
      <c r="A1" s="125" t="s">
        <v>20</v>
      </c>
      <c r="B1" s="126"/>
      <c r="C1" s="19" t="s">
        <v>21</v>
      </c>
      <c r="D1" s="20">
        <f>F1-1</f>
        <v>0</v>
      </c>
      <c r="E1" s="19" t="s">
        <v>22</v>
      </c>
      <c r="F1" s="20">
        <v>1</v>
      </c>
      <c r="G1" s="17">
        <v>3</v>
      </c>
      <c r="H1" s="18">
        <v>2026</v>
      </c>
      <c r="I1" s="127">
        <f>DATEVALUE(F1&amp;"-"&amp;G1&amp;"-"&amp;H1)</f>
        <v>46025</v>
      </c>
      <c r="J1" s="128"/>
      <c r="K1" s="128"/>
      <c r="L1" s="128"/>
      <c r="M1" s="128"/>
      <c r="N1" s="128"/>
      <c r="O1" s="128"/>
      <c r="P1" s="129"/>
    </row>
    <row r="2" spans="1:16" ht="32.25" customHeight="1" x14ac:dyDescent="0.25">
      <c r="A2" s="22" t="s">
        <v>23</v>
      </c>
      <c r="B2" s="23" t="s">
        <v>24</v>
      </c>
      <c r="C2" s="23" t="s">
        <v>25</v>
      </c>
      <c r="D2" s="23" t="s">
        <v>5</v>
      </c>
      <c r="E2" s="23" t="s">
        <v>26</v>
      </c>
      <c r="F2" s="23" t="s">
        <v>27</v>
      </c>
      <c r="G2" s="23" t="s">
        <v>28</v>
      </c>
      <c r="H2" s="24" t="s">
        <v>29</v>
      </c>
      <c r="I2" s="25" t="s">
        <v>30</v>
      </c>
      <c r="J2" s="26" t="s">
        <v>31</v>
      </c>
      <c r="K2" s="26" t="s">
        <v>32</v>
      </c>
      <c r="L2" s="26" t="s">
        <v>11</v>
      </c>
      <c r="M2" s="26" t="s">
        <v>25</v>
      </c>
      <c r="N2" s="26" t="s">
        <v>33</v>
      </c>
      <c r="O2" s="26" t="s">
        <v>5</v>
      </c>
      <c r="P2" s="27" t="s">
        <v>34</v>
      </c>
    </row>
    <row r="3" spans="1:16" x14ac:dyDescent="0.25">
      <c r="A3" s="29" t="s">
        <v>12</v>
      </c>
      <c r="B3" s="13">
        <v>945281</v>
      </c>
      <c r="C3" s="1">
        <f>945281</f>
        <v>945281</v>
      </c>
      <c r="D3" s="30">
        <f t="shared" ref="D3:D10" si="0">C3-B3</f>
        <v>0</v>
      </c>
      <c r="E3" s="1"/>
      <c r="F3" s="30"/>
      <c r="G3" s="30"/>
      <c r="H3" s="31"/>
      <c r="I3" s="32" t="s">
        <v>12</v>
      </c>
      <c r="J3" s="15">
        <v>30700</v>
      </c>
      <c r="K3" s="3"/>
      <c r="L3" s="116"/>
      <c r="M3" s="4">
        <f>27700</f>
        <v>27700</v>
      </c>
      <c r="N3" s="33">
        <f>J3+L3-M3</f>
        <v>3000</v>
      </c>
      <c r="O3" s="33">
        <f>D5+D6+D9+D10+D20+D21+D24+D25+L20+L21+L24+L25</f>
        <v>3119</v>
      </c>
      <c r="P3" s="34">
        <f>O3-N3</f>
        <v>119</v>
      </c>
    </row>
    <row r="4" spans="1:16" x14ac:dyDescent="0.25">
      <c r="A4" s="29">
        <v>2</v>
      </c>
      <c r="B4" s="13">
        <v>913277</v>
      </c>
      <c r="C4" s="1">
        <v>913278</v>
      </c>
      <c r="D4" s="30">
        <f t="shared" si="0"/>
        <v>1</v>
      </c>
      <c r="E4" s="1"/>
      <c r="F4" s="30"/>
      <c r="G4" s="30"/>
      <c r="H4" s="31"/>
      <c r="I4" s="35" t="s">
        <v>13</v>
      </c>
      <c r="J4" s="16">
        <v>13250</v>
      </c>
      <c r="K4" s="11"/>
      <c r="L4" s="117"/>
      <c r="M4" s="12">
        <f>11500</f>
        <v>11500</v>
      </c>
      <c r="N4" s="36">
        <f t="shared" ref="N4:N7" si="1">J4+L4-M4</f>
        <v>1750</v>
      </c>
      <c r="O4" s="36">
        <f>D3+D4+D7+D8+D22+D23+L22+L23+D18+D19+L18+L19</f>
        <v>1454</v>
      </c>
      <c r="P4" s="37">
        <f>O4-N4</f>
        <v>-296</v>
      </c>
    </row>
    <row r="5" spans="1:16" x14ac:dyDescent="0.25">
      <c r="A5" s="29">
        <v>3</v>
      </c>
      <c r="B5" s="13">
        <v>1361945</v>
      </c>
      <c r="C5" s="1">
        <f>1363469</f>
        <v>1363469</v>
      </c>
      <c r="D5" s="30">
        <f t="shared" si="0"/>
        <v>1524</v>
      </c>
      <c r="E5" s="1"/>
      <c r="F5" s="30"/>
      <c r="G5" s="30"/>
      <c r="H5" s="31"/>
      <c r="I5" s="38" t="s">
        <v>14</v>
      </c>
      <c r="J5" s="39">
        <f>J3+J4</f>
        <v>43950</v>
      </c>
      <c r="K5" s="39">
        <f t="shared" ref="K5:L5" si="2">K3+K4</f>
        <v>0</v>
      </c>
      <c r="L5" s="39">
        <f t="shared" si="2"/>
        <v>0</v>
      </c>
      <c r="M5" s="39">
        <f>M3+M4</f>
        <v>39200</v>
      </c>
      <c r="N5" s="39">
        <f t="shared" si="1"/>
        <v>4750</v>
      </c>
      <c r="O5" s="39">
        <f>SUM(O3:O4)</f>
        <v>4573</v>
      </c>
      <c r="P5" s="40">
        <f>O5-N5</f>
        <v>-177</v>
      </c>
    </row>
    <row r="6" spans="1:16" x14ac:dyDescent="0.25">
      <c r="A6" s="29">
        <v>4</v>
      </c>
      <c r="B6" s="13">
        <v>1149584</v>
      </c>
      <c r="C6" s="1">
        <f>1149584</f>
        <v>1149584</v>
      </c>
      <c r="D6" s="30">
        <f t="shared" si="0"/>
        <v>0</v>
      </c>
      <c r="E6" s="1"/>
      <c r="F6" s="30"/>
      <c r="G6" s="30"/>
      <c r="H6" s="31"/>
      <c r="I6" s="32" t="s">
        <v>8</v>
      </c>
      <c r="J6" s="15">
        <v>10750</v>
      </c>
      <c r="K6" s="3">
        <v>15000</v>
      </c>
      <c r="L6" s="88">
        <v>14800</v>
      </c>
      <c r="M6" s="4">
        <v>25000</v>
      </c>
      <c r="N6" s="33">
        <f t="shared" si="1"/>
        <v>550</v>
      </c>
      <c r="O6" s="33">
        <f>D12+D13+D27+D28+L27+L28</f>
        <v>325</v>
      </c>
      <c r="P6" s="34">
        <f t="shared" ref="P6:P7" si="3">O6-N6</f>
        <v>-225</v>
      </c>
    </row>
    <row r="7" spans="1:16" x14ac:dyDescent="0.25">
      <c r="A7" s="29">
        <v>5</v>
      </c>
      <c r="B7" s="13">
        <v>1213393</v>
      </c>
      <c r="C7" s="1">
        <f>1214846</f>
        <v>1214846</v>
      </c>
      <c r="D7" s="30">
        <f t="shared" si="0"/>
        <v>1453</v>
      </c>
      <c r="E7" s="1"/>
      <c r="F7" s="30"/>
      <c r="G7" s="30"/>
      <c r="H7" s="31"/>
      <c r="I7" s="35" t="s">
        <v>9</v>
      </c>
      <c r="J7" s="16">
        <v>1100</v>
      </c>
      <c r="K7" s="11"/>
      <c r="L7" s="89"/>
      <c r="M7" s="12">
        <f>J7</f>
        <v>1100</v>
      </c>
      <c r="N7" s="36">
        <f t="shared" si="1"/>
        <v>0</v>
      </c>
      <c r="O7" s="36">
        <f>D15+D16+D30+D31+L30+L31</f>
        <v>0</v>
      </c>
      <c r="P7" s="37">
        <f t="shared" si="3"/>
        <v>0</v>
      </c>
    </row>
    <row r="8" spans="1:16" x14ac:dyDescent="0.25">
      <c r="A8" s="29">
        <v>6</v>
      </c>
      <c r="B8" s="13">
        <v>1040351</v>
      </c>
      <c r="C8" s="1">
        <v>1040351</v>
      </c>
      <c r="D8" s="30">
        <f t="shared" si="0"/>
        <v>0</v>
      </c>
      <c r="E8" s="1"/>
      <c r="F8" s="30"/>
      <c r="G8" s="30"/>
      <c r="H8" s="31"/>
      <c r="I8" s="130"/>
      <c r="J8" s="41"/>
      <c r="K8" s="41"/>
      <c r="L8" s="42"/>
      <c r="M8" s="41"/>
      <c r="N8" s="41"/>
      <c r="O8" s="41"/>
      <c r="P8" s="43"/>
    </row>
    <row r="9" spans="1:16" x14ac:dyDescent="0.25">
      <c r="A9" s="29">
        <v>7</v>
      </c>
      <c r="B9" s="13">
        <v>1012522</v>
      </c>
      <c r="C9" s="1">
        <v>1012522</v>
      </c>
      <c r="D9" s="30">
        <f t="shared" si="0"/>
        <v>0</v>
      </c>
      <c r="E9" s="1"/>
      <c r="F9" s="30"/>
      <c r="G9" s="30"/>
      <c r="H9" s="31"/>
      <c r="I9" s="131"/>
      <c r="J9" s="44"/>
      <c r="K9" s="44"/>
      <c r="L9" s="45"/>
      <c r="M9" s="132" t="s">
        <v>18</v>
      </c>
      <c r="N9" s="132"/>
      <c r="O9" s="132"/>
      <c r="P9" s="133"/>
    </row>
    <row r="10" spans="1:16" x14ac:dyDescent="0.25">
      <c r="A10" s="29">
        <v>8</v>
      </c>
      <c r="B10" s="13">
        <v>1145146</v>
      </c>
      <c r="C10" s="1">
        <v>1146741</v>
      </c>
      <c r="D10" s="30">
        <f t="shared" si="0"/>
        <v>1595</v>
      </c>
      <c r="E10" s="1">
        <v>50</v>
      </c>
      <c r="F10" s="30"/>
      <c r="G10" s="30"/>
      <c r="H10" s="31"/>
      <c r="I10" s="143" t="s">
        <v>19</v>
      </c>
      <c r="J10" s="145"/>
      <c r="K10" s="143" t="s">
        <v>35</v>
      </c>
      <c r="L10" s="144"/>
      <c r="M10" s="46"/>
      <c r="N10" s="47" t="s">
        <v>36</v>
      </c>
      <c r="O10" s="47" t="s">
        <v>17</v>
      </c>
      <c r="P10" s="48" t="s">
        <v>29</v>
      </c>
    </row>
    <row r="11" spans="1:16" x14ac:dyDescent="0.25">
      <c r="A11" s="49"/>
      <c r="B11" s="50"/>
      <c r="C11" s="50"/>
      <c r="D11" s="51">
        <f t="shared" ref="D11:E11" si="4">SUM(D3:D10)</f>
        <v>4573</v>
      </c>
      <c r="E11" s="51">
        <f t="shared" si="4"/>
        <v>50</v>
      </c>
      <c r="F11" s="51">
        <f>SUM(D3:D10)-SUM(E3:E10)</f>
        <v>4523</v>
      </c>
      <c r="G11" s="9">
        <v>850</v>
      </c>
      <c r="H11" s="52">
        <f>G11*F11</f>
        <v>3844550</v>
      </c>
      <c r="I11" s="53" t="e" cm="1">
        <f t="array" aca="1" ref="I11" ca="1">INDIRECT("LODGEMENT"&amp;"!F3")</f>
        <v>#REF!</v>
      </c>
      <c r="J11" s="7">
        <v>1091855</v>
      </c>
      <c r="K11" s="53" t="s">
        <v>37</v>
      </c>
      <c r="L11" s="7">
        <f>E11</f>
        <v>50</v>
      </c>
      <c r="M11" s="54" t="s">
        <v>7</v>
      </c>
      <c r="N11" s="55">
        <f>E11+E26+M26-L11-L14-L15-L16</f>
        <v>0</v>
      </c>
      <c r="O11" s="56">
        <f>F11+F26+N26</f>
        <v>4523</v>
      </c>
      <c r="P11" s="57">
        <f>H11+H26+P26</f>
        <v>3844550</v>
      </c>
    </row>
    <row r="12" spans="1:16" ht="15.75" customHeight="1" x14ac:dyDescent="0.25">
      <c r="A12" s="58" t="s">
        <v>38</v>
      </c>
      <c r="B12" s="14">
        <v>305625</v>
      </c>
      <c r="C12" s="2">
        <v>305900</v>
      </c>
      <c r="D12" s="30">
        <f t="shared" ref="D12:D13" si="5">C12-B12</f>
        <v>275</v>
      </c>
      <c r="E12" s="2"/>
      <c r="F12" s="56"/>
      <c r="G12" s="56"/>
      <c r="H12" s="59"/>
      <c r="I12" s="53" t="e" cm="1">
        <f t="array" aca="1" ref="I12" ca="1">INDIRECT("LODGEMENT"&amp;"!G3")</f>
        <v>#REF!</v>
      </c>
      <c r="J12" s="7">
        <v>1545361</v>
      </c>
      <c r="K12" s="53" t="s">
        <v>39</v>
      </c>
      <c r="L12" s="7">
        <f>E14</f>
        <v>32</v>
      </c>
      <c r="M12" s="60" t="s">
        <v>8</v>
      </c>
      <c r="N12" s="61">
        <f>E14+E29+M29-L12-L13</f>
        <v>0</v>
      </c>
      <c r="O12" s="30">
        <f>F14+F29+N29</f>
        <v>293</v>
      </c>
      <c r="P12" s="62">
        <f>H14+H29+P29</f>
        <v>290070</v>
      </c>
    </row>
    <row r="13" spans="1:16" ht="15.75" customHeight="1" thickBot="1" x14ac:dyDescent="0.3">
      <c r="A13" s="29">
        <v>2</v>
      </c>
      <c r="B13" s="13">
        <v>255734</v>
      </c>
      <c r="C13" s="1">
        <v>255784</v>
      </c>
      <c r="D13" s="30">
        <f t="shared" si="5"/>
        <v>50</v>
      </c>
      <c r="E13" s="1">
        <v>32</v>
      </c>
      <c r="F13" s="30"/>
      <c r="G13" s="30"/>
      <c r="H13" s="31"/>
      <c r="I13" s="53" t="e" cm="1">
        <f t="array" aca="1" ref="I13" ca="1">INDIRECT("LODGEMENT"&amp;"!H3")</f>
        <v>#REF!</v>
      </c>
      <c r="J13" s="7">
        <v>909300</v>
      </c>
      <c r="K13" s="53" t="s">
        <v>16</v>
      </c>
      <c r="L13" s="7"/>
      <c r="M13" s="63" t="s">
        <v>9</v>
      </c>
      <c r="N13" s="64">
        <f>E17+E32+M32</f>
        <v>0</v>
      </c>
      <c r="O13" s="65">
        <f>F17+F32+N32</f>
        <v>0</v>
      </c>
      <c r="P13" s="66">
        <f>H17+H32+P32</f>
        <v>0</v>
      </c>
    </row>
    <row r="14" spans="1:16" ht="15.75" customHeight="1" x14ac:dyDescent="0.25">
      <c r="A14" s="49"/>
      <c r="B14" s="50"/>
      <c r="C14" s="50"/>
      <c r="D14" s="51">
        <f>SUM(D12:D13)</f>
        <v>325</v>
      </c>
      <c r="E14" s="51">
        <f>SUM(E12:E13)</f>
        <v>32</v>
      </c>
      <c r="F14" s="51">
        <f>SUM(D12:D13)-SUM(E12:E13)</f>
        <v>293</v>
      </c>
      <c r="G14" s="9">
        <v>990</v>
      </c>
      <c r="H14" s="52">
        <f>G14*F14</f>
        <v>290070</v>
      </c>
      <c r="I14" s="53" t="e" cm="1">
        <f t="array" aca="1" ref="I14" ca="1">INDIRECT("LODGEMENT"&amp;"!I3")</f>
        <v>#REF!</v>
      </c>
      <c r="J14" s="7"/>
      <c r="K14" s="53" t="s">
        <v>40</v>
      </c>
      <c r="L14" s="7"/>
      <c r="M14" s="67"/>
      <c r="N14" s="68" t="s">
        <v>41</v>
      </c>
      <c r="O14" s="139">
        <f>SUM(P11:P13)</f>
        <v>4134620</v>
      </c>
      <c r="P14" s="140"/>
    </row>
    <row r="15" spans="1:16" ht="15.75" customHeight="1" x14ac:dyDescent="0.25">
      <c r="A15" s="58" t="s">
        <v>42</v>
      </c>
      <c r="B15" s="14">
        <v>70080</v>
      </c>
      <c r="C15" s="2">
        <f>B15</f>
        <v>70080</v>
      </c>
      <c r="D15" s="30">
        <f t="shared" ref="D15:D16" si="6">C15-B15</f>
        <v>0</v>
      </c>
      <c r="E15" s="2"/>
      <c r="F15" s="56"/>
      <c r="G15" s="56"/>
      <c r="H15" s="59"/>
      <c r="I15" s="53" t="e" cm="1">
        <f t="array" aca="1" ref="I15" ca="1">INDIRECT("LODGEMENT"&amp;"!J3")</f>
        <v>#REF!</v>
      </c>
      <c r="J15" s="7"/>
      <c r="K15" s="53" t="s">
        <v>43</v>
      </c>
      <c r="L15" s="7"/>
      <c r="M15" s="69"/>
      <c r="N15" s="70" t="s">
        <v>44</v>
      </c>
      <c r="O15" s="141">
        <f>SUM(J11:J16)</f>
        <v>3546516</v>
      </c>
      <c r="P15" s="142"/>
    </row>
    <row r="16" spans="1:16" ht="15.75" customHeight="1" thickBot="1" x14ac:dyDescent="0.3">
      <c r="A16" s="29">
        <v>2</v>
      </c>
      <c r="B16" s="13">
        <v>98301</v>
      </c>
      <c r="C16" s="1">
        <f>B16</f>
        <v>98301</v>
      </c>
      <c r="D16" s="30">
        <f t="shared" si="6"/>
        <v>0</v>
      </c>
      <c r="E16" s="1"/>
      <c r="F16" s="30"/>
      <c r="G16" s="30"/>
      <c r="H16" s="31"/>
      <c r="I16" s="71" t="e" cm="1">
        <f t="array" aca="1" ref="I16" ca="1">INDIRECT("LODGEMENT"&amp;"!k3")</f>
        <v>#REF!</v>
      </c>
      <c r="J16" s="8"/>
      <c r="K16" s="71" t="s">
        <v>15</v>
      </c>
      <c r="L16" s="8"/>
      <c r="M16" s="72"/>
      <c r="N16" s="73" t="s">
        <v>45</v>
      </c>
      <c r="O16" s="134">
        <f>O14-O15</f>
        <v>588104</v>
      </c>
      <c r="P16" s="135"/>
    </row>
    <row r="17" spans="1:16" ht="15.75" customHeight="1" thickBot="1" x14ac:dyDescent="0.3">
      <c r="A17" s="74"/>
      <c r="B17" s="75"/>
      <c r="C17" s="75"/>
      <c r="D17" s="76">
        <f>SUM(D15:D16)</f>
        <v>0</v>
      </c>
      <c r="E17" s="76">
        <f>SUM(E15:E16)</f>
        <v>0</v>
      </c>
      <c r="F17" s="76">
        <f>SUM(D15:D16)-SUM(E15:E16)</f>
        <v>0</v>
      </c>
      <c r="G17" s="10"/>
      <c r="H17" s="77">
        <f>G17*F17</f>
        <v>0</v>
      </c>
      <c r="I17" s="78"/>
      <c r="J17" s="79"/>
      <c r="K17" s="79"/>
      <c r="L17" s="79"/>
      <c r="M17" s="79"/>
      <c r="N17" s="79"/>
      <c r="O17" s="79"/>
      <c r="P17" s="80"/>
    </row>
    <row r="18" spans="1:16" ht="15.75" customHeight="1" x14ac:dyDescent="0.25">
      <c r="A18" s="29" t="s">
        <v>12</v>
      </c>
      <c r="B18" s="81">
        <f t="shared" ref="B18:B25" si="7">C3</f>
        <v>945281</v>
      </c>
      <c r="C18" s="1">
        <f>B18</f>
        <v>945281</v>
      </c>
      <c r="D18" s="30">
        <f t="shared" ref="D18:D25" si="8">C18-B18</f>
        <v>0</v>
      </c>
      <c r="E18" s="1"/>
      <c r="F18" s="30"/>
      <c r="G18" s="30"/>
      <c r="H18" s="62"/>
      <c r="I18" s="82" t="s">
        <v>12</v>
      </c>
      <c r="J18" s="83">
        <f t="shared" ref="J18:J25" si="9">C18</f>
        <v>945281</v>
      </c>
      <c r="K18" s="6">
        <f t="shared" ref="K18:K25" si="10">J18</f>
        <v>945281</v>
      </c>
      <c r="L18" s="84">
        <f t="shared" ref="L18:L25" si="11">K18-J18</f>
        <v>0</v>
      </c>
      <c r="M18" s="6"/>
      <c r="N18" s="84"/>
      <c r="O18" s="84"/>
      <c r="P18" s="85"/>
    </row>
    <row r="19" spans="1:16" ht="15.75" customHeight="1" x14ac:dyDescent="0.25">
      <c r="A19" s="29">
        <v>2</v>
      </c>
      <c r="B19" s="81">
        <f t="shared" si="7"/>
        <v>913278</v>
      </c>
      <c r="C19" s="1">
        <f t="shared" ref="C19:C25" si="12">B19</f>
        <v>913278</v>
      </c>
      <c r="D19" s="30">
        <f t="shared" si="8"/>
        <v>0</v>
      </c>
      <c r="E19" s="1"/>
      <c r="F19" s="30"/>
      <c r="G19" s="30"/>
      <c r="H19" s="62"/>
      <c r="I19" s="29">
        <v>2</v>
      </c>
      <c r="J19" s="81">
        <f t="shared" si="9"/>
        <v>913278</v>
      </c>
      <c r="K19" s="1">
        <f t="shared" si="10"/>
        <v>913278</v>
      </c>
      <c r="L19" s="30">
        <f t="shared" si="11"/>
        <v>0</v>
      </c>
      <c r="M19" s="1"/>
      <c r="N19" s="30"/>
      <c r="O19" s="30"/>
      <c r="P19" s="62"/>
    </row>
    <row r="20" spans="1:16" ht="15.75" customHeight="1" x14ac:dyDescent="0.25">
      <c r="A20" s="29">
        <v>3</v>
      </c>
      <c r="B20" s="81">
        <f t="shared" si="7"/>
        <v>1363469</v>
      </c>
      <c r="C20" s="1">
        <f t="shared" si="12"/>
        <v>1363469</v>
      </c>
      <c r="D20" s="30">
        <f t="shared" si="8"/>
        <v>0</v>
      </c>
      <c r="E20" s="1"/>
      <c r="F20" s="30"/>
      <c r="G20" s="30"/>
      <c r="H20" s="62"/>
      <c r="I20" s="29">
        <v>3</v>
      </c>
      <c r="J20" s="81">
        <f t="shared" si="9"/>
        <v>1363469</v>
      </c>
      <c r="K20" s="1">
        <f t="shared" si="10"/>
        <v>1363469</v>
      </c>
      <c r="L20" s="30">
        <f t="shared" si="11"/>
        <v>0</v>
      </c>
      <c r="M20" s="1"/>
      <c r="N20" s="30"/>
      <c r="O20" s="30"/>
      <c r="P20" s="62"/>
    </row>
    <row r="21" spans="1:16" ht="15.75" customHeight="1" x14ac:dyDescent="0.25">
      <c r="A21" s="29">
        <v>4</v>
      </c>
      <c r="B21" s="81">
        <f t="shared" si="7"/>
        <v>1149584</v>
      </c>
      <c r="C21" s="1">
        <f t="shared" si="12"/>
        <v>1149584</v>
      </c>
      <c r="D21" s="30">
        <f t="shared" si="8"/>
        <v>0</v>
      </c>
      <c r="E21" s="1"/>
      <c r="F21" s="30"/>
      <c r="G21" s="30"/>
      <c r="H21" s="62"/>
      <c r="I21" s="29">
        <v>4</v>
      </c>
      <c r="J21" s="81">
        <f t="shared" si="9"/>
        <v>1149584</v>
      </c>
      <c r="K21" s="1">
        <f t="shared" si="10"/>
        <v>1149584</v>
      </c>
      <c r="L21" s="30">
        <f t="shared" si="11"/>
        <v>0</v>
      </c>
      <c r="M21" s="1"/>
      <c r="N21" s="30"/>
      <c r="O21" s="30"/>
      <c r="P21" s="62"/>
    </row>
    <row r="22" spans="1:16" ht="15.75" customHeight="1" x14ac:dyDescent="0.25">
      <c r="A22" s="29">
        <v>5</v>
      </c>
      <c r="B22" s="81">
        <f t="shared" si="7"/>
        <v>1214846</v>
      </c>
      <c r="C22" s="1">
        <f t="shared" si="12"/>
        <v>1214846</v>
      </c>
      <c r="D22" s="30">
        <f t="shared" si="8"/>
        <v>0</v>
      </c>
      <c r="E22" s="1"/>
      <c r="F22" s="30"/>
      <c r="G22" s="30"/>
      <c r="H22" s="62"/>
      <c r="I22" s="29">
        <v>5</v>
      </c>
      <c r="J22" s="81">
        <f t="shared" si="9"/>
        <v>1214846</v>
      </c>
      <c r="K22" s="1">
        <f t="shared" si="10"/>
        <v>1214846</v>
      </c>
      <c r="L22" s="30">
        <f t="shared" si="11"/>
        <v>0</v>
      </c>
      <c r="M22" s="1"/>
      <c r="N22" s="30"/>
      <c r="O22" s="30"/>
      <c r="P22" s="62"/>
    </row>
    <row r="23" spans="1:16" ht="15.75" customHeight="1" x14ac:dyDescent="0.25">
      <c r="A23" s="29">
        <v>6</v>
      </c>
      <c r="B23" s="81">
        <f t="shared" si="7"/>
        <v>1040351</v>
      </c>
      <c r="C23" s="1">
        <f t="shared" si="12"/>
        <v>1040351</v>
      </c>
      <c r="D23" s="30">
        <f t="shared" si="8"/>
        <v>0</v>
      </c>
      <c r="E23" s="1"/>
      <c r="F23" s="30"/>
      <c r="G23" s="30"/>
      <c r="H23" s="62"/>
      <c r="I23" s="29">
        <v>6</v>
      </c>
      <c r="J23" s="81">
        <f t="shared" si="9"/>
        <v>1040351</v>
      </c>
      <c r="K23" s="1">
        <f t="shared" si="10"/>
        <v>1040351</v>
      </c>
      <c r="L23" s="30">
        <f t="shared" si="11"/>
        <v>0</v>
      </c>
      <c r="M23" s="1"/>
      <c r="N23" s="30"/>
      <c r="O23" s="30"/>
      <c r="P23" s="62"/>
    </row>
    <row r="24" spans="1:16" ht="15.75" customHeight="1" x14ac:dyDescent="0.25">
      <c r="A24" s="29">
        <v>7</v>
      </c>
      <c r="B24" s="81">
        <f t="shared" si="7"/>
        <v>1012522</v>
      </c>
      <c r="C24" s="1">
        <f t="shared" si="12"/>
        <v>1012522</v>
      </c>
      <c r="D24" s="30">
        <f t="shared" si="8"/>
        <v>0</v>
      </c>
      <c r="E24" s="1"/>
      <c r="F24" s="30"/>
      <c r="G24" s="30"/>
      <c r="H24" s="62"/>
      <c r="I24" s="29">
        <v>7</v>
      </c>
      <c r="J24" s="81">
        <f t="shared" si="9"/>
        <v>1012522</v>
      </c>
      <c r="K24" s="1">
        <f t="shared" si="10"/>
        <v>1012522</v>
      </c>
      <c r="L24" s="30">
        <f t="shared" si="11"/>
        <v>0</v>
      </c>
      <c r="M24" s="1"/>
      <c r="N24" s="30"/>
      <c r="O24" s="30"/>
      <c r="P24" s="62"/>
    </row>
    <row r="25" spans="1:16" ht="15.75" customHeight="1" x14ac:dyDescent="0.25">
      <c r="A25" s="29">
        <v>8</v>
      </c>
      <c r="B25" s="81">
        <f t="shared" si="7"/>
        <v>1146741</v>
      </c>
      <c r="C25" s="1">
        <f t="shared" si="12"/>
        <v>1146741</v>
      </c>
      <c r="D25" s="30">
        <f t="shared" si="8"/>
        <v>0</v>
      </c>
      <c r="E25" s="1"/>
      <c r="F25" s="30"/>
      <c r="G25" s="30"/>
      <c r="H25" s="62"/>
      <c r="I25" s="29">
        <v>8</v>
      </c>
      <c r="J25" s="81">
        <f t="shared" si="9"/>
        <v>1146741</v>
      </c>
      <c r="K25" s="1">
        <f t="shared" si="10"/>
        <v>1146741</v>
      </c>
      <c r="L25" s="30">
        <f t="shared" si="11"/>
        <v>0</v>
      </c>
      <c r="M25" s="1"/>
      <c r="N25" s="30"/>
      <c r="O25" s="30"/>
      <c r="P25" s="62"/>
    </row>
    <row r="26" spans="1:16" ht="15.75" customHeight="1" x14ac:dyDescent="0.25">
      <c r="A26" s="49"/>
      <c r="B26" s="50"/>
      <c r="C26" s="50"/>
      <c r="D26" s="51">
        <f t="shared" ref="D26:E26" si="13">SUM(D18:D25)</f>
        <v>0</v>
      </c>
      <c r="E26" s="51">
        <f t="shared" si="13"/>
        <v>0</v>
      </c>
      <c r="F26" s="51">
        <f>SUM(D18:D25)-SUM(E18:E25)</f>
        <v>0</v>
      </c>
      <c r="G26" s="9">
        <v>0</v>
      </c>
      <c r="H26" s="86">
        <f>G26*F26</f>
        <v>0</v>
      </c>
      <c r="I26" s="49"/>
      <c r="J26" s="50"/>
      <c r="K26" s="50"/>
      <c r="L26" s="51">
        <f t="shared" ref="L26:M26" si="14">SUM(L18:L25)</f>
        <v>0</v>
      </c>
      <c r="M26" s="51">
        <f t="shared" si="14"/>
        <v>0</v>
      </c>
      <c r="N26" s="51">
        <f>SUM(L18:L25)-SUM(M18:M25)</f>
        <v>0</v>
      </c>
      <c r="O26" s="9">
        <v>0</v>
      </c>
      <c r="P26" s="86">
        <f>O26*N26</f>
        <v>0</v>
      </c>
    </row>
    <row r="27" spans="1:16" ht="15.75" customHeight="1" x14ac:dyDescent="0.25">
      <c r="A27" s="58" t="s">
        <v>38</v>
      </c>
      <c r="B27" s="87">
        <f>C12</f>
        <v>305900</v>
      </c>
      <c r="C27" s="2">
        <f>B27</f>
        <v>305900</v>
      </c>
      <c r="D27" s="30">
        <f t="shared" ref="D27:D28" si="15">C27-B27</f>
        <v>0</v>
      </c>
      <c r="E27" s="2"/>
      <c r="F27" s="56"/>
      <c r="G27" s="56"/>
      <c r="H27" s="57"/>
      <c r="I27" s="58" t="s">
        <v>38</v>
      </c>
      <c r="J27" s="87">
        <f>C27</f>
        <v>305900</v>
      </c>
      <c r="K27" s="2">
        <f>J27</f>
        <v>305900</v>
      </c>
      <c r="L27" s="30">
        <f t="shared" ref="L27:L28" si="16">K27-J27</f>
        <v>0</v>
      </c>
      <c r="M27" s="2"/>
      <c r="N27" s="56"/>
      <c r="O27" s="56"/>
      <c r="P27" s="57"/>
    </row>
    <row r="28" spans="1:16" ht="15.75" customHeight="1" x14ac:dyDescent="0.25">
      <c r="A28" s="29">
        <v>2</v>
      </c>
      <c r="B28" s="81">
        <f>C13</f>
        <v>255784</v>
      </c>
      <c r="C28" s="2">
        <f>B28</f>
        <v>255784</v>
      </c>
      <c r="D28" s="30">
        <f t="shared" si="15"/>
        <v>0</v>
      </c>
      <c r="E28" s="1"/>
      <c r="F28" s="30"/>
      <c r="G28" s="30"/>
      <c r="H28" s="62"/>
      <c r="I28" s="29">
        <v>2</v>
      </c>
      <c r="J28" s="81">
        <f>C28</f>
        <v>255784</v>
      </c>
      <c r="K28" s="1">
        <f>J28</f>
        <v>255784</v>
      </c>
      <c r="L28" s="30">
        <f t="shared" si="16"/>
        <v>0</v>
      </c>
      <c r="M28" s="1"/>
      <c r="N28" s="30"/>
      <c r="O28" s="30"/>
      <c r="P28" s="62"/>
    </row>
    <row r="29" spans="1:16" ht="15.75" customHeight="1" x14ac:dyDescent="0.25">
      <c r="A29" s="49"/>
      <c r="B29" s="50"/>
      <c r="C29" s="50"/>
      <c r="D29" s="51">
        <f>SUM(D27:D28)</f>
        <v>0</v>
      </c>
      <c r="E29" s="51">
        <f>SUM(E27:E28)</f>
        <v>0</v>
      </c>
      <c r="F29" s="51">
        <f>SUM(D27:D28)-SUM(E27:E28)</f>
        <v>0</v>
      </c>
      <c r="G29" s="9">
        <v>0</v>
      </c>
      <c r="H29" s="86">
        <v>0</v>
      </c>
      <c r="I29" s="49"/>
      <c r="J29" s="50"/>
      <c r="K29" s="50"/>
      <c r="L29" s="51">
        <f>SUM(L27:L28)</f>
        <v>0</v>
      </c>
      <c r="M29" s="51">
        <f>SUM(M27:M28)</f>
        <v>0</v>
      </c>
      <c r="N29" s="51">
        <f>SUM(L27:L28)-SUM(M27:M28)</f>
        <v>0</v>
      </c>
      <c r="O29" s="9">
        <v>0</v>
      </c>
      <c r="P29" s="86">
        <f>O29*N29</f>
        <v>0</v>
      </c>
    </row>
    <row r="30" spans="1:16" ht="15.75" customHeight="1" x14ac:dyDescent="0.25">
      <c r="A30" s="58" t="s">
        <v>42</v>
      </c>
      <c r="B30" s="87">
        <f>C15</f>
        <v>70080</v>
      </c>
      <c r="C30" s="2">
        <f>B30</f>
        <v>70080</v>
      </c>
      <c r="D30" s="30">
        <f t="shared" ref="D30:D31" si="17">C30-B30</f>
        <v>0</v>
      </c>
      <c r="E30" s="2"/>
      <c r="F30" s="56"/>
      <c r="G30" s="56"/>
      <c r="H30" s="57"/>
      <c r="I30" s="58" t="s">
        <v>42</v>
      </c>
      <c r="J30" s="87">
        <f>C30</f>
        <v>70080</v>
      </c>
      <c r="K30" s="2">
        <f>J30</f>
        <v>70080</v>
      </c>
      <c r="L30" s="30">
        <f t="shared" ref="L30:L31" si="18">K30-J30</f>
        <v>0</v>
      </c>
      <c r="M30" s="2"/>
      <c r="N30" s="56"/>
      <c r="O30" s="56"/>
      <c r="P30" s="57"/>
    </row>
    <row r="31" spans="1:16" ht="15.75" customHeight="1" x14ac:dyDescent="0.25">
      <c r="A31" s="29">
        <v>2</v>
      </c>
      <c r="B31" s="81">
        <f>C16</f>
        <v>98301</v>
      </c>
      <c r="C31" s="2">
        <f>B31</f>
        <v>98301</v>
      </c>
      <c r="D31" s="30">
        <f t="shared" si="17"/>
        <v>0</v>
      </c>
      <c r="E31" s="1"/>
      <c r="F31" s="30"/>
      <c r="G31" s="30"/>
      <c r="H31" s="62"/>
      <c r="I31" s="29">
        <v>2</v>
      </c>
      <c r="J31" s="81">
        <f>C31</f>
        <v>98301</v>
      </c>
      <c r="K31" s="1">
        <f>J31</f>
        <v>98301</v>
      </c>
      <c r="L31" s="30">
        <f t="shared" si="18"/>
        <v>0</v>
      </c>
      <c r="M31" s="1"/>
      <c r="N31" s="30"/>
      <c r="O31" s="30"/>
      <c r="P31" s="62"/>
    </row>
    <row r="32" spans="1:16" ht="15.75" customHeight="1" thickBot="1" x14ac:dyDescent="0.3">
      <c r="A32" s="74"/>
      <c r="B32" s="75"/>
      <c r="C32" s="75"/>
      <c r="D32" s="76">
        <f>SUM(D30:D31)</f>
        <v>0</v>
      </c>
      <c r="E32" s="76">
        <f>SUM(E30:E31)</f>
        <v>0</v>
      </c>
      <c r="F32" s="76">
        <f>SUM(D30:D31)-SUM(E30:E31)</f>
        <v>0</v>
      </c>
      <c r="G32" s="10">
        <v>0</v>
      </c>
      <c r="H32" s="77">
        <f>G32*F32</f>
        <v>0</v>
      </c>
      <c r="I32" s="74"/>
      <c r="J32" s="75"/>
      <c r="K32" s="75"/>
      <c r="L32" s="76">
        <f>SUM(L30:L31)</f>
        <v>0</v>
      </c>
      <c r="M32" s="76">
        <f>SUM(M30:M31)</f>
        <v>0</v>
      </c>
      <c r="N32" s="76">
        <f>SUM(L30:L31)-SUM(M30:M31)</f>
        <v>0</v>
      </c>
      <c r="O32" s="10">
        <v>0</v>
      </c>
      <c r="P32" s="77">
        <f>O32*N32</f>
        <v>0</v>
      </c>
    </row>
    <row r="33" spans="1:16" ht="15.75" customHeight="1" thickBot="1" x14ac:dyDescent="0.3">
      <c r="A33" s="136" t="s">
        <v>46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8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</sheetData>
  <sheetProtection algorithmName="SHA-512" hashValue="h4Kb5Ht4N0Gw/WtlZQSNJF7FHA6Akyadjq5VRA5rXtZZyJaf6OOTODH21mLW2y1gdxgYcmBechm3bxl+/QRAOw==" saltValue="FuJgrcfNMdzfypfP+Em09Q==" spinCount="100000" sheet="1" objects="1" scenarios="1"/>
  <mergeCells count="10">
    <mergeCell ref="A33:P33"/>
    <mergeCell ref="O14:P14"/>
    <mergeCell ref="O15:P15"/>
    <mergeCell ref="K10:L10"/>
    <mergeCell ref="I10:J10"/>
    <mergeCell ref="A1:B1"/>
    <mergeCell ref="I1:P1"/>
    <mergeCell ref="I8:I9"/>
    <mergeCell ref="M9:P9"/>
    <mergeCell ref="O16:P16"/>
  </mergeCells>
  <hyperlinks>
    <hyperlink ref="A33" r:id="rId1"/>
  </hyperlinks>
  <pageMargins left="0.7" right="0.7" top="0.75" bottom="0.75" header="0" footer="0"/>
  <pageSetup paperSize="9" scale="5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zoomScaleNormal="100" zoomScaleSheetLayoutView="100" zoomScalePageLayoutView="55" workbookViewId="0">
      <pane ySplit="1" topLeftCell="A7" activePane="bottomLeft" state="frozen"/>
      <selection activeCell="N22" sqref="N22"/>
      <selection pane="bottomLeft" activeCell="E7" sqref="E7"/>
    </sheetView>
  </sheetViews>
  <sheetFormatPr defaultColWidth="14.42578125" defaultRowHeight="15" customHeight="1" x14ac:dyDescent="0.25"/>
  <cols>
    <col min="1" max="1" width="7.28515625" style="28" bestFit="1" customWidth="1"/>
    <col min="2" max="2" width="10.28515625" style="28" customWidth="1"/>
    <col min="3" max="3" width="13.42578125" style="28" customWidth="1"/>
    <col min="4" max="4" width="10.85546875" style="28" customWidth="1"/>
    <col min="5" max="5" width="11.7109375" style="28" bestFit="1" customWidth="1"/>
    <col min="6" max="6" width="7.85546875" style="28" customWidth="1"/>
    <col min="7" max="7" width="8.85546875" style="28" customWidth="1"/>
    <col min="8" max="8" width="14.28515625" style="28" customWidth="1"/>
    <col min="9" max="9" width="9.5703125" style="28" bestFit="1" customWidth="1"/>
    <col min="10" max="10" width="11.5703125" style="28" customWidth="1"/>
    <col min="11" max="11" width="11.28515625" style="28" customWidth="1"/>
    <col min="12" max="12" width="10.85546875" style="28" customWidth="1"/>
    <col min="13" max="13" width="10.7109375" style="28" customWidth="1"/>
    <col min="14" max="14" width="10.5703125" style="28" customWidth="1"/>
    <col min="15" max="15" width="10.7109375" style="28" customWidth="1"/>
    <col min="16" max="16" width="11.42578125" style="28" bestFit="1" customWidth="1"/>
    <col min="17" max="17" width="9.140625" style="28" customWidth="1"/>
    <col min="18" max="16384" width="14.42578125" style="28"/>
  </cols>
  <sheetData>
    <row r="1" spans="1:16" s="21" customFormat="1" ht="30" customHeight="1" thickBot="1" x14ac:dyDescent="0.3">
      <c r="A1" s="125" t="s">
        <v>20</v>
      </c>
      <c r="B1" s="126"/>
      <c r="C1" s="19" t="s">
        <v>21</v>
      </c>
      <c r="D1" s="20">
        <f>F1-1</f>
        <v>1</v>
      </c>
      <c r="E1" s="19" t="s">
        <v>22</v>
      </c>
      <c r="F1" s="20">
        <v>2</v>
      </c>
      <c r="G1" s="20" cm="1">
        <f t="array" aca="1" ref="G1" ca="1">INDIRECT($D$1&amp;"!g1")</f>
        <v>3</v>
      </c>
      <c r="H1" s="91" cm="1">
        <f t="array" aca="1" ref="H1" ca="1">INDIRECT($D$1&amp;"!h1")</f>
        <v>2026</v>
      </c>
      <c r="I1" s="127">
        <f ca="1">DATEVALUE(F1&amp;"-"&amp;G1&amp;"-"&amp;H1)</f>
        <v>46056</v>
      </c>
      <c r="J1" s="128"/>
      <c r="K1" s="128"/>
      <c r="L1" s="128"/>
      <c r="M1" s="128"/>
      <c r="N1" s="128"/>
      <c r="O1" s="128"/>
      <c r="P1" s="129"/>
    </row>
    <row r="2" spans="1:16" ht="32.25" customHeight="1" x14ac:dyDescent="0.25">
      <c r="A2" s="22" t="s">
        <v>23</v>
      </c>
      <c r="B2" s="23" t="s">
        <v>24</v>
      </c>
      <c r="C2" s="23" t="s">
        <v>25</v>
      </c>
      <c r="D2" s="23" t="s">
        <v>5</v>
      </c>
      <c r="E2" s="23" t="s">
        <v>26</v>
      </c>
      <c r="F2" s="23" t="s">
        <v>27</v>
      </c>
      <c r="G2" s="23" t="s">
        <v>28</v>
      </c>
      <c r="H2" s="24" t="s">
        <v>29</v>
      </c>
      <c r="I2" s="25" t="s">
        <v>30</v>
      </c>
      <c r="J2" s="26" t="s">
        <v>31</v>
      </c>
      <c r="K2" s="26" t="s">
        <v>32</v>
      </c>
      <c r="L2" s="26" t="s">
        <v>11</v>
      </c>
      <c r="M2" s="26" t="s">
        <v>25</v>
      </c>
      <c r="N2" s="26" t="s">
        <v>33</v>
      </c>
      <c r="O2" s="26" t="s">
        <v>5</v>
      </c>
      <c r="P2" s="27" t="s">
        <v>34</v>
      </c>
    </row>
    <row r="3" spans="1:16" x14ac:dyDescent="0.25">
      <c r="A3" s="29" t="s">
        <v>12</v>
      </c>
      <c r="B3" s="81" cm="1">
        <f t="array" aca="1" ref="B3" ca="1">INDIRECT($D$1&amp;"!k18")</f>
        <v>945281</v>
      </c>
      <c r="C3" s="1">
        <f>945281</f>
        <v>945281</v>
      </c>
      <c r="D3" s="30">
        <f t="shared" ref="D3:D10" ca="1" si="0">C3-B3</f>
        <v>0</v>
      </c>
      <c r="E3" s="1"/>
      <c r="F3" s="30"/>
      <c r="G3" s="30"/>
      <c r="H3" s="31"/>
      <c r="I3" s="32" t="s">
        <v>12</v>
      </c>
      <c r="J3" s="33" cm="1">
        <f t="array" aca="1" ref="J3" ca="1">INDIRECT($D$1&amp;"!m3")</f>
        <v>27700</v>
      </c>
      <c r="K3" s="3"/>
      <c r="L3" s="116"/>
      <c r="M3" s="4">
        <f>24300</f>
        <v>24300</v>
      </c>
      <c r="N3" s="33">
        <f ca="1">J3+L3-M3</f>
        <v>3400</v>
      </c>
      <c r="O3" s="33">
        <f ca="1">D5+D6+D9+D10+D20+D21+D24+D25+L20+L21+L24+L25</f>
        <v>3364</v>
      </c>
      <c r="P3" s="34">
        <f ca="1">O3-N3</f>
        <v>-36</v>
      </c>
    </row>
    <row r="4" spans="1:16" x14ac:dyDescent="0.25">
      <c r="A4" s="29">
        <v>2</v>
      </c>
      <c r="B4" s="81" cm="1">
        <f t="array" aca="1" ref="B4" ca="1">INDIRECT($D$1&amp;"!k19")</f>
        <v>913278</v>
      </c>
      <c r="C4" s="1">
        <v>913278</v>
      </c>
      <c r="D4" s="30">
        <f t="shared" ca="1" si="0"/>
        <v>0</v>
      </c>
      <c r="E4" s="1"/>
      <c r="F4" s="30"/>
      <c r="G4" s="30"/>
      <c r="H4" s="31"/>
      <c r="I4" s="35" t="s">
        <v>13</v>
      </c>
      <c r="J4" s="36" cm="1">
        <f t="array" aca="1" ref="J4" ca="1">INDIRECT($D$1&amp;"!m4")</f>
        <v>11500</v>
      </c>
      <c r="K4" s="11"/>
      <c r="L4" s="117"/>
      <c r="M4" s="4">
        <v>10000</v>
      </c>
      <c r="N4" s="36">
        <f t="shared" ref="N4:N7" ca="1" si="1">J4+L4-M4</f>
        <v>1500</v>
      </c>
      <c r="O4" s="36">
        <f ca="1">D3+D4+D7+D8+D22+D23+L22+L23+D18+D19+L18+L19</f>
        <v>1414</v>
      </c>
      <c r="P4" s="37">
        <f ca="1">O4-N4</f>
        <v>-86</v>
      </c>
    </row>
    <row r="5" spans="1:16" x14ac:dyDescent="0.25">
      <c r="A5" s="29">
        <v>3</v>
      </c>
      <c r="B5" s="81" cm="1">
        <f t="array" aca="1" ref="B5" ca="1">INDIRECT($D$1&amp;"!k20")</f>
        <v>1363469</v>
      </c>
      <c r="C5" s="1">
        <v>1365264</v>
      </c>
      <c r="D5" s="30">
        <f t="shared" ca="1" si="0"/>
        <v>1795</v>
      </c>
      <c r="E5" s="1"/>
      <c r="F5" s="30"/>
      <c r="G5" s="30"/>
      <c r="H5" s="31"/>
      <c r="I5" s="38" t="s">
        <v>14</v>
      </c>
      <c r="J5" s="39">
        <f ca="1">SUM(J3:J4)</f>
        <v>39200</v>
      </c>
      <c r="K5" s="39">
        <f t="shared" ref="K5:L5" si="2">SUM(K3:K4)</f>
        <v>0</v>
      </c>
      <c r="L5" s="39">
        <f t="shared" si="2"/>
        <v>0</v>
      </c>
      <c r="M5" s="39">
        <f>M3+M4</f>
        <v>34300</v>
      </c>
      <c r="N5" s="39">
        <f t="shared" ca="1" si="1"/>
        <v>4900</v>
      </c>
      <c r="O5" s="39">
        <f ca="1">SUM(O3:O4)</f>
        <v>4778</v>
      </c>
      <c r="P5" s="40">
        <f ca="1">O5-N5</f>
        <v>-122</v>
      </c>
    </row>
    <row r="6" spans="1:16" x14ac:dyDescent="0.25">
      <c r="A6" s="29">
        <v>4</v>
      </c>
      <c r="B6" s="81" cm="1">
        <f t="array" aca="1" ref="B6" ca="1">INDIRECT($D$1&amp;"!k21")</f>
        <v>1149584</v>
      </c>
      <c r="C6" s="1">
        <v>1149584</v>
      </c>
      <c r="D6" s="30">
        <f t="shared" ca="1" si="0"/>
        <v>0</v>
      </c>
      <c r="E6" s="1"/>
      <c r="F6" s="30"/>
      <c r="G6" s="30"/>
      <c r="H6" s="31"/>
      <c r="I6" s="32" t="s">
        <v>8</v>
      </c>
      <c r="J6" s="33" cm="1">
        <f t="array" aca="1" ref="J6" ca="1">INDIRECT($D$1&amp;"!m6")</f>
        <v>25000</v>
      </c>
      <c r="K6" s="3"/>
      <c r="L6" s="88"/>
      <c r="M6" s="4">
        <f>24500</f>
        <v>24500</v>
      </c>
      <c r="N6" s="33">
        <f t="shared" ca="1" si="1"/>
        <v>500</v>
      </c>
      <c r="O6" s="33">
        <f ca="1">D12+D13+D27+D28+L27+L28</f>
        <v>418</v>
      </c>
      <c r="P6" s="34">
        <f t="shared" ref="P6:P7" ca="1" si="3">O6-N6</f>
        <v>-82</v>
      </c>
    </row>
    <row r="7" spans="1:16" ht="15.75" thickBot="1" x14ac:dyDescent="0.3">
      <c r="A7" s="29">
        <v>5</v>
      </c>
      <c r="B7" s="81" cm="1">
        <f t="array" aca="1" ref="B7" ca="1">INDIRECT($D$1&amp;"!k22")</f>
        <v>1214846</v>
      </c>
      <c r="C7" s="1">
        <v>1214846</v>
      </c>
      <c r="D7" s="30">
        <f t="shared" ca="1" si="0"/>
        <v>0</v>
      </c>
      <c r="E7" s="1"/>
      <c r="F7" s="30"/>
      <c r="G7" s="30"/>
      <c r="H7" s="31"/>
      <c r="I7" s="92" t="s">
        <v>9</v>
      </c>
      <c r="J7" s="93" cm="1">
        <f t="array" aca="1" ref="J7" ca="1">INDIRECT($D$1&amp;"!m7")</f>
        <v>1100</v>
      </c>
      <c r="K7" s="5"/>
      <c r="L7" s="90"/>
      <c r="M7" s="4">
        <f ca="1">J7</f>
        <v>1100</v>
      </c>
      <c r="N7" s="93">
        <f t="shared" ca="1" si="1"/>
        <v>0</v>
      </c>
      <c r="O7" s="93">
        <f ca="1">D15+D16+D30+D31+L30+L31</f>
        <v>0</v>
      </c>
      <c r="P7" s="94">
        <f t="shared" ca="1" si="3"/>
        <v>0</v>
      </c>
    </row>
    <row r="8" spans="1:16" x14ac:dyDescent="0.25">
      <c r="A8" s="29">
        <v>6</v>
      </c>
      <c r="B8" s="81" cm="1">
        <f t="array" aca="1" ref="B8" ca="1">INDIRECT($D$1&amp;"!k23")</f>
        <v>1040351</v>
      </c>
      <c r="C8" s="1">
        <v>1041765</v>
      </c>
      <c r="D8" s="30">
        <f t="shared" ca="1" si="0"/>
        <v>1414</v>
      </c>
      <c r="E8" s="1"/>
      <c r="F8" s="30"/>
      <c r="G8" s="30"/>
      <c r="H8" s="62"/>
      <c r="I8" s="130"/>
      <c r="J8" s="41"/>
      <c r="K8" s="41"/>
      <c r="L8" s="42"/>
      <c r="M8" s="41"/>
      <c r="N8" s="41"/>
      <c r="O8" s="41"/>
      <c r="P8" s="43"/>
    </row>
    <row r="9" spans="1:16" x14ac:dyDescent="0.25">
      <c r="A9" s="29">
        <v>7</v>
      </c>
      <c r="B9" s="81" cm="1">
        <f t="array" aca="1" ref="B9" ca="1">INDIRECT($D$1&amp;"!k24")</f>
        <v>1012522</v>
      </c>
      <c r="C9" s="1">
        <v>1012522</v>
      </c>
      <c r="D9" s="30">
        <f t="shared" ca="1" si="0"/>
        <v>0</v>
      </c>
      <c r="E9" s="1"/>
      <c r="F9" s="30"/>
      <c r="G9" s="30"/>
      <c r="H9" s="62"/>
      <c r="I9" s="131"/>
      <c r="J9" s="44"/>
      <c r="K9" s="44"/>
      <c r="L9" s="45"/>
      <c r="M9" s="132" t="s">
        <v>18</v>
      </c>
      <c r="N9" s="132"/>
      <c r="O9" s="132"/>
      <c r="P9" s="133"/>
    </row>
    <row r="10" spans="1:16" x14ac:dyDescent="0.25">
      <c r="A10" s="29">
        <v>8</v>
      </c>
      <c r="B10" s="81" cm="1">
        <f t="array" aca="1" ref="B10" ca="1">INDIRECT($D$1&amp;"!k25")</f>
        <v>1146741</v>
      </c>
      <c r="C10" s="1">
        <v>1148310</v>
      </c>
      <c r="D10" s="30">
        <f t="shared" ca="1" si="0"/>
        <v>1569</v>
      </c>
      <c r="E10" s="1"/>
      <c r="F10" s="30"/>
      <c r="G10" s="30"/>
      <c r="H10" s="62"/>
      <c r="I10" s="143" t="s">
        <v>19</v>
      </c>
      <c r="J10" s="145"/>
      <c r="K10" s="143" t="s">
        <v>35</v>
      </c>
      <c r="L10" s="144"/>
      <c r="M10" s="46"/>
      <c r="N10" s="47" t="s">
        <v>36</v>
      </c>
      <c r="O10" s="47" t="s">
        <v>17</v>
      </c>
      <c r="P10" s="48" t="s">
        <v>29</v>
      </c>
    </row>
    <row r="11" spans="1:16" x14ac:dyDescent="0.25">
      <c r="A11" s="49"/>
      <c r="B11" s="50"/>
      <c r="C11" s="50"/>
      <c r="D11" s="51">
        <f t="shared" ref="D11:E11" ca="1" si="4">SUM(D3:D10)</f>
        <v>4778</v>
      </c>
      <c r="E11" s="51">
        <f t="shared" si="4"/>
        <v>0</v>
      </c>
      <c r="F11" s="51">
        <f ca="1">SUM(D3:D10)-SUM(E3:E10)</f>
        <v>4778</v>
      </c>
      <c r="G11" s="9">
        <v>850</v>
      </c>
      <c r="H11" s="86">
        <f ca="1">G11*F11</f>
        <v>4061300</v>
      </c>
      <c r="I11" s="53" t="e" cm="1">
        <f t="array" aca="1" ref="I11" ca="1">INDIRECT("LODGEMENT"&amp;"!F3")</f>
        <v>#REF!</v>
      </c>
      <c r="J11" s="7">
        <v>1344855</v>
      </c>
      <c r="K11" s="53" t="s">
        <v>37</v>
      </c>
      <c r="L11" s="7">
        <f>E11</f>
        <v>0</v>
      </c>
      <c r="M11" s="54" t="s">
        <v>7</v>
      </c>
      <c r="N11" s="55">
        <f>E11+E26+M26-L11-L14-L15-L16</f>
        <v>0</v>
      </c>
      <c r="O11" s="56">
        <f ca="1">F11+F26+N26</f>
        <v>4778</v>
      </c>
      <c r="P11" s="57">
        <f ca="1">H11+H26+P26</f>
        <v>4061300</v>
      </c>
    </row>
    <row r="12" spans="1:16" ht="15.75" customHeight="1" x14ac:dyDescent="0.25">
      <c r="A12" s="58" t="s">
        <v>38</v>
      </c>
      <c r="B12" s="87" cm="1">
        <f t="array" aca="1" ref="B12" ca="1">INDIRECT($D$1&amp;"!k27")</f>
        <v>305900</v>
      </c>
      <c r="C12" s="2">
        <v>306025</v>
      </c>
      <c r="D12" s="30">
        <f t="shared" ref="D12:D13" ca="1" si="5">C12-B12</f>
        <v>125</v>
      </c>
      <c r="E12" s="2"/>
      <c r="F12" s="56"/>
      <c r="G12" s="56"/>
      <c r="H12" s="57"/>
      <c r="I12" s="53" t="e" cm="1">
        <f t="array" aca="1" ref="I12" ca="1">INDIRECT("LODGEMENT"&amp;"!G3")</f>
        <v>#REF!</v>
      </c>
      <c r="J12" s="7">
        <v>1529910</v>
      </c>
      <c r="K12" s="53" t="s">
        <v>39</v>
      </c>
      <c r="L12" s="7">
        <f>E14</f>
        <v>32</v>
      </c>
      <c r="M12" s="60" t="s">
        <v>8</v>
      </c>
      <c r="N12" s="61">
        <f>E14+E29+M29-L12-L13</f>
        <v>0</v>
      </c>
      <c r="O12" s="30">
        <f ca="1">F14+F29+N29</f>
        <v>386</v>
      </c>
      <c r="P12" s="62">
        <f ca="1">H14+H29+P29</f>
        <v>382140</v>
      </c>
    </row>
    <row r="13" spans="1:16" ht="15.75" customHeight="1" thickBot="1" x14ac:dyDescent="0.3">
      <c r="A13" s="29">
        <v>2</v>
      </c>
      <c r="B13" s="87" cm="1">
        <f t="array" aca="1" ref="B13" ca="1">INDIRECT($D$1&amp;"!k28")</f>
        <v>255784</v>
      </c>
      <c r="C13" s="2">
        <v>256077</v>
      </c>
      <c r="D13" s="30">
        <f t="shared" ca="1" si="5"/>
        <v>293</v>
      </c>
      <c r="E13" s="1">
        <v>32</v>
      </c>
      <c r="F13" s="30"/>
      <c r="G13" s="30"/>
      <c r="H13" s="62"/>
      <c r="I13" s="53" t="e" cm="1">
        <f t="array" aca="1" ref="I13" ca="1">INDIRECT("LODGEMENT"&amp;"!H3")</f>
        <v>#REF!</v>
      </c>
      <c r="J13" s="7">
        <v>1415940</v>
      </c>
      <c r="K13" s="53" t="s">
        <v>16</v>
      </c>
      <c r="L13" s="7"/>
      <c r="M13" s="63" t="s">
        <v>9</v>
      </c>
      <c r="N13" s="64">
        <f>E17+E32+M32</f>
        <v>0</v>
      </c>
      <c r="O13" s="65">
        <f ca="1">F17+F32+N32</f>
        <v>0</v>
      </c>
      <c r="P13" s="66">
        <f ca="1">H17+H32+P32</f>
        <v>0</v>
      </c>
    </row>
    <row r="14" spans="1:16" ht="15.75" customHeight="1" x14ac:dyDescent="0.25">
      <c r="A14" s="49"/>
      <c r="B14" s="50"/>
      <c r="C14" s="50"/>
      <c r="D14" s="51">
        <f ca="1">SUM(D12:D13)</f>
        <v>418</v>
      </c>
      <c r="E14" s="51">
        <f>SUM(E12:E13)</f>
        <v>32</v>
      </c>
      <c r="F14" s="51">
        <f ca="1">SUM(D12:D13)-SUM(E12:E13)</f>
        <v>386</v>
      </c>
      <c r="G14" s="9">
        <v>990</v>
      </c>
      <c r="H14" s="86">
        <f ca="1">G14*F14</f>
        <v>382140</v>
      </c>
      <c r="I14" s="53" t="e" cm="1">
        <f t="array" aca="1" ref="I14" ca="1">INDIRECT("LODGEMENT"&amp;"!I3")</f>
        <v>#REF!</v>
      </c>
      <c r="J14" s="7"/>
      <c r="K14" s="53" t="s">
        <v>40</v>
      </c>
      <c r="L14" s="7"/>
      <c r="M14" s="67"/>
      <c r="N14" s="68" t="s">
        <v>41</v>
      </c>
      <c r="O14" s="139">
        <f ca="1">SUM(P11:P13)</f>
        <v>4443440</v>
      </c>
      <c r="P14" s="140"/>
    </row>
    <row r="15" spans="1:16" ht="15.75" customHeight="1" x14ac:dyDescent="0.25">
      <c r="A15" s="58" t="s">
        <v>42</v>
      </c>
      <c r="B15" s="87" cm="1">
        <f t="array" aca="1" ref="B15" ca="1">INDIRECT($D$1&amp;"!k30")</f>
        <v>70080</v>
      </c>
      <c r="C15" s="2">
        <f ca="1">B15</f>
        <v>70080</v>
      </c>
      <c r="D15" s="30">
        <f t="shared" ref="D15:D16" ca="1" si="6">C15-B15</f>
        <v>0</v>
      </c>
      <c r="E15" s="2"/>
      <c r="F15" s="56"/>
      <c r="G15" s="56"/>
      <c r="H15" s="57"/>
      <c r="I15" s="53" t="e" cm="1">
        <f t="array" aca="1" ref="I15" ca="1">INDIRECT("LODGEMENT"&amp;"!J3")</f>
        <v>#REF!</v>
      </c>
      <c r="J15" s="7"/>
      <c r="K15" s="53" t="s">
        <v>43</v>
      </c>
      <c r="L15" s="7"/>
      <c r="M15" s="69"/>
      <c r="N15" s="70" t="s">
        <v>44</v>
      </c>
      <c r="O15" s="141">
        <f>SUM(J11:J16)</f>
        <v>4290705</v>
      </c>
      <c r="P15" s="142"/>
    </row>
    <row r="16" spans="1:16" ht="15.75" customHeight="1" thickBot="1" x14ac:dyDescent="0.3">
      <c r="A16" s="29">
        <v>2</v>
      </c>
      <c r="B16" s="87" cm="1">
        <f t="array" aca="1" ref="B16" ca="1">INDIRECT($D$1&amp;"!k31")</f>
        <v>98301</v>
      </c>
      <c r="C16" s="2">
        <f ca="1">B16</f>
        <v>98301</v>
      </c>
      <c r="D16" s="30">
        <f t="shared" ca="1" si="6"/>
        <v>0</v>
      </c>
      <c r="E16" s="1"/>
      <c r="F16" s="30"/>
      <c r="G16" s="30"/>
      <c r="H16" s="62"/>
      <c r="I16" s="71" t="e" cm="1">
        <f t="array" aca="1" ref="I16" ca="1">INDIRECT("LODGEMENT"&amp;"!k3")</f>
        <v>#REF!</v>
      </c>
      <c r="J16" s="8"/>
      <c r="K16" s="71" t="s">
        <v>15</v>
      </c>
      <c r="L16" s="8"/>
      <c r="M16" s="72"/>
      <c r="N16" s="73" t="s">
        <v>45</v>
      </c>
      <c r="O16" s="134">
        <f ca="1">O14-O15</f>
        <v>152735</v>
      </c>
      <c r="P16" s="135"/>
    </row>
    <row r="17" spans="1:16" ht="15.75" customHeight="1" thickBot="1" x14ac:dyDescent="0.3">
      <c r="A17" s="74"/>
      <c r="B17" s="75"/>
      <c r="C17" s="75"/>
      <c r="D17" s="76">
        <f ca="1">SUM(D15:D16)</f>
        <v>0</v>
      </c>
      <c r="E17" s="76">
        <f>SUM(E15:E16)</f>
        <v>0</v>
      </c>
      <c r="F17" s="76">
        <f ca="1">SUM(D15:D16)-SUM(E15:E16)</f>
        <v>0</v>
      </c>
      <c r="G17" s="10"/>
      <c r="H17" s="77">
        <f ca="1">G17*F17</f>
        <v>0</v>
      </c>
      <c r="I17" s="78"/>
      <c r="J17" s="79"/>
      <c r="K17" s="79"/>
      <c r="L17" s="79"/>
      <c r="M17" s="79"/>
      <c r="N17" s="79"/>
      <c r="O17" s="79"/>
      <c r="P17" s="80"/>
    </row>
    <row r="18" spans="1:16" ht="15.75" customHeight="1" x14ac:dyDescent="0.25">
      <c r="A18" s="29" t="s">
        <v>12</v>
      </c>
      <c r="B18" s="81">
        <f t="shared" ref="B18:B25" si="7">C3</f>
        <v>945281</v>
      </c>
      <c r="C18" s="1">
        <f>B18</f>
        <v>945281</v>
      </c>
      <c r="D18" s="30">
        <f t="shared" ref="D18:D25" si="8">C18-B18</f>
        <v>0</v>
      </c>
      <c r="E18" s="1"/>
      <c r="F18" s="30"/>
      <c r="G18" s="30"/>
      <c r="H18" s="62"/>
      <c r="I18" s="82" t="s">
        <v>12</v>
      </c>
      <c r="J18" s="83">
        <f t="shared" ref="J18:J25" si="9">C18</f>
        <v>945281</v>
      </c>
      <c r="K18" s="6">
        <f t="shared" ref="K18:K25" si="10">J18</f>
        <v>945281</v>
      </c>
      <c r="L18" s="84">
        <f t="shared" ref="L18:L25" si="11">K18-J18</f>
        <v>0</v>
      </c>
      <c r="M18" s="6"/>
      <c r="N18" s="84"/>
      <c r="O18" s="84"/>
      <c r="P18" s="85"/>
    </row>
    <row r="19" spans="1:16" ht="15.75" customHeight="1" x14ac:dyDescent="0.25">
      <c r="A19" s="29">
        <v>2</v>
      </c>
      <c r="B19" s="81">
        <f t="shared" si="7"/>
        <v>913278</v>
      </c>
      <c r="C19" s="1">
        <f t="shared" ref="C19:C25" si="12">B19</f>
        <v>913278</v>
      </c>
      <c r="D19" s="30">
        <f t="shared" si="8"/>
        <v>0</v>
      </c>
      <c r="E19" s="1"/>
      <c r="F19" s="30"/>
      <c r="G19" s="30"/>
      <c r="H19" s="62"/>
      <c r="I19" s="29">
        <v>2</v>
      </c>
      <c r="J19" s="81">
        <f t="shared" si="9"/>
        <v>913278</v>
      </c>
      <c r="K19" s="1">
        <f t="shared" si="10"/>
        <v>913278</v>
      </c>
      <c r="L19" s="30">
        <f t="shared" si="11"/>
        <v>0</v>
      </c>
      <c r="M19" s="1"/>
      <c r="N19" s="30"/>
      <c r="O19" s="30"/>
      <c r="P19" s="62"/>
    </row>
    <row r="20" spans="1:16" ht="15.75" customHeight="1" x14ac:dyDescent="0.25">
      <c r="A20" s="29">
        <v>3</v>
      </c>
      <c r="B20" s="81">
        <f t="shared" si="7"/>
        <v>1365264</v>
      </c>
      <c r="C20" s="1">
        <f t="shared" si="12"/>
        <v>1365264</v>
      </c>
      <c r="D20" s="30">
        <f t="shared" si="8"/>
        <v>0</v>
      </c>
      <c r="E20" s="1"/>
      <c r="F20" s="30"/>
      <c r="G20" s="30"/>
      <c r="H20" s="62"/>
      <c r="I20" s="29">
        <v>3</v>
      </c>
      <c r="J20" s="81">
        <f t="shared" si="9"/>
        <v>1365264</v>
      </c>
      <c r="K20" s="1">
        <f t="shared" si="10"/>
        <v>1365264</v>
      </c>
      <c r="L20" s="30">
        <f t="shared" si="11"/>
        <v>0</v>
      </c>
      <c r="M20" s="1"/>
      <c r="N20" s="30"/>
      <c r="O20" s="30"/>
      <c r="P20" s="62"/>
    </row>
    <row r="21" spans="1:16" ht="15.75" customHeight="1" x14ac:dyDescent="0.25">
      <c r="A21" s="29">
        <v>4</v>
      </c>
      <c r="B21" s="81">
        <f t="shared" si="7"/>
        <v>1149584</v>
      </c>
      <c r="C21" s="1">
        <f t="shared" si="12"/>
        <v>1149584</v>
      </c>
      <c r="D21" s="30">
        <f t="shared" si="8"/>
        <v>0</v>
      </c>
      <c r="E21" s="1"/>
      <c r="F21" s="30"/>
      <c r="G21" s="30"/>
      <c r="H21" s="62"/>
      <c r="I21" s="29">
        <v>4</v>
      </c>
      <c r="J21" s="81">
        <f t="shared" si="9"/>
        <v>1149584</v>
      </c>
      <c r="K21" s="1">
        <f t="shared" si="10"/>
        <v>1149584</v>
      </c>
      <c r="L21" s="30">
        <f t="shared" si="11"/>
        <v>0</v>
      </c>
      <c r="M21" s="1"/>
      <c r="N21" s="30"/>
      <c r="O21" s="30"/>
      <c r="P21" s="62"/>
    </row>
    <row r="22" spans="1:16" ht="15.75" customHeight="1" x14ac:dyDescent="0.25">
      <c r="A22" s="29">
        <v>5</v>
      </c>
      <c r="B22" s="81">
        <f t="shared" si="7"/>
        <v>1214846</v>
      </c>
      <c r="C22" s="1">
        <f t="shared" si="12"/>
        <v>1214846</v>
      </c>
      <c r="D22" s="30">
        <f t="shared" si="8"/>
        <v>0</v>
      </c>
      <c r="E22" s="1"/>
      <c r="F22" s="30"/>
      <c r="G22" s="30"/>
      <c r="H22" s="62"/>
      <c r="I22" s="29">
        <v>5</v>
      </c>
      <c r="J22" s="81">
        <f t="shared" si="9"/>
        <v>1214846</v>
      </c>
      <c r="K22" s="1">
        <f t="shared" si="10"/>
        <v>1214846</v>
      </c>
      <c r="L22" s="30">
        <f t="shared" si="11"/>
        <v>0</v>
      </c>
      <c r="M22" s="1"/>
      <c r="N22" s="30"/>
      <c r="O22" s="30"/>
      <c r="P22" s="62"/>
    </row>
    <row r="23" spans="1:16" ht="15.75" customHeight="1" x14ac:dyDescent="0.25">
      <c r="A23" s="29">
        <v>6</v>
      </c>
      <c r="B23" s="81">
        <f t="shared" si="7"/>
        <v>1041765</v>
      </c>
      <c r="C23" s="1">
        <f t="shared" si="12"/>
        <v>1041765</v>
      </c>
      <c r="D23" s="30">
        <f t="shared" si="8"/>
        <v>0</v>
      </c>
      <c r="E23" s="1"/>
      <c r="F23" s="30"/>
      <c r="G23" s="30"/>
      <c r="H23" s="62"/>
      <c r="I23" s="29">
        <v>6</v>
      </c>
      <c r="J23" s="81">
        <f t="shared" si="9"/>
        <v>1041765</v>
      </c>
      <c r="K23" s="1">
        <f t="shared" si="10"/>
        <v>1041765</v>
      </c>
      <c r="L23" s="30">
        <f t="shared" si="11"/>
        <v>0</v>
      </c>
      <c r="M23" s="1"/>
      <c r="N23" s="30"/>
      <c r="O23" s="30"/>
      <c r="P23" s="62"/>
    </row>
    <row r="24" spans="1:16" ht="15.75" customHeight="1" x14ac:dyDescent="0.25">
      <c r="A24" s="29">
        <v>7</v>
      </c>
      <c r="B24" s="81">
        <f t="shared" si="7"/>
        <v>1012522</v>
      </c>
      <c r="C24" s="1">
        <f t="shared" si="12"/>
        <v>1012522</v>
      </c>
      <c r="D24" s="30">
        <f t="shared" si="8"/>
        <v>0</v>
      </c>
      <c r="E24" s="1"/>
      <c r="F24" s="30"/>
      <c r="G24" s="30"/>
      <c r="H24" s="62"/>
      <c r="I24" s="29">
        <v>7</v>
      </c>
      <c r="J24" s="81">
        <f t="shared" si="9"/>
        <v>1012522</v>
      </c>
      <c r="K24" s="1">
        <f t="shared" si="10"/>
        <v>1012522</v>
      </c>
      <c r="L24" s="30">
        <f t="shared" si="11"/>
        <v>0</v>
      </c>
      <c r="M24" s="1"/>
      <c r="N24" s="30"/>
      <c r="O24" s="30"/>
      <c r="P24" s="62"/>
    </row>
    <row r="25" spans="1:16" ht="15.75" customHeight="1" x14ac:dyDescent="0.25">
      <c r="A25" s="29">
        <v>8</v>
      </c>
      <c r="B25" s="81">
        <f t="shared" si="7"/>
        <v>1148310</v>
      </c>
      <c r="C25" s="1">
        <f t="shared" si="12"/>
        <v>1148310</v>
      </c>
      <c r="D25" s="30">
        <f t="shared" si="8"/>
        <v>0</v>
      </c>
      <c r="E25" s="1"/>
      <c r="F25" s="30"/>
      <c r="G25" s="30"/>
      <c r="H25" s="62"/>
      <c r="I25" s="29">
        <v>8</v>
      </c>
      <c r="J25" s="81">
        <f t="shared" si="9"/>
        <v>1148310</v>
      </c>
      <c r="K25" s="1">
        <f t="shared" si="10"/>
        <v>1148310</v>
      </c>
      <c r="L25" s="30">
        <f t="shared" si="11"/>
        <v>0</v>
      </c>
      <c r="M25" s="1"/>
      <c r="N25" s="30"/>
      <c r="O25" s="30"/>
      <c r="P25" s="62"/>
    </row>
    <row r="26" spans="1:16" ht="15.75" customHeight="1" x14ac:dyDescent="0.25">
      <c r="A26" s="49"/>
      <c r="B26" s="50"/>
      <c r="C26" s="50"/>
      <c r="D26" s="51">
        <f t="shared" ref="D26:E26" si="13">SUM(D18:D25)</f>
        <v>0</v>
      </c>
      <c r="E26" s="51">
        <f t="shared" si="13"/>
        <v>0</v>
      </c>
      <c r="F26" s="51">
        <f>SUM(D18:D25)-SUM(E18:E25)</f>
        <v>0</v>
      </c>
      <c r="G26" s="9">
        <v>0</v>
      </c>
      <c r="H26" s="86">
        <f>G26*F26</f>
        <v>0</v>
      </c>
      <c r="I26" s="49"/>
      <c r="J26" s="50"/>
      <c r="K26" s="50"/>
      <c r="L26" s="51">
        <f t="shared" ref="L26:M26" si="14">SUM(L18:L25)</f>
        <v>0</v>
      </c>
      <c r="M26" s="51">
        <f t="shared" si="14"/>
        <v>0</v>
      </c>
      <c r="N26" s="51">
        <f>SUM(L18:L25)-SUM(M18:M25)</f>
        <v>0</v>
      </c>
      <c r="O26" s="9">
        <v>0</v>
      </c>
      <c r="P26" s="86">
        <f>O26*N26</f>
        <v>0</v>
      </c>
    </row>
    <row r="27" spans="1:16" ht="15.75" customHeight="1" x14ac:dyDescent="0.25">
      <c r="A27" s="58" t="s">
        <v>38</v>
      </c>
      <c r="B27" s="87">
        <f>C12</f>
        <v>306025</v>
      </c>
      <c r="C27" s="2">
        <f>B27</f>
        <v>306025</v>
      </c>
      <c r="D27" s="30">
        <f t="shared" ref="D27:D28" si="15">C27-B27</f>
        <v>0</v>
      </c>
      <c r="E27" s="2"/>
      <c r="F27" s="56"/>
      <c r="G27" s="56"/>
      <c r="H27" s="57"/>
      <c r="I27" s="58" t="s">
        <v>38</v>
      </c>
      <c r="J27" s="87">
        <f>C27</f>
        <v>306025</v>
      </c>
      <c r="K27" s="2">
        <f>J27</f>
        <v>306025</v>
      </c>
      <c r="L27" s="30">
        <f t="shared" ref="L27:L28" si="16">K27-J27</f>
        <v>0</v>
      </c>
      <c r="M27" s="2"/>
      <c r="N27" s="56"/>
      <c r="O27" s="56"/>
      <c r="P27" s="57"/>
    </row>
    <row r="28" spans="1:16" ht="15.75" customHeight="1" x14ac:dyDescent="0.25">
      <c r="A28" s="29">
        <v>2</v>
      </c>
      <c r="B28" s="81">
        <f>C13</f>
        <v>256077</v>
      </c>
      <c r="C28" s="2">
        <f>B28</f>
        <v>256077</v>
      </c>
      <c r="D28" s="30">
        <f t="shared" si="15"/>
        <v>0</v>
      </c>
      <c r="E28" s="1"/>
      <c r="F28" s="30"/>
      <c r="G28" s="30"/>
      <c r="H28" s="62"/>
      <c r="I28" s="29">
        <v>2</v>
      </c>
      <c r="J28" s="81">
        <f>C28</f>
        <v>256077</v>
      </c>
      <c r="K28" s="1">
        <f>J28</f>
        <v>256077</v>
      </c>
      <c r="L28" s="30">
        <f t="shared" si="16"/>
        <v>0</v>
      </c>
      <c r="M28" s="1"/>
      <c r="N28" s="30"/>
      <c r="O28" s="30"/>
      <c r="P28" s="62"/>
    </row>
    <row r="29" spans="1:16" ht="15.75" customHeight="1" x14ac:dyDescent="0.25">
      <c r="A29" s="49"/>
      <c r="B29" s="50"/>
      <c r="C29" s="50"/>
      <c r="D29" s="51">
        <f>SUM(D27:D28)</f>
        <v>0</v>
      </c>
      <c r="E29" s="51">
        <f>SUM(E27:E28)</f>
        <v>0</v>
      </c>
      <c r="F29" s="51">
        <f>SUM(D27:D28)-SUM(E27:E28)</f>
        <v>0</v>
      </c>
      <c r="G29" s="9">
        <v>0</v>
      </c>
      <c r="H29" s="86">
        <f>G29*F29</f>
        <v>0</v>
      </c>
      <c r="I29" s="49"/>
      <c r="J29" s="50"/>
      <c r="K29" s="50"/>
      <c r="L29" s="51">
        <f>SUM(L27:L28)</f>
        <v>0</v>
      </c>
      <c r="M29" s="51">
        <f>SUM(M27:M28)</f>
        <v>0</v>
      </c>
      <c r="N29" s="51">
        <f>SUM(L27:L28)-SUM(M27:M28)</f>
        <v>0</v>
      </c>
      <c r="O29" s="9">
        <v>0</v>
      </c>
      <c r="P29" s="86">
        <f>O29*N29</f>
        <v>0</v>
      </c>
    </row>
    <row r="30" spans="1:16" ht="15.75" customHeight="1" x14ac:dyDescent="0.25">
      <c r="A30" s="58" t="s">
        <v>42</v>
      </c>
      <c r="B30" s="87">
        <f ca="1">C15</f>
        <v>70080</v>
      </c>
      <c r="C30" s="2">
        <f ca="1">B30</f>
        <v>70080</v>
      </c>
      <c r="D30" s="30">
        <f t="shared" ref="D30:D31" ca="1" si="17">C30-B30</f>
        <v>0</v>
      </c>
      <c r="E30" s="2"/>
      <c r="F30" s="56"/>
      <c r="G30" s="56"/>
      <c r="H30" s="57"/>
      <c r="I30" s="58" t="s">
        <v>42</v>
      </c>
      <c r="J30" s="87">
        <f ca="1">C30</f>
        <v>70080</v>
      </c>
      <c r="K30" s="2">
        <f ca="1">J30</f>
        <v>70080</v>
      </c>
      <c r="L30" s="30">
        <f t="shared" ref="L30:L31" ca="1" si="18">K30-J30</f>
        <v>0</v>
      </c>
      <c r="M30" s="2"/>
      <c r="N30" s="56"/>
      <c r="O30" s="56"/>
      <c r="P30" s="57"/>
    </row>
    <row r="31" spans="1:16" ht="15.75" customHeight="1" x14ac:dyDescent="0.25">
      <c r="A31" s="29">
        <v>2</v>
      </c>
      <c r="B31" s="81">
        <f ca="1">C16</f>
        <v>98301</v>
      </c>
      <c r="C31" s="1">
        <f ca="1">B31</f>
        <v>98301</v>
      </c>
      <c r="D31" s="30">
        <f t="shared" ca="1" si="17"/>
        <v>0</v>
      </c>
      <c r="E31" s="1"/>
      <c r="F31" s="30"/>
      <c r="G31" s="30"/>
      <c r="H31" s="62"/>
      <c r="I31" s="29">
        <v>2</v>
      </c>
      <c r="J31" s="81">
        <f ca="1">C31</f>
        <v>98301</v>
      </c>
      <c r="K31" s="1">
        <f ca="1">J31</f>
        <v>98301</v>
      </c>
      <c r="L31" s="30">
        <f t="shared" ca="1" si="18"/>
        <v>0</v>
      </c>
      <c r="M31" s="1"/>
      <c r="N31" s="30"/>
      <c r="O31" s="30"/>
      <c r="P31" s="62"/>
    </row>
    <row r="32" spans="1:16" ht="15.75" customHeight="1" thickBot="1" x14ac:dyDescent="0.3">
      <c r="A32" s="74"/>
      <c r="B32" s="75"/>
      <c r="C32" s="75"/>
      <c r="D32" s="76">
        <f ca="1">SUM(D30:D31)</f>
        <v>0</v>
      </c>
      <c r="E32" s="76">
        <f>SUM(E30:E31)</f>
        <v>0</v>
      </c>
      <c r="F32" s="76">
        <f ca="1">SUM(D30:D31)-SUM(E30:E31)</f>
        <v>0</v>
      </c>
      <c r="G32" s="10">
        <v>0</v>
      </c>
      <c r="H32" s="77">
        <f ca="1">G32*F32</f>
        <v>0</v>
      </c>
      <c r="I32" s="74"/>
      <c r="J32" s="75"/>
      <c r="K32" s="75"/>
      <c r="L32" s="76">
        <f ca="1">SUM(L30:L31)</f>
        <v>0</v>
      </c>
      <c r="M32" s="76">
        <f>SUM(M30:M31)</f>
        <v>0</v>
      </c>
      <c r="N32" s="76">
        <f ca="1">SUM(L30:L31)-SUM(M30:M31)</f>
        <v>0</v>
      </c>
      <c r="O32" s="10">
        <v>0</v>
      </c>
      <c r="P32" s="77">
        <f ca="1">O32*N32</f>
        <v>0</v>
      </c>
    </row>
    <row r="33" spans="1:16" ht="15.75" customHeight="1" thickBot="1" x14ac:dyDescent="0.3">
      <c r="A33" s="136" t="s">
        <v>46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8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</sheetData>
  <sheetProtection algorithmName="SHA-512" hashValue="gtGPlrjIB4xIA4JywvnKD/4I6NWhl3Tx8o/LzWTF2AutQbs1NDxr0KUhMEO76qFVuzfFQPlRJTlGKJGkGpscbQ==" saltValue="iY7lauCkppOh7fLM/uMsIQ==" spinCount="100000" sheet="1" objects="1" scenarios="1"/>
  <mergeCells count="10">
    <mergeCell ref="A33:P33"/>
    <mergeCell ref="O14:P14"/>
    <mergeCell ref="O15:P15"/>
    <mergeCell ref="I8:I9"/>
    <mergeCell ref="M9:P9"/>
    <mergeCell ref="A1:B1"/>
    <mergeCell ref="I1:P1"/>
    <mergeCell ref="I10:J10"/>
    <mergeCell ref="K10:L10"/>
    <mergeCell ref="O16:P16"/>
  </mergeCells>
  <hyperlinks>
    <hyperlink ref="A33" r:id="rId1"/>
  </hyperlinks>
  <pageMargins left="0.7" right="0.7" top="0.75" bottom="0.75" header="0" footer="0"/>
  <pageSetup paperSize="9" scale="5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zoomScaleNormal="100" zoomScaleSheetLayoutView="100" zoomScalePageLayoutView="55" workbookViewId="0">
      <pane ySplit="1" topLeftCell="A2" activePane="bottomLeft" state="frozen"/>
      <selection activeCell="N22" sqref="N22"/>
      <selection pane="bottomLeft" activeCell="A34" sqref="A34"/>
    </sheetView>
  </sheetViews>
  <sheetFormatPr defaultColWidth="14.42578125" defaultRowHeight="15" customHeight="1" x14ac:dyDescent="0.25"/>
  <cols>
    <col min="1" max="1" width="7.28515625" style="28" bestFit="1" customWidth="1"/>
    <col min="2" max="2" width="10.28515625" style="28" customWidth="1"/>
    <col min="3" max="3" width="13.42578125" style="28" customWidth="1"/>
    <col min="4" max="4" width="10.85546875" style="28" customWidth="1"/>
    <col min="5" max="5" width="11.7109375" style="28" bestFit="1" customWidth="1"/>
    <col min="6" max="6" width="7.85546875" style="28" customWidth="1"/>
    <col min="7" max="7" width="8.85546875" style="28" customWidth="1"/>
    <col min="8" max="8" width="14.28515625" style="28" customWidth="1"/>
    <col min="9" max="9" width="9.5703125" style="28" bestFit="1" customWidth="1"/>
    <col min="10" max="10" width="11.5703125" style="28" customWidth="1"/>
    <col min="11" max="11" width="11.28515625" style="28" customWidth="1"/>
    <col min="12" max="12" width="10.85546875" style="28" customWidth="1"/>
    <col min="13" max="13" width="10.7109375" style="28" customWidth="1"/>
    <col min="14" max="14" width="10.5703125" style="28" customWidth="1"/>
    <col min="15" max="15" width="10.7109375" style="28" customWidth="1"/>
    <col min="16" max="16" width="11.42578125" style="28" bestFit="1" customWidth="1"/>
    <col min="17" max="17" width="9.140625" style="28" customWidth="1"/>
    <col min="18" max="16384" width="14.42578125" style="28"/>
  </cols>
  <sheetData>
    <row r="1" spans="1:16" s="21" customFormat="1" ht="30" customHeight="1" thickBot="1" x14ac:dyDescent="0.3">
      <c r="A1" s="125" t="s">
        <v>20</v>
      </c>
      <c r="B1" s="126"/>
      <c r="C1" s="19" t="s">
        <v>21</v>
      </c>
      <c r="D1" s="20">
        <f>F1-1</f>
        <v>2</v>
      </c>
      <c r="E1" s="19" t="s">
        <v>22</v>
      </c>
      <c r="F1" s="20">
        <v>3</v>
      </c>
      <c r="G1" s="20" cm="1">
        <f t="array" aca="1" ref="G1" ca="1">INDIRECT($D$1&amp;"!g1")</f>
        <v>3</v>
      </c>
      <c r="H1" s="91" cm="1">
        <f t="array" aca="1" ref="H1" ca="1">INDIRECT($D$1&amp;"!h1")</f>
        <v>2026</v>
      </c>
      <c r="I1" s="127">
        <f ca="1">DATEVALUE(F1&amp;"-"&amp;G1&amp;"-"&amp;H1)</f>
        <v>46084</v>
      </c>
      <c r="J1" s="128"/>
      <c r="K1" s="128"/>
      <c r="L1" s="128"/>
      <c r="M1" s="128"/>
      <c r="N1" s="128"/>
      <c r="O1" s="128"/>
      <c r="P1" s="129"/>
    </row>
    <row r="2" spans="1:16" ht="32.25" customHeight="1" x14ac:dyDescent="0.25">
      <c r="A2" s="22" t="s">
        <v>23</v>
      </c>
      <c r="B2" s="23" t="s">
        <v>24</v>
      </c>
      <c r="C2" s="23" t="s">
        <v>25</v>
      </c>
      <c r="D2" s="23" t="s">
        <v>5</v>
      </c>
      <c r="E2" s="23" t="s">
        <v>26</v>
      </c>
      <c r="F2" s="23" t="s">
        <v>27</v>
      </c>
      <c r="G2" s="23" t="s">
        <v>28</v>
      </c>
      <c r="H2" s="24" t="s">
        <v>29</v>
      </c>
      <c r="I2" s="25" t="s">
        <v>30</v>
      </c>
      <c r="J2" s="26" t="s">
        <v>31</v>
      </c>
      <c r="K2" s="26" t="s">
        <v>32</v>
      </c>
      <c r="L2" s="26" t="s">
        <v>11</v>
      </c>
      <c r="M2" s="26" t="s">
        <v>25</v>
      </c>
      <c r="N2" s="26" t="s">
        <v>33</v>
      </c>
      <c r="O2" s="26" t="s">
        <v>5</v>
      </c>
      <c r="P2" s="27" t="s">
        <v>34</v>
      </c>
    </row>
    <row r="3" spans="1:16" x14ac:dyDescent="0.25">
      <c r="A3" s="29" t="s">
        <v>12</v>
      </c>
      <c r="B3" s="81" cm="1">
        <f t="array" aca="1" ref="B3" ca="1">INDIRECT($D$1&amp;"!k18")</f>
        <v>945281</v>
      </c>
      <c r="C3" s="1">
        <f>945479</f>
        <v>945479</v>
      </c>
      <c r="D3" s="30">
        <f t="shared" ref="D3:D10" ca="1" si="0">C3-B3</f>
        <v>198</v>
      </c>
      <c r="E3" s="1"/>
      <c r="F3" s="30"/>
      <c r="G3" s="30"/>
      <c r="H3" s="31"/>
      <c r="I3" s="32" t="s">
        <v>12</v>
      </c>
      <c r="J3" s="33" cm="1">
        <f t="array" aca="1" ref="J3" ca="1">INDIRECT($D$1&amp;"!m3")</f>
        <v>24300</v>
      </c>
      <c r="K3" s="3"/>
      <c r="L3" s="116"/>
      <c r="M3" s="4">
        <f>21400</f>
        <v>21400</v>
      </c>
      <c r="N3" s="33">
        <f ca="1">J3+L3-M3</f>
        <v>2900</v>
      </c>
      <c r="O3" s="33">
        <f ca="1">D5+D6+D9+D10+D20+D21+D24+D25+L20+L21+L24+L25</f>
        <v>2945</v>
      </c>
      <c r="P3" s="34">
        <f ca="1">O3-N3</f>
        <v>45</v>
      </c>
    </row>
    <row r="4" spans="1:16" x14ac:dyDescent="0.25">
      <c r="A4" s="29">
        <v>2</v>
      </c>
      <c r="B4" s="81" cm="1">
        <f t="array" aca="1" ref="B4" ca="1">INDIRECT($D$1&amp;"!k19")</f>
        <v>913278</v>
      </c>
      <c r="C4" s="1">
        <v>913278</v>
      </c>
      <c r="D4" s="30">
        <f t="shared" ca="1" si="0"/>
        <v>0</v>
      </c>
      <c r="E4" s="1"/>
      <c r="F4" s="30"/>
      <c r="G4" s="30"/>
      <c r="H4" s="31"/>
      <c r="I4" s="35" t="s">
        <v>13</v>
      </c>
      <c r="J4" s="36" cm="1">
        <f t="array" aca="1" ref="J4" ca="1">INDIRECT($D$1&amp;"!m4")</f>
        <v>10000</v>
      </c>
      <c r="K4" s="11"/>
      <c r="L4" s="117"/>
      <c r="M4" s="4">
        <f>8800</f>
        <v>8800</v>
      </c>
      <c r="N4" s="36">
        <f t="shared" ref="N4:N7" ca="1" si="1">J4+L4-M4</f>
        <v>1200</v>
      </c>
      <c r="O4" s="36">
        <f ca="1">D3+D4+D7+D8+D22+D23+L22+L23+D18+D19+L18+L19</f>
        <v>1297</v>
      </c>
      <c r="P4" s="37">
        <f ca="1">O4-N4</f>
        <v>97</v>
      </c>
    </row>
    <row r="5" spans="1:16" x14ac:dyDescent="0.25">
      <c r="A5" s="29">
        <v>3</v>
      </c>
      <c r="B5" s="81" cm="1">
        <f t="array" aca="1" ref="B5" ca="1">INDIRECT($D$1&amp;"!k20")</f>
        <v>1365264</v>
      </c>
      <c r="C5" s="1">
        <f>1365359</f>
        <v>1365359</v>
      </c>
      <c r="D5" s="30">
        <f t="shared" ca="1" si="0"/>
        <v>95</v>
      </c>
      <c r="E5" s="1"/>
      <c r="F5" s="30"/>
      <c r="G5" s="30"/>
      <c r="H5" s="31"/>
      <c r="I5" s="38" t="s">
        <v>14</v>
      </c>
      <c r="J5" s="39">
        <f ca="1">SUM(J3:J4)</f>
        <v>34300</v>
      </c>
      <c r="K5" s="39">
        <f t="shared" ref="K5:L5" si="2">SUM(K3:K4)</f>
        <v>0</v>
      </c>
      <c r="L5" s="39">
        <f t="shared" si="2"/>
        <v>0</v>
      </c>
      <c r="M5" s="39">
        <f>M3+M4</f>
        <v>30200</v>
      </c>
      <c r="N5" s="39">
        <f t="shared" ca="1" si="1"/>
        <v>4100</v>
      </c>
      <c r="O5" s="39">
        <f ca="1">SUM(O3:O4)</f>
        <v>4242</v>
      </c>
      <c r="P5" s="40">
        <f ca="1">O5-N5</f>
        <v>142</v>
      </c>
    </row>
    <row r="6" spans="1:16" x14ac:dyDescent="0.25">
      <c r="A6" s="29">
        <v>4</v>
      </c>
      <c r="B6" s="81" cm="1">
        <f t="array" aca="1" ref="B6" ca="1">INDIRECT($D$1&amp;"!k21")</f>
        <v>1149584</v>
      </c>
      <c r="C6" s="1">
        <f>1149584</f>
        <v>1149584</v>
      </c>
      <c r="D6" s="30">
        <f t="shared" ca="1" si="0"/>
        <v>0</v>
      </c>
      <c r="E6" s="1"/>
      <c r="F6" s="30"/>
      <c r="G6" s="30"/>
      <c r="H6" s="31"/>
      <c r="I6" s="32" t="s">
        <v>8</v>
      </c>
      <c r="J6" s="33" cm="1">
        <f t="array" aca="1" ref="J6" ca="1">INDIRECT($D$1&amp;"!m6")</f>
        <v>24500</v>
      </c>
      <c r="K6" s="3"/>
      <c r="L6" s="88"/>
      <c r="M6" s="4">
        <f>24300</f>
        <v>24300</v>
      </c>
      <c r="N6" s="33">
        <f t="shared" ca="1" si="1"/>
        <v>200</v>
      </c>
      <c r="O6" s="33">
        <f ca="1">D12+D13+D27+D28+L27+L28</f>
        <v>239</v>
      </c>
      <c r="P6" s="34">
        <f t="shared" ref="P6:P7" ca="1" si="3">O6-N6</f>
        <v>39</v>
      </c>
    </row>
    <row r="7" spans="1:16" ht="15.75" thickBot="1" x14ac:dyDescent="0.3">
      <c r="A7" s="29">
        <v>5</v>
      </c>
      <c r="B7" s="81" cm="1">
        <f t="array" aca="1" ref="B7" ca="1">INDIRECT($D$1&amp;"!k22")</f>
        <v>1214846</v>
      </c>
      <c r="C7" s="1">
        <f t="shared" ref="C7:C9" ca="1" si="4">B7</f>
        <v>1214846</v>
      </c>
      <c r="D7" s="30">
        <f t="shared" ca="1" si="0"/>
        <v>0</v>
      </c>
      <c r="E7" s="1"/>
      <c r="F7" s="30"/>
      <c r="G7" s="30"/>
      <c r="H7" s="31"/>
      <c r="I7" s="92" t="s">
        <v>9</v>
      </c>
      <c r="J7" s="93" cm="1">
        <f t="array" aca="1" ref="J7" ca="1">INDIRECT($D$1&amp;"!m7")</f>
        <v>1100</v>
      </c>
      <c r="K7" s="5"/>
      <c r="L7" s="90"/>
      <c r="M7" s="4">
        <f ca="1">J7</f>
        <v>1100</v>
      </c>
      <c r="N7" s="93">
        <f t="shared" ca="1" si="1"/>
        <v>0</v>
      </c>
      <c r="O7" s="93">
        <f ca="1">D15+D16+D30+D31+L30+L31</f>
        <v>0</v>
      </c>
      <c r="P7" s="94">
        <f t="shared" ca="1" si="3"/>
        <v>0</v>
      </c>
    </row>
    <row r="8" spans="1:16" x14ac:dyDescent="0.25">
      <c r="A8" s="29">
        <v>6</v>
      </c>
      <c r="B8" s="81" cm="1">
        <f t="array" aca="1" ref="B8" ca="1">INDIRECT($D$1&amp;"!k23")</f>
        <v>1041765</v>
      </c>
      <c r="C8" s="1">
        <f t="shared" ca="1" si="4"/>
        <v>1041765</v>
      </c>
      <c r="D8" s="30">
        <f t="shared" ca="1" si="0"/>
        <v>0</v>
      </c>
      <c r="E8" s="1"/>
      <c r="F8" s="30"/>
      <c r="G8" s="30"/>
      <c r="H8" s="62"/>
      <c r="I8" s="130"/>
      <c r="J8" s="41"/>
      <c r="K8" s="41"/>
      <c r="L8" s="42"/>
      <c r="M8" s="41"/>
      <c r="N8" s="41"/>
      <c r="O8" s="41"/>
      <c r="P8" s="43"/>
    </row>
    <row r="9" spans="1:16" x14ac:dyDescent="0.25">
      <c r="A9" s="29">
        <v>7</v>
      </c>
      <c r="B9" s="81" cm="1">
        <f t="array" aca="1" ref="B9" ca="1">INDIRECT($D$1&amp;"!k24")</f>
        <v>1012522</v>
      </c>
      <c r="C9" s="1">
        <f t="shared" ca="1" si="4"/>
        <v>1012522</v>
      </c>
      <c r="D9" s="30">
        <f t="shared" ca="1" si="0"/>
        <v>0</v>
      </c>
      <c r="E9" s="1"/>
      <c r="F9" s="30"/>
      <c r="G9" s="30"/>
      <c r="H9" s="62"/>
      <c r="I9" s="131"/>
      <c r="J9" s="44"/>
      <c r="K9" s="44"/>
      <c r="L9" s="45"/>
      <c r="M9" s="132" t="s">
        <v>18</v>
      </c>
      <c r="N9" s="132"/>
      <c r="O9" s="132"/>
      <c r="P9" s="133"/>
    </row>
    <row r="10" spans="1:16" x14ac:dyDescent="0.25">
      <c r="A10" s="29">
        <v>8</v>
      </c>
      <c r="B10" s="81" cm="1">
        <f t="array" aca="1" ref="B10" ca="1">INDIRECT($D$1&amp;"!k25")</f>
        <v>1148310</v>
      </c>
      <c r="C10" s="1">
        <f>1148333</f>
        <v>1148333</v>
      </c>
      <c r="D10" s="30">
        <f t="shared" ca="1" si="0"/>
        <v>23</v>
      </c>
      <c r="E10" s="1"/>
      <c r="F10" s="30"/>
      <c r="G10" s="30"/>
      <c r="H10" s="62"/>
      <c r="I10" s="143" t="s">
        <v>19</v>
      </c>
      <c r="J10" s="145"/>
      <c r="K10" s="143" t="s">
        <v>35</v>
      </c>
      <c r="L10" s="144"/>
      <c r="M10" s="46"/>
      <c r="N10" s="47" t="s">
        <v>36</v>
      </c>
      <c r="O10" s="47" t="s">
        <v>17</v>
      </c>
      <c r="P10" s="48" t="s">
        <v>29</v>
      </c>
    </row>
    <row r="11" spans="1:16" x14ac:dyDescent="0.25">
      <c r="A11" s="49"/>
      <c r="B11" s="50"/>
      <c r="C11" s="50"/>
      <c r="D11" s="51">
        <f t="shared" ref="D11:E11" ca="1" si="5">SUM(D3:D10)</f>
        <v>316</v>
      </c>
      <c r="E11" s="51">
        <f t="shared" si="5"/>
        <v>0</v>
      </c>
      <c r="F11" s="51">
        <f ca="1">SUM(D3:D10)-SUM(E3:E10)</f>
        <v>316</v>
      </c>
      <c r="G11" s="9">
        <v>850</v>
      </c>
      <c r="H11" s="86">
        <f ca="1">G11*F11</f>
        <v>268600</v>
      </c>
      <c r="I11" s="53" t="e" cm="1">
        <f t="array" aca="1" ref="I11" ca="1">INDIRECT("LODGEMENT"&amp;"!F3")</f>
        <v>#REF!</v>
      </c>
      <c r="J11" s="7">
        <v>1182858</v>
      </c>
      <c r="K11" s="53" t="s">
        <v>37</v>
      </c>
      <c r="L11" s="7">
        <f>E11</f>
        <v>0</v>
      </c>
      <c r="M11" s="54" t="s">
        <v>7</v>
      </c>
      <c r="N11" s="55">
        <f>E11+E26+M26-L11-L14-L15-L16</f>
        <v>0</v>
      </c>
      <c r="O11" s="56">
        <f ca="1">F11+F26+N26</f>
        <v>4242</v>
      </c>
      <c r="P11" s="57">
        <f ca="1">H11+H26+P26</f>
        <v>3998300</v>
      </c>
    </row>
    <row r="12" spans="1:16" ht="15.75" customHeight="1" x14ac:dyDescent="0.25">
      <c r="A12" s="58" t="s">
        <v>38</v>
      </c>
      <c r="B12" s="87" cm="1">
        <f t="array" aca="1" ref="B12" ca="1">INDIRECT($D$1&amp;"!k27")</f>
        <v>306025</v>
      </c>
      <c r="C12" s="2">
        <f>306057</f>
        <v>306057</v>
      </c>
      <c r="D12" s="30">
        <f t="shared" ref="D12:D13" ca="1" si="6">C12-B12</f>
        <v>32</v>
      </c>
      <c r="E12" s="2"/>
      <c r="F12" s="56"/>
      <c r="G12" s="56"/>
      <c r="H12" s="57"/>
      <c r="I12" s="53" t="e" cm="1">
        <f t="array" aca="1" ref="I12" ca="1">INDIRECT("LODGEMENT"&amp;"!G3")</f>
        <v>#REF!</v>
      </c>
      <c r="J12" s="7">
        <v>1626441</v>
      </c>
      <c r="K12" s="53" t="s">
        <v>39</v>
      </c>
      <c r="L12" s="7">
        <v>33</v>
      </c>
      <c r="M12" s="60" t="s">
        <v>8</v>
      </c>
      <c r="N12" s="61">
        <f>E14+E29+M29-L12-L13</f>
        <v>0</v>
      </c>
      <c r="O12" s="30">
        <f ca="1">F14+F29+N29</f>
        <v>206</v>
      </c>
      <c r="P12" s="62">
        <f ca="1">H14+H29+P29</f>
        <v>214200</v>
      </c>
    </row>
    <row r="13" spans="1:16" ht="15.75" customHeight="1" thickBot="1" x14ac:dyDescent="0.3">
      <c r="A13" s="29">
        <v>2</v>
      </c>
      <c r="B13" s="87" cm="1">
        <f t="array" aca="1" ref="B13" ca="1">INDIRECT($D$1&amp;"!k28")</f>
        <v>256077</v>
      </c>
      <c r="C13" s="2">
        <v>256080</v>
      </c>
      <c r="D13" s="30">
        <f t="shared" ca="1" si="6"/>
        <v>3</v>
      </c>
      <c r="E13" s="1"/>
      <c r="F13" s="30"/>
      <c r="G13" s="30"/>
      <c r="H13" s="62"/>
      <c r="I13" s="53" t="e" cm="1">
        <f t="array" aca="1" ref="I13" ca="1">INDIRECT("LODGEMENT"&amp;"!H3")</f>
        <v>#REF!</v>
      </c>
      <c r="J13" s="7">
        <v>1214600</v>
      </c>
      <c r="K13" s="53" t="s">
        <v>16</v>
      </c>
      <c r="L13" s="7"/>
      <c r="M13" s="63" t="s">
        <v>9</v>
      </c>
      <c r="N13" s="64">
        <f>E17+E32+M32</f>
        <v>0</v>
      </c>
      <c r="O13" s="65">
        <f ca="1">F17+F32+N32</f>
        <v>0</v>
      </c>
      <c r="P13" s="66">
        <f ca="1">H17+H32+P32</f>
        <v>0</v>
      </c>
    </row>
    <row r="14" spans="1:16" ht="15.75" customHeight="1" x14ac:dyDescent="0.25">
      <c r="A14" s="49"/>
      <c r="B14" s="50"/>
      <c r="C14" s="50"/>
      <c r="D14" s="51">
        <f ca="1">SUM(D12:D13)</f>
        <v>35</v>
      </c>
      <c r="E14" s="51">
        <f>SUM(E12:E13)</f>
        <v>0</v>
      </c>
      <c r="F14" s="51">
        <f ca="1">SUM(D12:D13)-SUM(E12:E13)</f>
        <v>35</v>
      </c>
      <c r="G14" s="9">
        <v>990</v>
      </c>
      <c r="H14" s="86">
        <f ca="1">G14*F14</f>
        <v>34650</v>
      </c>
      <c r="I14" s="53" t="e" cm="1">
        <f t="array" aca="1" ref="I14" ca="1">INDIRECT("LODGEMENT"&amp;"!I3")</f>
        <v>#REF!</v>
      </c>
      <c r="J14" s="7"/>
      <c r="K14" s="53" t="s">
        <v>40</v>
      </c>
      <c r="L14" s="7"/>
      <c r="M14" s="67"/>
      <c r="N14" s="68" t="s">
        <v>41</v>
      </c>
      <c r="O14" s="139">
        <f ca="1">SUM(P11:P13)</f>
        <v>4212500</v>
      </c>
      <c r="P14" s="140"/>
    </row>
    <row r="15" spans="1:16" ht="15.75" customHeight="1" x14ac:dyDescent="0.25">
      <c r="A15" s="58" t="s">
        <v>42</v>
      </c>
      <c r="B15" s="87" cm="1">
        <f t="array" aca="1" ref="B15" ca="1">INDIRECT($D$1&amp;"!k30")</f>
        <v>70080</v>
      </c>
      <c r="C15" s="2">
        <f ca="1">B15</f>
        <v>70080</v>
      </c>
      <c r="D15" s="30">
        <f t="shared" ref="D15:D16" ca="1" si="7">C15-B15</f>
        <v>0</v>
      </c>
      <c r="E15" s="2"/>
      <c r="F15" s="56"/>
      <c r="G15" s="56"/>
      <c r="H15" s="57"/>
      <c r="I15" s="53" t="e" cm="1">
        <f t="array" aca="1" ref="I15" ca="1">INDIRECT("LODGEMENT"&amp;"!J3")</f>
        <v>#REF!</v>
      </c>
      <c r="J15" s="7"/>
      <c r="K15" s="53" t="s">
        <v>43</v>
      </c>
      <c r="L15" s="7"/>
      <c r="M15" s="69"/>
      <c r="N15" s="70" t="s">
        <v>44</v>
      </c>
      <c r="O15" s="141">
        <f>SUM(J11:J16)</f>
        <v>4023899</v>
      </c>
      <c r="P15" s="142"/>
    </row>
    <row r="16" spans="1:16" ht="15.75" customHeight="1" thickBot="1" x14ac:dyDescent="0.3">
      <c r="A16" s="29">
        <v>2</v>
      </c>
      <c r="B16" s="87" cm="1">
        <f t="array" aca="1" ref="B16" ca="1">INDIRECT($D$1&amp;"!k31")</f>
        <v>98301</v>
      </c>
      <c r="C16" s="2">
        <f ca="1">B16</f>
        <v>98301</v>
      </c>
      <c r="D16" s="30">
        <f t="shared" ca="1" si="7"/>
        <v>0</v>
      </c>
      <c r="E16" s="1"/>
      <c r="F16" s="30"/>
      <c r="G16" s="30"/>
      <c r="H16" s="62"/>
      <c r="I16" s="71" t="e" cm="1">
        <f t="array" aca="1" ref="I16" ca="1">INDIRECT("LODGEMENT"&amp;"!k3")</f>
        <v>#REF!</v>
      </c>
      <c r="J16" s="8"/>
      <c r="K16" s="71" t="s">
        <v>15</v>
      </c>
      <c r="L16" s="8"/>
      <c r="M16" s="72"/>
      <c r="N16" s="73" t="s">
        <v>45</v>
      </c>
      <c r="O16" s="134">
        <f ca="1">O14-O15</f>
        <v>188601</v>
      </c>
      <c r="P16" s="135"/>
    </row>
    <row r="17" spans="1:16" ht="15.75" customHeight="1" thickBot="1" x14ac:dyDescent="0.3">
      <c r="A17" s="74"/>
      <c r="B17" s="75"/>
      <c r="C17" s="75"/>
      <c r="D17" s="76">
        <f ca="1">SUM(D15:D16)</f>
        <v>0</v>
      </c>
      <c r="E17" s="76">
        <f>SUM(E15:E16)</f>
        <v>0</v>
      </c>
      <c r="F17" s="76">
        <f ca="1">SUM(D15:D16)-SUM(E15:E16)</f>
        <v>0</v>
      </c>
      <c r="G17" s="10"/>
      <c r="H17" s="77">
        <f ca="1">G17*F17</f>
        <v>0</v>
      </c>
      <c r="I17" s="78"/>
      <c r="J17" s="79"/>
      <c r="K17" s="79"/>
      <c r="L17" s="79"/>
      <c r="M17" s="79"/>
      <c r="N17" s="79"/>
      <c r="O17" s="79"/>
      <c r="P17" s="80"/>
    </row>
    <row r="18" spans="1:16" ht="15.75" customHeight="1" x14ac:dyDescent="0.25">
      <c r="A18" s="29" t="s">
        <v>12</v>
      </c>
      <c r="B18" s="81">
        <f t="shared" ref="B18:B25" si="8">C3</f>
        <v>945479</v>
      </c>
      <c r="C18" s="1">
        <f>946578</f>
        <v>946578</v>
      </c>
      <c r="D18" s="30">
        <f t="shared" ref="D18:D25" si="9">C18-B18</f>
        <v>1099</v>
      </c>
      <c r="E18" s="1"/>
      <c r="F18" s="30"/>
      <c r="G18" s="30"/>
      <c r="H18" s="62"/>
      <c r="I18" s="82" t="s">
        <v>12</v>
      </c>
      <c r="J18" s="83">
        <f t="shared" ref="J18:J25" si="10">C18</f>
        <v>946578</v>
      </c>
      <c r="K18" s="6">
        <f t="shared" ref="K18:K25" si="11">J18</f>
        <v>946578</v>
      </c>
      <c r="L18" s="84">
        <f t="shared" ref="L18:L25" si="12">K18-J18</f>
        <v>0</v>
      </c>
      <c r="M18" s="6"/>
      <c r="N18" s="84"/>
      <c r="O18" s="84"/>
      <c r="P18" s="85"/>
    </row>
    <row r="19" spans="1:16" ht="15.75" customHeight="1" x14ac:dyDescent="0.25">
      <c r="A19" s="29">
        <v>2</v>
      </c>
      <c r="B19" s="81">
        <f t="shared" si="8"/>
        <v>913278</v>
      </c>
      <c r="C19" s="1">
        <f>913278</f>
        <v>913278</v>
      </c>
      <c r="D19" s="30">
        <f t="shared" si="9"/>
        <v>0</v>
      </c>
      <c r="E19" s="1"/>
      <c r="F19" s="30"/>
      <c r="G19" s="30"/>
      <c r="H19" s="62"/>
      <c r="I19" s="29">
        <v>2</v>
      </c>
      <c r="J19" s="81">
        <f t="shared" si="10"/>
        <v>913278</v>
      </c>
      <c r="K19" s="1">
        <f t="shared" si="11"/>
        <v>913278</v>
      </c>
      <c r="L19" s="30">
        <f t="shared" si="12"/>
        <v>0</v>
      </c>
      <c r="M19" s="1"/>
      <c r="N19" s="30"/>
      <c r="O19" s="30"/>
      <c r="P19" s="62"/>
    </row>
    <row r="20" spans="1:16" ht="15.75" customHeight="1" x14ac:dyDescent="0.25">
      <c r="A20" s="29">
        <v>3</v>
      </c>
      <c r="B20" s="81">
        <f t="shared" si="8"/>
        <v>1365359</v>
      </c>
      <c r="C20" s="1">
        <f>1366894</f>
        <v>1366894</v>
      </c>
      <c r="D20" s="30">
        <f t="shared" si="9"/>
        <v>1535</v>
      </c>
      <c r="E20" s="1"/>
      <c r="F20" s="30"/>
      <c r="G20" s="30"/>
      <c r="H20" s="62"/>
      <c r="I20" s="29">
        <v>3</v>
      </c>
      <c r="J20" s="81">
        <f t="shared" si="10"/>
        <v>1366894</v>
      </c>
      <c r="K20" s="1">
        <f t="shared" si="11"/>
        <v>1366894</v>
      </c>
      <c r="L20" s="30">
        <f t="shared" si="12"/>
        <v>0</v>
      </c>
      <c r="M20" s="1"/>
      <c r="N20" s="30"/>
      <c r="O20" s="30"/>
      <c r="P20" s="62"/>
    </row>
    <row r="21" spans="1:16" ht="15.75" customHeight="1" x14ac:dyDescent="0.25">
      <c r="A21" s="29">
        <v>4</v>
      </c>
      <c r="B21" s="81">
        <f t="shared" si="8"/>
        <v>1149584</v>
      </c>
      <c r="C21" s="1">
        <f>1149584</f>
        <v>1149584</v>
      </c>
      <c r="D21" s="30">
        <f t="shared" si="9"/>
        <v>0</v>
      </c>
      <c r="E21" s="1"/>
      <c r="F21" s="30"/>
      <c r="G21" s="30"/>
      <c r="H21" s="62"/>
      <c r="I21" s="29">
        <v>4</v>
      </c>
      <c r="J21" s="81">
        <f t="shared" si="10"/>
        <v>1149584</v>
      </c>
      <c r="K21" s="1">
        <f t="shared" si="11"/>
        <v>1149584</v>
      </c>
      <c r="L21" s="30">
        <f t="shared" si="12"/>
        <v>0</v>
      </c>
      <c r="M21" s="1"/>
      <c r="N21" s="30"/>
      <c r="O21" s="30"/>
      <c r="P21" s="62"/>
    </row>
    <row r="22" spans="1:16" ht="15.75" customHeight="1" x14ac:dyDescent="0.25">
      <c r="A22" s="29">
        <v>5</v>
      </c>
      <c r="B22" s="81">
        <f t="shared" ca="1" si="8"/>
        <v>1214846</v>
      </c>
      <c r="C22" s="1">
        <f>1214846</f>
        <v>1214846</v>
      </c>
      <c r="D22" s="30">
        <f t="shared" ca="1" si="9"/>
        <v>0</v>
      </c>
      <c r="E22" s="1"/>
      <c r="F22" s="30"/>
      <c r="G22" s="30"/>
      <c r="H22" s="62"/>
      <c r="I22" s="29">
        <v>5</v>
      </c>
      <c r="J22" s="81">
        <f t="shared" si="10"/>
        <v>1214846</v>
      </c>
      <c r="K22" s="1">
        <f t="shared" si="11"/>
        <v>1214846</v>
      </c>
      <c r="L22" s="30">
        <f t="shared" si="12"/>
        <v>0</v>
      </c>
      <c r="M22" s="1"/>
      <c r="N22" s="30"/>
      <c r="O22" s="30"/>
      <c r="P22" s="62"/>
    </row>
    <row r="23" spans="1:16" ht="15.75" customHeight="1" x14ac:dyDescent="0.25">
      <c r="A23" s="29">
        <v>6</v>
      </c>
      <c r="B23" s="81">
        <f t="shared" ca="1" si="8"/>
        <v>1041765</v>
      </c>
      <c r="C23" s="1">
        <f>1041765</f>
        <v>1041765</v>
      </c>
      <c r="D23" s="30">
        <f t="shared" ca="1" si="9"/>
        <v>0</v>
      </c>
      <c r="E23" s="1"/>
      <c r="F23" s="30"/>
      <c r="G23" s="30"/>
      <c r="H23" s="62"/>
      <c r="I23" s="29">
        <v>6</v>
      </c>
      <c r="J23" s="81">
        <f t="shared" si="10"/>
        <v>1041765</v>
      </c>
      <c r="K23" s="1">
        <f t="shared" si="11"/>
        <v>1041765</v>
      </c>
      <c r="L23" s="30">
        <f t="shared" si="12"/>
        <v>0</v>
      </c>
      <c r="M23" s="1"/>
      <c r="N23" s="30"/>
      <c r="O23" s="30"/>
      <c r="P23" s="62"/>
    </row>
    <row r="24" spans="1:16" ht="15.75" customHeight="1" x14ac:dyDescent="0.25">
      <c r="A24" s="29">
        <v>7</v>
      </c>
      <c r="B24" s="81">
        <f t="shared" ca="1" si="8"/>
        <v>1012522</v>
      </c>
      <c r="C24" s="1">
        <f>1012522</f>
        <v>1012522</v>
      </c>
      <c r="D24" s="30">
        <f t="shared" ca="1" si="9"/>
        <v>0</v>
      </c>
      <c r="E24" s="1"/>
      <c r="F24" s="30"/>
      <c r="G24" s="30"/>
      <c r="H24" s="62"/>
      <c r="I24" s="29">
        <v>7</v>
      </c>
      <c r="J24" s="81">
        <f t="shared" si="10"/>
        <v>1012522</v>
      </c>
      <c r="K24" s="1">
        <f t="shared" si="11"/>
        <v>1012522</v>
      </c>
      <c r="L24" s="30">
        <f t="shared" si="12"/>
        <v>0</v>
      </c>
      <c r="M24" s="1"/>
      <c r="N24" s="30"/>
      <c r="O24" s="30"/>
      <c r="P24" s="62"/>
    </row>
    <row r="25" spans="1:16" ht="15.75" customHeight="1" x14ac:dyDescent="0.25">
      <c r="A25" s="29">
        <v>8</v>
      </c>
      <c r="B25" s="81">
        <f t="shared" si="8"/>
        <v>1148333</v>
      </c>
      <c r="C25" s="1">
        <f>1149625</f>
        <v>1149625</v>
      </c>
      <c r="D25" s="30">
        <f t="shared" si="9"/>
        <v>1292</v>
      </c>
      <c r="E25" s="1"/>
      <c r="F25" s="30"/>
      <c r="G25" s="30"/>
      <c r="H25" s="62"/>
      <c r="I25" s="29">
        <v>8</v>
      </c>
      <c r="J25" s="81">
        <f t="shared" si="10"/>
        <v>1149625</v>
      </c>
      <c r="K25" s="1">
        <f t="shared" si="11"/>
        <v>1149625</v>
      </c>
      <c r="L25" s="30">
        <f t="shared" si="12"/>
        <v>0</v>
      </c>
      <c r="M25" s="1"/>
      <c r="N25" s="30"/>
      <c r="O25" s="30"/>
      <c r="P25" s="62"/>
    </row>
    <row r="26" spans="1:16" ht="15.75" customHeight="1" x14ac:dyDescent="0.25">
      <c r="A26" s="49"/>
      <c r="B26" s="50"/>
      <c r="C26" s="50"/>
      <c r="D26" s="51">
        <f t="shared" ref="D26:E26" ca="1" si="13">SUM(D18:D25)</f>
        <v>3926</v>
      </c>
      <c r="E26" s="51">
        <f t="shared" si="13"/>
        <v>0</v>
      </c>
      <c r="F26" s="51">
        <f ca="1">SUM(D18:D25)-SUM(E18:E25)</f>
        <v>3926</v>
      </c>
      <c r="G26" s="9">
        <v>950</v>
      </c>
      <c r="H26" s="86">
        <f ca="1">G26*F26</f>
        <v>3729700</v>
      </c>
      <c r="I26" s="49"/>
      <c r="J26" s="50"/>
      <c r="K26" s="50"/>
      <c r="L26" s="51">
        <f t="shared" ref="L26:M26" si="14">SUM(L18:L25)</f>
        <v>0</v>
      </c>
      <c r="M26" s="51">
        <f t="shared" si="14"/>
        <v>0</v>
      </c>
      <c r="N26" s="51">
        <f>SUM(L18:L25)-SUM(M18:M25)</f>
        <v>0</v>
      </c>
      <c r="O26" s="9">
        <v>0</v>
      </c>
      <c r="P26" s="86">
        <f>O26*N26</f>
        <v>0</v>
      </c>
    </row>
    <row r="27" spans="1:16" ht="15.75" customHeight="1" x14ac:dyDescent="0.25">
      <c r="A27" s="58" t="s">
        <v>38</v>
      </c>
      <c r="B27" s="87">
        <f>C12</f>
        <v>306057</v>
      </c>
      <c r="C27" s="2">
        <f>306121</f>
        <v>306121</v>
      </c>
      <c r="D27" s="30">
        <f t="shared" ref="D27:D28" si="15">C27-B27</f>
        <v>64</v>
      </c>
      <c r="E27" s="2"/>
      <c r="F27" s="56"/>
      <c r="G27" s="56"/>
      <c r="H27" s="57"/>
      <c r="I27" s="58" t="s">
        <v>38</v>
      </c>
      <c r="J27" s="87">
        <f>C27</f>
        <v>306121</v>
      </c>
      <c r="K27" s="2">
        <f>J27</f>
        <v>306121</v>
      </c>
      <c r="L27" s="30">
        <f t="shared" ref="L27:L28" si="16">K27-J27</f>
        <v>0</v>
      </c>
      <c r="M27" s="2"/>
      <c r="N27" s="56"/>
      <c r="O27" s="56"/>
      <c r="P27" s="57"/>
    </row>
    <row r="28" spans="1:16" ht="15.75" customHeight="1" x14ac:dyDescent="0.25">
      <c r="A28" s="29">
        <v>2</v>
      </c>
      <c r="B28" s="81">
        <f>C13</f>
        <v>256080</v>
      </c>
      <c r="C28" s="2">
        <f>256220</f>
        <v>256220</v>
      </c>
      <c r="D28" s="30">
        <f t="shared" si="15"/>
        <v>140</v>
      </c>
      <c r="E28" s="1">
        <v>33</v>
      </c>
      <c r="F28" s="30"/>
      <c r="G28" s="30"/>
      <c r="H28" s="62"/>
      <c r="I28" s="29">
        <v>2</v>
      </c>
      <c r="J28" s="81">
        <f>C28</f>
        <v>256220</v>
      </c>
      <c r="K28" s="1">
        <f>J28</f>
        <v>256220</v>
      </c>
      <c r="L28" s="30">
        <f t="shared" si="16"/>
        <v>0</v>
      </c>
      <c r="M28" s="1"/>
      <c r="N28" s="30"/>
      <c r="O28" s="30"/>
      <c r="P28" s="62"/>
    </row>
    <row r="29" spans="1:16" ht="15.75" customHeight="1" x14ac:dyDescent="0.25">
      <c r="A29" s="49"/>
      <c r="B29" s="50"/>
      <c r="C29" s="50"/>
      <c r="D29" s="51">
        <f>SUM(D27:D28)</f>
        <v>204</v>
      </c>
      <c r="E29" s="51">
        <f>SUM(E27:E28)</f>
        <v>33</v>
      </c>
      <c r="F29" s="51">
        <f>SUM(D27:D28)-SUM(E27:E28)</f>
        <v>171</v>
      </c>
      <c r="G29" s="9">
        <v>1050</v>
      </c>
      <c r="H29" s="86">
        <f>G29*F29</f>
        <v>179550</v>
      </c>
      <c r="I29" s="49"/>
      <c r="J29" s="50"/>
      <c r="K29" s="50"/>
      <c r="L29" s="51">
        <f>SUM(L27:L28)</f>
        <v>0</v>
      </c>
      <c r="M29" s="51">
        <f>SUM(M27:M28)</f>
        <v>0</v>
      </c>
      <c r="N29" s="51">
        <f>SUM(L27:L28)-SUM(M27:M28)</f>
        <v>0</v>
      </c>
      <c r="O29" s="9">
        <v>0</v>
      </c>
      <c r="P29" s="86">
        <f>O29*N29</f>
        <v>0</v>
      </c>
    </row>
    <row r="30" spans="1:16" ht="15.75" customHeight="1" x14ac:dyDescent="0.25">
      <c r="A30" s="58" t="s">
        <v>42</v>
      </c>
      <c r="B30" s="87">
        <f ca="1">C15</f>
        <v>70080</v>
      </c>
      <c r="C30" s="2">
        <f ca="1">B30</f>
        <v>70080</v>
      </c>
      <c r="D30" s="30">
        <f t="shared" ref="D30:D31" ca="1" si="17">C30-B30</f>
        <v>0</v>
      </c>
      <c r="E30" s="2"/>
      <c r="F30" s="56"/>
      <c r="G30" s="56"/>
      <c r="H30" s="57"/>
      <c r="I30" s="58" t="s">
        <v>42</v>
      </c>
      <c r="J30" s="87">
        <f ca="1">C30</f>
        <v>70080</v>
      </c>
      <c r="K30" s="2">
        <f ca="1">J30</f>
        <v>70080</v>
      </c>
      <c r="L30" s="30">
        <f t="shared" ref="L30:L31" ca="1" si="18">K30-J30</f>
        <v>0</v>
      </c>
      <c r="M30" s="2"/>
      <c r="N30" s="56"/>
      <c r="O30" s="56"/>
      <c r="P30" s="57"/>
    </row>
    <row r="31" spans="1:16" ht="15.75" customHeight="1" x14ac:dyDescent="0.25">
      <c r="A31" s="29">
        <v>2</v>
      </c>
      <c r="B31" s="81">
        <f ca="1">C16</f>
        <v>98301</v>
      </c>
      <c r="C31" s="1">
        <f ca="1">B31</f>
        <v>98301</v>
      </c>
      <c r="D31" s="30">
        <f t="shared" ca="1" si="17"/>
        <v>0</v>
      </c>
      <c r="E31" s="1"/>
      <c r="F31" s="30"/>
      <c r="G31" s="30"/>
      <c r="H31" s="62"/>
      <c r="I31" s="29">
        <v>2</v>
      </c>
      <c r="J31" s="81">
        <f ca="1">C31</f>
        <v>98301</v>
      </c>
      <c r="K31" s="1">
        <f ca="1">J31</f>
        <v>98301</v>
      </c>
      <c r="L31" s="30">
        <f t="shared" ca="1" si="18"/>
        <v>0</v>
      </c>
      <c r="M31" s="1"/>
      <c r="N31" s="30"/>
      <c r="O31" s="30"/>
      <c r="P31" s="62"/>
    </row>
    <row r="32" spans="1:16" ht="15.75" customHeight="1" thickBot="1" x14ac:dyDescent="0.3">
      <c r="A32" s="74"/>
      <c r="B32" s="75"/>
      <c r="C32" s="75"/>
      <c r="D32" s="76">
        <f ca="1">SUM(D30:D31)</f>
        <v>0</v>
      </c>
      <c r="E32" s="76">
        <f>SUM(E30:E31)</f>
        <v>0</v>
      </c>
      <c r="F32" s="76">
        <f ca="1">SUM(D30:D31)-SUM(E30:E31)</f>
        <v>0</v>
      </c>
      <c r="G32" s="10">
        <v>0</v>
      </c>
      <c r="H32" s="77">
        <f ca="1">G32*F32</f>
        <v>0</v>
      </c>
      <c r="I32" s="74"/>
      <c r="J32" s="75"/>
      <c r="K32" s="75"/>
      <c r="L32" s="76">
        <f ca="1">SUM(L30:L31)</f>
        <v>0</v>
      </c>
      <c r="M32" s="76">
        <f>SUM(M30:M31)</f>
        <v>0</v>
      </c>
      <c r="N32" s="76">
        <f ca="1">SUM(L30:L31)-SUM(M30:M31)</f>
        <v>0</v>
      </c>
      <c r="O32" s="10">
        <v>0</v>
      </c>
      <c r="P32" s="77">
        <f ca="1">O32*N32</f>
        <v>0</v>
      </c>
    </row>
    <row r="33" spans="1:16" ht="15.75" customHeight="1" thickBot="1" x14ac:dyDescent="0.3">
      <c r="A33" s="136" t="s">
        <v>46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8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</sheetData>
  <sheetProtection algorithmName="SHA-512" hashValue="maoJ0/P2/RmP66qlTgtUhwXnkEDVb2kjtGAZQBHblX0QQcnT6J/8EFW8hfP89RU4NI/540dPaNOVqnmYrzIBDQ==" saltValue="tPGsp9yoFDa03UvQM+/bu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/>
  </hyperlinks>
  <pageMargins left="0.7" right="0.7" top="0.75" bottom="0.75" header="0" footer="0"/>
  <pageSetup paperSize="9" scale="5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zoomScaleNormal="100" zoomScaleSheetLayoutView="100" zoomScalePageLayoutView="55" workbookViewId="0">
      <pane ySplit="1" topLeftCell="A2" activePane="bottomLeft" state="frozen"/>
      <selection activeCell="N22" sqref="N22"/>
      <selection pane="bottomLeft" activeCell="O16" sqref="O16:P16"/>
    </sheetView>
  </sheetViews>
  <sheetFormatPr defaultColWidth="14.42578125" defaultRowHeight="15" customHeight="1" x14ac:dyDescent="0.25"/>
  <cols>
    <col min="1" max="1" width="7.28515625" style="28" bestFit="1" customWidth="1"/>
    <col min="2" max="2" width="10.28515625" style="28" customWidth="1"/>
    <col min="3" max="3" width="13.42578125" style="28" customWidth="1"/>
    <col min="4" max="4" width="10.85546875" style="28" customWidth="1"/>
    <col min="5" max="5" width="11.7109375" style="28" bestFit="1" customWidth="1"/>
    <col min="6" max="6" width="7.85546875" style="28" customWidth="1"/>
    <col min="7" max="7" width="8.85546875" style="28" customWidth="1"/>
    <col min="8" max="8" width="14.28515625" style="28" customWidth="1"/>
    <col min="9" max="9" width="9.5703125" style="28" bestFit="1" customWidth="1"/>
    <col min="10" max="10" width="11.5703125" style="28" customWidth="1"/>
    <col min="11" max="11" width="11.28515625" style="28" customWidth="1"/>
    <col min="12" max="12" width="10.85546875" style="28" customWidth="1"/>
    <col min="13" max="13" width="10.7109375" style="28" customWidth="1"/>
    <col min="14" max="14" width="10.5703125" style="28" customWidth="1"/>
    <col min="15" max="15" width="10.7109375" style="28" customWidth="1"/>
    <col min="16" max="16" width="11.42578125" style="28" bestFit="1" customWidth="1"/>
    <col min="17" max="17" width="9.140625" style="28" customWidth="1"/>
    <col min="18" max="16384" width="14.42578125" style="28"/>
  </cols>
  <sheetData>
    <row r="1" spans="1:16" s="21" customFormat="1" ht="30" customHeight="1" thickBot="1" x14ac:dyDescent="0.3">
      <c r="A1" s="125" t="s">
        <v>20</v>
      </c>
      <c r="B1" s="126"/>
      <c r="C1" s="19" t="s">
        <v>21</v>
      </c>
      <c r="D1" s="20">
        <f>F1-1</f>
        <v>3</v>
      </c>
      <c r="E1" s="19" t="s">
        <v>22</v>
      </c>
      <c r="F1" s="20">
        <v>4</v>
      </c>
      <c r="G1" s="20" cm="1">
        <f t="array" aca="1" ref="G1" ca="1">INDIRECT($D$1&amp;"!g1")</f>
        <v>3</v>
      </c>
      <c r="H1" s="91" cm="1">
        <f t="array" aca="1" ref="H1" ca="1">INDIRECT($D$1&amp;"!h1")</f>
        <v>2026</v>
      </c>
      <c r="I1" s="127">
        <f ca="1">DATEVALUE(F1&amp;"-"&amp;G1&amp;"-"&amp;H1)</f>
        <v>46115</v>
      </c>
      <c r="J1" s="128"/>
      <c r="K1" s="128"/>
      <c r="L1" s="128"/>
      <c r="M1" s="128"/>
      <c r="N1" s="128"/>
      <c r="O1" s="128"/>
      <c r="P1" s="129"/>
    </row>
    <row r="2" spans="1:16" ht="32.25" customHeight="1" x14ac:dyDescent="0.25">
      <c r="A2" s="22" t="s">
        <v>23</v>
      </c>
      <c r="B2" s="23" t="s">
        <v>24</v>
      </c>
      <c r="C2" s="23" t="s">
        <v>25</v>
      </c>
      <c r="D2" s="23" t="s">
        <v>5</v>
      </c>
      <c r="E2" s="23" t="s">
        <v>26</v>
      </c>
      <c r="F2" s="23" t="s">
        <v>27</v>
      </c>
      <c r="G2" s="23" t="s">
        <v>28</v>
      </c>
      <c r="H2" s="24" t="s">
        <v>29</v>
      </c>
      <c r="I2" s="25" t="s">
        <v>30</v>
      </c>
      <c r="J2" s="26" t="s">
        <v>31</v>
      </c>
      <c r="K2" s="26" t="s">
        <v>32</v>
      </c>
      <c r="L2" s="26" t="s">
        <v>11</v>
      </c>
      <c r="M2" s="26" t="s">
        <v>25</v>
      </c>
      <c r="N2" s="26" t="s">
        <v>33</v>
      </c>
      <c r="O2" s="26" t="s">
        <v>5</v>
      </c>
      <c r="P2" s="27" t="s">
        <v>34</v>
      </c>
    </row>
    <row r="3" spans="1:16" x14ac:dyDescent="0.25">
      <c r="A3" s="29" t="s">
        <v>12</v>
      </c>
      <c r="B3" s="81" cm="1">
        <f t="array" aca="1" ref="B3" ca="1">INDIRECT($D$1&amp;"!k18")</f>
        <v>946578</v>
      </c>
      <c r="C3" s="1">
        <f>946603</f>
        <v>946603</v>
      </c>
      <c r="D3" s="30">
        <f t="shared" ref="D3:D10" ca="1" si="0">C3-B3</f>
        <v>25</v>
      </c>
      <c r="E3" s="1"/>
      <c r="F3" s="30"/>
      <c r="G3" s="30"/>
      <c r="H3" s="31"/>
      <c r="I3" s="32" t="s">
        <v>12</v>
      </c>
      <c r="J3" s="33" cm="1">
        <f t="array" aca="1" ref="J3" ca="1">INDIRECT($D$1&amp;"!m3")</f>
        <v>21400</v>
      </c>
      <c r="K3" s="3"/>
      <c r="L3" s="116"/>
      <c r="M3" s="4">
        <v>18450</v>
      </c>
      <c r="N3" s="33">
        <f ca="1">J3+L3-M3</f>
        <v>2950</v>
      </c>
      <c r="O3" s="33">
        <f ca="1">D5+D6+D9+D10+D20+D21+D24+D25+L20+L21+L24+L25</f>
        <v>3072</v>
      </c>
      <c r="P3" s="34">
        <f ca="1">O3-N3</f>
        <v>122</v>
      </c>
    </row>
    <row r="4" spans="1:16" x14ac:dyDescent="0.25">
      <c r="A4" s="29">
        <v>2</v>
      </c>
      <c r="B4" s="81" cm="1">
        <f t="array" aca="1" ref="B4" ca="1">INDIRECT($D$1&amp;"!k19")</f>
        <v>913278</v>
      </c>
      <c r="C4" s="1">
        <v>913278</v>
      </c>
      <c r="D4" s="30">
        <f t="shared" ca="1" si="0"/>
        <v>0</v>
      </c>
      <c r="E4" s="1"/>
      <c r="F4" s="30"/>
      <c r="G4" s="30"/>
      <c r="H4" s="31"/>
      <c r="I4" s="35" t="s">
        <v>13</v>
      </c>
      <c r="J4" s="36" cm="1">
        <f t="array" aca="1" ref="J4" ca="1">INDIRECT($D$1&amp;"!m4")</f>
        <v>8800</v>
      </c>
      <c r="K4" s="11"/>
      <c r="L4" s="117"/>
      <c r="M4" s="4">
        <v>7000</v>
      </c>
      <c r="N4" s="36">
        <f t="shared" ref="N4:N7" ca="1" si="1">J4+L4-M4</f>
        <v>1800</v>
      </c>
      <c r="O4" s="36">
        <f ca="1">D3+D4+D7+D8+D22+D23+L22+L23+D18+D19+L18+L19</f>
        <v>1773</v>
      </c>
      <c r="P4" s="37">
        <f ca="1">O4-N4</f>
        <v>-27</v>
      </c>
    </row>
    <row r="5" spans="1:16" x14ac:dyDescent="0.25">
      <c r="A5" s="29">
        <v>3</v>
      </c>
      <c r="B5" s="81" cm="1">
        <f t="array" aca="1" ref="B5" ca="1">INDIRECT($D$1&amp;"!k20")</f>
        <v>1366894</v>
      </c>
      <c r="C5" s="1">
        <v>1368756</v>
      </c>
      <c r="D5" s="30">
        <f t="shared" ca="1" si="0"/>
        <v>1862</v>
      </c>
      <c r="E5" s="1"/>
      <c r="F5" s="30"/>
      <c r="G5" s="30"/>
      <c r="H5" s="31"/>
      <c r="I5" s="38" t="s">
        <v>14</v>
      </c>
      <c r="J5" s="39">
        <f ca="1">SUM(J3:J4)</f>
        <v>30200</v>
      </c>
      <c r="K5" s="39">
        <f t="shared" ref="K5:L5" si="2">SUM(K3:K4)</f>
        <v>0</v>
      </c>
      <c r="L5" s="39">
        <f t="shared" si="2"/>
        <v>0</v>
      </c>
      <c r="M5" s="39">
        <f>M3+M4</f>
        <v>25450</v>
      </c>
      <c r="N5" s="39">
        <f t="shared" ca="1" si="1"/>
        <v>4750</v>
      </c>
      <c r="O5" s="39">
        <f ca="1">SUM(O3:O4)</f>
        <v>4845</v>
      </c>
      <c r="P5" s="40">
        <f ca="1">O5-N5</f>
        <v>95</v>
      </c>
    </row>
    <row r="6" spans="1:16" x14ac:dyDescent="0.25">
      <c r="A6" s="29">
        <v>4</v>
      </c>
      <c r="B6" s="81" cm="1">
        <f t="array" aca="1" ref="B6" ca="1">INDIRECT($D$1&amp;"!k21")</f>
        <v>1149584</v>
      </c>
      <c r="C6" s="1">
        <v>1149584</v>
      </c>
      <c r="D6" s="30">
        <f t="shared" ca="1" si="0"/>
        <v>0</v>
      </c>
      <c r="E6" s="1"/>
      <c r="F6" s="30"/>
      <c r="G6" s="30"/>
      <c r="H6" s="31"/>
      <c r="I6" s="32" t="s">
        <v>8</v>
      </c>
      <c r="J6" s="33" cm="1">
        <f t="array" aca="1" ref="J6" ca="1">INDIRECT($D$1&amp;"!m6")</f>
        <v>24300</v>
      </c>
      <c r="K6" s="3"/>
      <c r="L6" s="88"/>
      <c r="M6" s="4">
        <v>24000</v>
      </c>
      <c r="N6" s="33">
        <f t="shared" ca="1" si="1"/>
        <v>300</v>
      </c>
      <c r="O6" s="33">
        <f ca="1">D12+D13+D27+D28+L27+L28</f>
        <v>295</v>
      </c>
      <c r="P6" s="34">
        <f t="shared" ref="P6:P7" ca="1" si="3">O6-N6</f>
        <v>-5</v>
      </c>
    </row>
    <row r="7" spans="1:16" ht="15.75" thickBot="1" x14ac:dyDescent="0.3">
      <c r="A7" s="29">
        <v>5</v>
      </c>
      <c r="B7" s="81" cm="1">
        <f t="array" aca="1" ref="B7" ca="1">INDIRECT($D$1&amp;"!k22")</f>
        <v>1214846</v>
      </c>
      <c r="C7" s="1">
        <v>1214936</v>
      </c>
      <c r="D7" s="30">
        <f t="shared" ca="1" si="0"/>
        <v>90</v>
      </c>
      <c r="E7" s="1"/>
      <c r="F7" s="30"/>
      <c r="G7" s="30"/>
      <c r="H7" s="31"/>
      <c r="I7" s="92" t="s">
        <v>9</v>
      </c>
      <c r="J7" s="93" cm="1">
        <f t="array" aca="1" ref="J7" ca="1">INDIRECT($D$1&amp;"!m7")</f>
        <v>1100</v>
      </c>
      <c r="K7" s="5"/>
      <c r="L7" s="90"/>
      <c r="M7" s="4">
        <f ca="1">J7</f>
        <v>1100</v>
      </c>
      <c r="N7" s="93">
        <f t="shared" ca="1" si="1"/>
        <v>0</v>
      </c>
      <c r="O7" s="93">
        <f ca="1">D15+D16+D30+D31+L30+L31</f>
        <v>0</v>
      </c>
      <c r="P7" s="94">
        <f t="shared" ca="1" si="3"/>
        <v>0</v>
      </c>
    </row>
    <row r="8" spans="1:16" x14ac:dyDescent="0.25">
      <c r="A8" s="29">
        <v>6</v>
      </c>
      <c r="B8" s="81" cm="1">
        <f t="array" aca="1" ref="B8" ca="1">INDIRECT($D$1&amp;"!k23")</f>
        <v>1041765</v>
      </c>
      <c r="C8" s="1">
        <v>1043423</v>
      </c>
      <c r="D8" s="30">
        <f t="shared" ca="1" si="0"/>
        <v>1658</v>
      </c>
      <c r="E8" s="1"/>
      <c r="F8" s="30"/>
      <c r="G8" s="30"/>
      <c r="H8" s="62"/>
      <c r="I8" s="130"/>
      <c r="J8" s="41"/>
      <c r="K8" s="41"/>
      <c r="L8" s="42"/>
      <c r="M8" s="41"/>
      <c r="N8" s="41"/>
      <c r="O8" s="41"/>
      <c r="P8" s="43"/>
    </row>
    <row r="9" spans="1:16" x14ac:dyDescent="0.25">
      <c r="A9" s="29">
        <v>7</v>
      </c>
      <c r="B9" s="81" cm="1">
        <f t="array" aca="1" ref="B9" ca="1">INDIRECT($D$1&amp;"!k24")</f>
        <v>1012522</v>
      </c>
      <c r="C9" s="1">
        <v>1012522</v>
      </c>
      <c r="D9" s="30">
        <f t="shared" ca="1" si="0"/>
        <v>0</v>
      </c>
      <c r="E9" s="1"/>
      <c r="F9" s="30"/>
      <c r="G9" s="30"/>
      <c r="H9" s="62"/>
      <c r="I9" s="131"/>
      <c r="J9" s="44"/>
      <c r="K9" s="44"/>
      <c r="L9" s="45"/>
      <c r="M9" s="132" t="s">
        <v>18</v>
      </c>
      <c r="N9" s="132"/>
      <c r="O9" s="132"/>
      <c r="P9" s="133"/>
    </row>
    <row r="10" spans="1:16" x14ac:dyDescent="0.25">
      <c r="A10" s="29">
        <v>8</v>
      </c>
      <c r="B10" s="81" cm="1">
        <f t="array" aca="1" ref="B10" ca="1">INDIRECT($D$1&amp;"!k25")</f>
        <v>1149625</v>
      </c>
      <c r="C10" s="1">
        <v>1150835</v>
      </c>
      <c r="D10" s="30">
        <f t="shared" ca="1" si="0"/>
        <v>1210</v>
      </c>
      <c r="E10" s="1"/>
      <c r="F10" s="30"/>
      <c r="G10" s="30"/>
      <c r="H10" s="62"/>
      <c r="I10" s="143" t="s">
        <v>19</v>
      </c>
      <c r="J10" s="145"/>
      <c r="K10" s="143" t="s">
        <v>35</v>
      </c>
      <c r="L10" s="144"/>
      <c r="M10" s="46"/>
      <c r="N10" s="47" t="s">
        <v>36</v>
      </c>
      <c r="O10" s="47" t="s">
        <v>17</v>
      </c>
      <c r="P10" s="48" t="s">
        <v>29</v>
      </c>
    </row>
    <row r="11" spans="1:16" x14ac:dyDescent="0.25">
      <c r="A11" s="49"/>
      <c r="B11" s="50"/>
      <c r="C11" s="50"/>
      <c r="D11" s="51">
        <f t="shared" ref="D11:E11" ca="1" si="4">SUM(D3:D10)</f>
        <v>4845</v>
      </c>
      <c r="E11" s="51">
        <f t="shared" si="4"/>
        <v>0</v>
      </c>
      <c r="F11" s="51">
        <f ca="1">SUM(D3:D10)-SUM(E3:E10)</f>
        <v>4845</v>
      </c>
      <c r="G11" s="9">
        <v>950</v>
      </c>
      <c r="H11" s="86">
        <f ca="1">G11*F11</f>
        <v>4602750</v>
      </c>
      <c r="I11" s="53" t="e" cm="1">
        <f t="array" aca="1" ref="I11" ca="1">INDIRECT("LODGEMENT"&amp;"!F3")</f>
        <v>#REF!</v>
      </c>
      <c r="J11" s="7">
        <v>2137691</v>
      </c>
      <c r="K11" s="53" t="s">
        <v>37</v>
      </c>
      <c r="L11" s="7">
        <f>E11</f>
        <v>0</v>
      </c>
      <c r="M11" s="54" t="s">
        <v>7</v>
      </c>
      <c r="N11" s="55">
        <f>E11+E26+M26-L11-L14-L15-L16</f>
        <v>0</v>
      </c>
      <c r="O11" s="56">
        <f ca="1">F11+F26+N26</f>
        <v>4845</v>
      </c>
      <c r="P11" s="57">
        <f ca="1">H11+H26+P26</f>
        <v>4602750</v>
      </c>
    </row>
    <row r="12" spans="1:16" ht="15.75" customHeight="1" x14ac:dyDescent="0.25">
      <c r="A12" s="58" t="s">
        <v>38</v>
      </c>
      <c r="B12" s="87" cm="1">
        <f t="array" aca="1" ref="B12" ca="1">INDIRECT($D$1&amp;"!k27")</f>
        <v>306121</v>
      </c>
      <c r="C12" s="2">
        <v>306286</v>
      </c>
      <c r="D12" s="30">
        <f t="shared" ref="D12:D13" ca="1" si="5">C12-B12</f>
        <v>165</v>
      </c>
      <c r="E12" s="2"/>
      <c r="F12" s="56"/>
      <c r="G12" s="56"/>
      <c r="H12" s="57"/>
      <c r="I12" s="53" t="e" cm="1">
        <f t="array" aca="1" ref="I12" ca="1">INDIRECT("LODGEMENT"&amp;"!G3")</f>
        <v>#REF!</v>
      </c>
      <c r="J12" s="7">
        <v>1248838</v>
      </c>
      <c r="K12" s="53" t="s">
        <v>39</v>
      </c>
      <c r="L12" s="7">
        <f>E14</f>
        <v>32</v>
      </c>
      <c r="M12" s="60" t="s">
        <v>8</v>
      </c>
      <c r="N12" s="61">
        <f>E14+E29+M29-L12-L13</f>
        <v>0</v>
      </c>
      <c r="O12" s="30">
        <f ca="1">F14+F29+N29</f>
        <v>263</v>
      </c>
      <c r="P12" s="62">
        <f ca="1">H14+H29+P29</f>
        <v>276150</v>
      </c>
    </row>
    <row r="13" spans="1:16" ht="15.75" customHeight="1" thickBot="1" x14ac:dyDescent="0.3">
      <c r="A13" s="29">
        <v>2</v>
      </c>
      <c r="B13" s="87" cm="1">
        <f t="array" aca="1" ref="B13" ca="1">INDIRECT($D$1&amp;"!k28")</f>
        <v>256220</v>
      </c>
      <c r="C13" s="2">
        <v>256350</v>
      </c>
      <c r="D13" s="30">
        <f t="shared" ca="1" si="5"/>
        <v>130</v>
      </c>
      <c r="E13" s="1">
        <v>32</v>
      </c>
      <c r="F13" s="30"/>
      <c r="G13" s="30"/>
      <c r="H13" s="62"/>
      <c r="I13" s="53" t="e" cm="1">
        <f t="array" aca="1" ref="I13" ca="1">INDIRECT("LODGEMENT"&amp;"!H3")</f>
        <v>#REF!</v>
      </c>
      <c r="J13" s="7">
        <v>1293287</v>
      </c>
      <c r="K13" s="53" t="s">
        <v>16</v>
      </c>
      <c r="L13" s="7"/>
      <c r="M13" s="63" t="s">
        <v>9</v>
      </c>
      <c r="N13" s="64">
        <f>E17+E32+M32</f>
        <v>0</v>
      </c>
      <c r="O13" s="65">
        <f ca="1">F17+F32+N32</f>
        <v>0</v>
      </c>
      <c r="P13" s="66">
        <f ca="1">H17+H32+P32</f>
        <v>0</v>
      </c>
    </row>
    <row r="14" spans="1:16" ht="15.75" customHeight="1" x14ac:dyDescent="0.25">
      <c r="A14" s="49"/>
      <c r="B14" s="50"/>
      <c r="C14" s="50"/>
      <c r="D14" s="51">
        <f ca="1">SUM(D12:D13)</f>
        <v>295</v>
      </c>
      <c r="E14" s="51">
        <f>SUM(E12:E13)</f>
        <v>32</v>
      </c>
      <c r="F14" s="51">
        <f ca="1">SUM(D12:D13)-SUM(E12:E13)</f>
        <v>263</v>
      </c>
      <c r="G14" s="9">
        <v>1050</v>
      </c>
      <c r="H14" s="86">
        <f ca="1">G14*F14</f>
        <v>276150</v>
      </c>
      <c r="I14" s="53" t="e" cm="1">
        <f t="array" aca="1" ref="I14" ca="1">INDIRECT("LODGEMENT"&amp;"!I3")</f>
        <v>#REF!</v>
      </c>
      <c r="J14" s="7"/>
      <c r="K14" s="53" t="s">
        <v>40</v>
      </c>
      <c r="L14" s="7"/>
      <c r="M14" s="67"/>
      <c r="N14" s="68" t="s">
        <v>41</v>
      </c>
      <c r="O14" s="139">
        <f ca="1">SUM(P11:P13)</f>
        <v>4878900</v>
      </c>
      <c r="P14" s="140"/>
    </row>
    <row r="15" spans="1:16" ht="15.75" customHeight="1" x14ac:dyDescent="0.25">
      <c r="A15" s="58" t="s">
        <v>42</v>
      </c>
      <c r="B15" s="87" cm="1">
        <f t="array" aca="1" ref="B15" ca="1">INDIRECT($D$1&amp;"!k30")</f>
        <v>70080</v>
      </c>
      <c r="C15" s="2">
        <f ca="1">B15</f>
        <v>70080</v>
      </c>
      <c r="D15" s="30">
        <f t="shared" ref="D15:D16" ca="1" si="6">C15-B15</f>
        <v>0</v>
      </c>
      <c r="E15" s="2"/>
      <c r="F15" s="56"/>
      <c r="G15" s="56"/>
      <c r="H15" s="57"/>
      <c r="I15" s="53" t="e" cm="1">
        <f t="array" aca="1" ref="I15" ca="1">INDIRECT("LODGEMENT"&amp;"!J3")</f>
        <v>#REF!</v>
      </c>
      <c r="J15" s="7"/>
      <c r="K15" s="53" t="s">
        <v>43</v>
      </c>
      <c r="L15" s="7"/>
      <c r="M15" s="69"/>
      <c r="N15" s="70" t="s">
        <v>44</v>
      </c>
      <c r="O15" s="141">
        <f>SUM(J11:J16)</f>
        <v>4679816</v>
      </c>
      <c r="P15" s="142"/>
    </row>
    <row r="16" spans="1:16" ht="15.75" customHeight="1" thickBot="1" x14ac:dyDescent="0.3">
      <c r="A16" s="29">
        <v>2</v>
      </c>
      <c r="B16" s="87" cm="1">
        <f t="array" aca="1" ref="B16" ca="1">INDIRECT($D$1&amp;"!k31")</f>
        <v>98301</v>
      </c>
      <c r="C16" s="2">
        <f ca="1">B16</f>
        <v>98301</v>
      </c>
      <c r="D16" s="30">
        <f t="shared" ca="1" si="6"/>
        <v>0</v>
      </c>
      <c r="E16" s="1"/>
      <c r="F16" s="30"/>
      <c r="G16" s="30"/>
      <c r="H16" s="62"/>
      <c r="I16" s="71" t="e" cm="1">
        <f t="array" aca="1" ref="I16" ca="1">INDIRECT("LODGEMENT"&amp;"!k3")</f>
        <v>#REF!</v>
      </c>
      <c r="J16" s="8"/>
      <c r="K16" s="71" t="s">
        <v>15</v>
      </c>
      <c r="L16" s="8"/>
      <c r="M16" s="72"/>
      <c r="N16" s="73" t="s">
        <v>45</v>
      </c>
      <c r="O16" s="134">
        <f ca="1">O14-O15</f>
        <v>199084</v>
      </c>
      <c r="P16" s="135"/>
    </row>
    <row r="17" spans="1:16" ht="15.75" customHeight="1" thickBot="1" x14ac:dyDescent="0.3">
      <c r="A17" s="74"/>
      <c r="B17" s="75"/>
      <c r="C17" s="75"/>
      <c r="D17" s="76">
        <f ca="1">SUM(D15:D16)</f>
        <v>0</v>
      </c>
      <c r="E17" s="76">
        <f>SUM(E15:E16)</f>
        <v>0</v>
      </c>
      <c r="F17" s="76">
        <f ca="1">SUM(D15:D16)-SUM(E15:E16)</f>
        <v>0</v>
      </c>
      <c r="G17" s="10"/>
      <c r="H17" s="77">
        <f ca="1">G17*F17</f>
        <v>0</v>
      </c>
      <c r="I17" s="78"/>
      <c r="J17" s="79"/>
      <c r="K17" s="79"/>
      <c r="L17" s="79"/>
      <c r="M17" s="79"/>
      <c r="N17" s="79"/>
      <c r="O17" s="79"/>
      <c r="P17" s="80"/>
    </row>
    <row r="18" spans="1:16" ht="15.75" customHeight="1" x14ac:dyDescent="0.25">
      <c r="A18" s="29" t="s">
        <v>12</v>
      </c>
      <c r="B18" s="81">
        <f t="shared" ref="B18:B25" si="7">C3</f>
        <v>946603</v>
      </c>
      <c r="C18" s="1">
        <f>B18</f>
        <v>946603</v>
      </c>
      <c r="D18" s="30">
        <f t="shared" ref="D18:D25" si="8">C18-B18</f>
        <v>0</v>
      </c>
      <c r="E18" s="1"/>
      <c r="F18" s="30"/>
      <c r="G18" s="30"/>
      <c r="H18" s="62"/>
      <c r="I18" s="82" t="s">
        <v>12</v>
      </c>
      <c r="J18" s="83">
        <f t="shared" ref="J18:J25" si="9">C18</f>
        <v>946603</v>
      </c>
      <c r="K18" s="6">
        <f t="shared" ref="K18:K25" si="10">J18</f>
        <v>946603</v>
      </c>
      <c r="L18" s="84">
        <f t="shared" ref="L18:L25" si="11">K18-J18</f>
        <v>0</v>
      </c>
      <c r="M18" s="6"/>
      <c r="N18" s="84"/>
      <c r="O18" s="84"/>
      <c r="P18" s="85"/>
    </row>
    <row r="19" spans="1:16" ht="15.75" customHeight="1" x14ac:dyDescent="0.25">
      <c r="A19" s="29">
        <v>2</v>
      </c>
      <c r="B19" s="81">
        <f t="shared" si="7"/>
        <v>913278</v>
      </c>
      <c r="C19" s="1">
        <f t="shared" ref="C19:C25" si="12">B19</f>
        <v>913278</v>
      </c>
      <c r="D19" s="30">
        <f t="shared" si="8"/>
        <v>0</v>
      </c>
      <c r="E19" s="1"/>
      <c r="F19" s="30"/>
      <c r="G19" s="30"/>
      <c r="H19" s="62"/>
      <c r="I19" s="29">
        <v>2</v>
      </c>
      <c r="J19" s="81">
        <f t="shared" si="9"/>
        <v>913278</v>
      </c>
      <c r="K19" s="1">
        <f t="shared" si="10"/>
        <v>913278</v>
      </c>
      <c r="L19" s="30">
        <f t="shared" si="11"/>
        <v>0</v>
      </c>
      <c r="M19" s="1"/>
      <c r="N19" s="30"/>
      <c r="O19" s="30"/>
      <c r="P19" s="62"/>
    </row>
    <row r="20" spans="1:16" ht="15.75" customHeight="1" x14ac:dyDescent="0.25">
      <c r="A20" s="29">
        <v>3</v>
      </c>
      <c r="B20" s="81">
        <f t="shared" si="7"/>
        <v>1368756</v>
      </c>
      <c r="C20" s="1">
        <f t="shared" si="12"/>
        <v>1368756</v>
      </c>
      <c r="D20" s="30">
        <f t="shared" si="8"/>
        <v>0</v>
      </c>
      <c r="E20" s="1"/>
      <c r="F20" s="30"/>
      <c r="G20" s="30"/>
      <c r="H20" s="62"/>
      <c r="I20" s="29">
        <v>3</v>
      </c>
      <c r="J20" s="81">
        <f t="shared" si="9"/>
        <v>1368756</v>
      </c>
      <c r="K20" s="1">
        <f t="shared" si="10"/>
        <v>1368756</v>
      </c>
      <c r="L20" s="30">
        <f t="shared" si="11"/>
        <v>0</v>
      </c>
      <c r="M20" s="1"/>
      <c r="N20" s="30"/>
      <c r="O20" s="30"/>
      <c r="P20" s="62"/>
    </row>
    <row r="21" spans="1:16" ht="15.75" customHeight="1" x14ac:dyDescent="0.25">
      <c r="A21" s="29">
        <v>4</v>
      </c>
      <c r="B21" s="81">
        <f t="shared" si="7"/>
        <v>1149584</v>
      </c>
      <c r="C21" s="1">
        <f t="shared" si="12"/>
        <v>1149584</v>
      </c>
      <c r="D21" s="30">
        <f t="shared" si="8"/>
        <v>0</v>
      </c>
      <c r="E21" s="1"/>
      <c r="F21" s="30"/>
      <c r="G21" s="30"/>
      <c r="H21" s="62"/>
      <c r="I21" s="29">
        <v>4</v>
      </c>
      <c r="J21" s="81">
        <f t="shared" si="9"/>
        <v>1149584</v>
      </c>
      <c r="K21" s="1">
        <f t="shared" si="10"/>
        <v>1149584</v>
      </c>
      <c r="L21" s="30">
        <f t="shared" si="11"/>
        <v>0</v>
      </c>
      <c r="M21" s="1"/>
      <c r="N21" s="30"/>
      <c r="O21" s="30"/>
      <c r="P21" s="62"/>
    </row>
    <row r="22" spans="1:16" ht="15.75" customHeight="1" x14ac:dyDescent="0.25">
      <c r="A22" s="29">
        <v>5</v>
      </c>
      <c r="B22" s="81">
        <f t="shared" si="7"/>
        <v>1214936</v>
      </c>
      <c r="C22" s="1">
        <f t="shared" si="12"/>
        <v>1214936</v>
      </c>
      <c r="D22" s="30">
        <f t="shared" si="8"/>
        <v>0</v>
      </c>
      <c r="E22" s="1"/>
      <c r="F22" s="30"/>
      <c r="G22" s="30"/>
      <c r="H22" s="62"/>
      <c r="I22" s="29">
        <v>5</v>
      </c>
      <c r="J22" s="81">
        <f t="shared" si="9"/>
        <v>1214936</v>
      </c>
      <c r="K22" s="1">
        <f t="shared" si="10"/>
        <v>1214936</v>
      </c>
      <c r="L22" s="30">
        <f t="shared" si="11"/>
        <v>0</v>
      </c>
      <c r="M22" s="1"/>
      <c r="N22" s="30"/>
      <c r="O22" s="30"/>
      <c r="P22" s="62"/>
    </row>
    <row r="23" spans="1:16" ht="15.75" customHeight="1" x14ac:dyDescent="0.25">
      <c r="A23" s="29">
        <v>6</v>
      </c>
      <c r="B23" s="81">
        <f t="shared" si="7"/>
        <v>1043423</v>
      </c>
      <c r="C23" s="1">
        <f t="shared" si="12"/>
        <v>1043423</v>
      </c>
      <c r="D23" s="30">
        <f t="shared" si="8"/>
        <v>0</v>
      </c>
      <c r="E23" s="1"/>
      <c r="F23" s="30"/>
      <c r="G23" s="30"/>
      <c r="H23" s="62"/>
      <c r="I23" s="29">
        <v>6</v>
      </c>
      <c r="J23" s="81">
        <f t="shared" si="9"/>
        <v>1043423</v>
      </c>
      <c r="K23" s="1">
        <f t="shared" si="10"/>
        <v>1043423</v>
      </c>
      <c r="L23" s="30">
        <f t="shared" si="11"/>
        <v>0</v>
      </c>
      <c r="M23" s="1"/>
      <c r="N23" s="30"/>
      <c r="O23" s="30"/>
      <c r="P23" s="62"/>
    </row>
    <row r="24" spans="1:16" ht="15.75" customHeight="1" x14ac:dyDescent="0.25">
      <c r="A24" s="29">
        <v>7</v>
      </c>
      <c r="B24" s="81">
        <f t="shared" si="7"/>
        <v>1012522</v>
      </c>
      <c r="C24" s="1">
        <f t="shared" si="12"/>
        <v>1012522</v>
      </c>
      <c r="D24" s="30">
        <f t="shared" si="8"/>
        <v>0</v>
      </c>
      <c r="E24" s="1"/>
      <c r="F24" s="30"/>
      <c r="G24" s="30"/>
      <c r="H24" s="62"/>
      <c r="I24" s="29">
        <v>7</v>
      </c>
      <c r="J24" s="81">
        <f t="shared" si="9"/>
        <v>1012522</v>
      </c>
      <c r="K24" s="1">
        <f t="shared" si="10"/>
        <v>1012522</v>
      </c>
      <c r="L24" s="30">
        <f t="shared" si="11"/>
        <v>0</v>
      </c>
      <c r="M24" s="1"/>
      <c r="N24" s="30"/>
      <c r="O24" s="30"/>
      <c r="P24" s="62"/>
    </row>
    <row r="25" spans="1:16" ht="15.75" customHeight="1" x14ac:dyDescent="0.25">
      <c r="A25" s="29">
        <v>8</v>
      </c>
      <c r="B25" s="81">
        <f t="shared" si="7"/>
        <v>1150835</v>
      </c>
      <c r="C25" s="1">
        <f t="shared" si="12"/>
        <v>1150835</v>
      </c>
      <c r="D25" s="30">
        <f t="shared" si="8"/>
        <v>0</v>
      </c>
      <c r="E25" s="1"/>
      <c r="F25" s="30"/>
      <c r="G25" s="30"/>
      <c r="H25" s="62"/>
      <c r="I25" s="29">
        <v>8</v>
      </c>
      <c r="J25" s="81">
        <f t="shared" si="9"/>
        <v>1150835</v>
      </c>
      <c r="K25" s="1">
        <f t="shared" si="10"/>
        <v>1150835</v>
      </c>
      <c r="L25" s="30">
        <f t="shared" si="11"/>
        <v>0</v>
      </c>
      <c r="M25" s="1"/>
      <c r="N25" s="30"/>
      <c r="O25" s="30"/>
      <c r="P25" s="62"/>
    </row>
    <row r="26" spans="1:16" ht="15.75" customHeight="1" x14ac:dyDescent="0.25">
      <c r="A26" s="49"/>
      <c r="B26" s="50"/>
      <c r="C26" s="50"/>
      <c r="D26" s="51">
        <f t="shared" ref="D26:E26" si="13">SUM(D18:D25)</f>
        <v>0</v>
      </c>
      <c r="E26" s="51">
        <f t="shared" si="13"/>
        <v>0</v>
      </c>
      <c r="F26" s="51">
        <f>SUM(D18:D25)-SUM(E18:E25)</f>
        <v>0</v>
      </c>
      <c r="G26" s="9">
        <v>0</v>
      </c>
      <c r="H26" s="86">
        <f>G26*F26</f>
        <v>0</v>
      </c>
      <c r="I26" s="49"/>
      <c r="J26" s="50"/>
      <c r="K26" s="50"/>
      <c r="L26" s="51">
        <f t="shared" ref="L26:M26" si="14">SUM(L18:L25)</f>
        <v>0</v>
      </c>
      <c r="M26" s="51">
        <f t="shared" si="14"/>
        <v>0</v>
      </c>
      <c r="N26" s="51">
        <f>SUM(L18:L25)-SUM(M18:M25)</f>
        <v>0</v>
      </c>
      <c r="O26" s="9">
        <v>0</v>
      </c>
      <c r="P26" s="86">
        <f>O26*N26</f>
        <v>0</v>
      </c>
    </row>
    <row r="27" spans="1:16" ht="15.75" customHeight="1" x14ac:dyDescent="0.25">
      <c r="A27" s="58" t="s">
        <v>38</v>
      </c>
      <c r="B27" s="87">
        <f>C12</f>
        <v>306286</v>
      </c>
      <c r="C27" s="2">
        <f>B27</f>
        <v>306286</v>
      </c>
      <c r="D27" s="30">
        <f t="shared" ref="D27:D28" si="15">C27-B27</f>
        <v>0</v>
      </c>
      <c r="E27" s="2"/>
      <c r="F27" s="56"/>
      <c r="G27" s="56"/>
      <c r="H27" s="57"/>
      <c r="I27" s="58" t="s">
        <v>38</v>
      </c>
      <c r="J27" s="87">
        <f>C27</f>
        <v>306286</v>
      </c>
      <c r="K27" s="2">
        <f>J27</f>
        <v>306286</v>
      </c>
      <c r="L27" s="30">
        <f t="shared" ref="L27:L28" si="16">K27-J27</f>
        <v>0</v>
      </c>
      <c r="M27" s="2"/>
      <c r="N27" s="56"/>
      <c r="O27" s="56"/>
      <c r="P27" s="57"/>
    </row>
    <row r="28" spans="1:16" ht="15.75" customHeight="1" x14ac:dyDescent="0.25">
      <c r="A28" s="29">
        <v>2</v>
      </c>
      <c r="B28" s="81">
        <f>C13</f>
        <v>256350</v>
      </c>
      <c r="C28" s="2">
        <f>B28</f>
        <v>256350</v>
      </c>
      <c r="D28" s="30">
        <f t="shared" si="15"/>
        <v>0</v>
      </c>
      <c r="E28" s="1"/>
      <c r="F28" s="30"/>
      <c r="G28" s="30"/>
      <c r="H28" s="62"/>
      <c r="I28" s="29">
        <v>2</v>
      </c>
      <c r="J28" s="81">
        <f>C28</f>
        <v>256350</v>
      </c>
      <c r="K28" s="1">
        <f>J28</f>
        <v>256350</v>
      </c>
      <c r="L28" s="30">
        <f t="shared" si="16"/>
        <v>0</v>
      </c>
      <c r="M28" s="1"/>
      <c r="N28" s="30"/>
      <c r="O28" s="30"/>
      <c r="P28" s="62"/>
    </row>
    <row r="29" spans="1:16" ht="15.75" customHeight="1" x14ac:dyDescent="0.25">
      <c r="A29" s="49"/>
      <c r="B29" s="50"/>
      <c r="C29" s="50"/>
      <c r="D29" s="51">
        <f>SUM(D27:D28)</f>
        <v>0</v>
      </c>
      <c r="E29" s="51">
        <f>SUM(E27:E28)</f>
        <v>0</v>
      </c>
      <c r="F29" s="51">
        <f>SUM(D27:D28)-SUM(E27:E28)</f>
        <v>0</v>
      </c>
      <c r="G29" s="9">
        <v>0</v>
      </c>
      <c r="H29" s="86">
        <f>G29*F29</f>
        <v>0</v>
      </c>
      <c r="I29" s="49"/>
      <c r="J29" s="50"/>
      <c r="K29" s="50"/>
      <c r="L29" s="51">
        <f>SUM(L27:L28)</f>
        <v>0</v>
      </c>
      <c r="M29" s="51">
        <f>SUM(M27:M28)</f>
        <v>0</v>
      </c>
      <c r="N29" s="51">
        <f>SUM(L27:L28)-SUM(M27:M28)</f>
        <v>0</v>
      </c>
      <c r="O29" s="9">
        <v>0</v>
      </c>
      <c r="P29" s="86">
        <f>O29*N29</f>
        <v>0</v>
      </c>
    </row>
    <row r="30" spans="1:16" ht="15.75" customHeight="1" x14ac:dyDescent="0.25">
      <c r="A30" s="58" t="s">
        <v>42</v>
      </c>
      <c r="B30" s="87">
        <f ca="1">C15</f>
        <v>70080</v>
      </c>
      <c r="C30" s="2">
        <f ca="1">B30</f>
        <v>70080</v>
      </c>
      <c r="D30" s="30">
        <f t="shared" ref="D30:D31" ca="1" si="17">C30-B30</f>
        <v>0</v>
      </c>
      <c r="E30" s="2"/>
      <c r="F30" s="56"/>
      <c r="G30" s="56"/>
      <c r="H30" s="57"/>
      <c r="I30" s="58" t="s">
        <v>42</v>
      </c>
      <c r="J30" s="87">
        <f ca="1">C30</f>
        <v>70080</v>
      </c>
      <c r="K30" s="2">
        <f ca="1">J30</f>
        <v>70080</v>
      </c>
      <c r="L30" s="30">
        <f t="shared" ref="L30:L31" ca="1" si="18">K30-J30</f>
        <v>0</v>
      </c>
      <c r="M30" s="2"/>
      <c r="N30" s="56"/>
      <c r="O30" s="56"/>
      <c r="P30" s="57"/>
    </row>
    <row r="31" spans="1:16" ht="15.75" customHeight="1" x14ac:dyDescent="0.25">
      <c r="A31" s="29">
        <v>2</v>
      </c>
      <c r="B31" s="81">
        <f ca="1">C16</f>
        <v>98301</v>
      </c>
      <c r="C31" s="1">
        <f ca="1">B31</f>
        <v>98301</v>
      </c>
      <c r="D31" s="30">
        <f t="shared" ca="1" si="17"/>
        <v>0</v>
      </c>
      <c r="E31" s="1"/>
      <c r="F31" s="30"/>
      <c r="G31" s="30"/>
      <c r="H31" s="62"/>
      <c r="I31" s="29">
        <v>2</v>
      </c>
      <c r="J31" s="81">
        <f ca="1">C31</f>
        <v>98301</v>
      </c>
      <c r="K31" s="1">
        <f ca="1">J31</f>
        <v>98301</v>
      </c>
      <c r="L31" s="30">
        <f t="shared" ca="1" si="18"/>
        <v>0</v>
      </c>
      <c r="M31" s="1"/>
      <c r="N31" s="30"/>
      <c r="O31" s="30"/>
      <c r="P31" s="62"/>
    </row>
    <row r="32" spans="1:16" ht="15.75" customHeight="1" thickBot="1" x14ac:dyDescent="0.3">
      <c r="A32" s="74"/>
      <c r="B32" s="75"/>
      <c r="C32" s="75"/>
      <c r="D32" s="76">
        <f ca="1">SUM(D30:D31)</f>
        <v>0</v>
      </c>
      <c r="E32" s="76">
        <f>SUM(E30:E31)</f>
        <v>0</v>
      </c>
      <c r="F32" s="76">
        <f ca="1">SUM(D30:D31)-SUM(E30:E31)</f>
        <v>0</v>
      </c>
      <c r="G32" s="10">
        <v>0</v>
      </c>
      <c r="H32" s="77">
        <f ca="1">G32*F32</f>
        <v>0</v>
      </c>
      <c r="I32" s="74"/>
      <c r="J32" s="75"/>
      <c r="K32" s="75"/>
      <c r="L32" s="76">
        <f ca="1">SUM(L30:L31)</f>
        <v>0</v>
      </c>
      <c r="M32" s="76">
        <f>SUM(M30:M31)</f>
        <v>0</v>
      </c>
      <c r="N32" s="76">
        <f ca="1">SUM(L30:L31)-SUM(M30:M31)</f>
        <v>0</v>
      </c>
      <c r="O32" s="10">
        <v>0</v>
      </c>
      <c r="P32" s="77">
        <f ca="1">O32*N32</f>
        <v>0</v>
      </c>
    </row>
    <row r="33" spans="1:16" ht="15.75" customHeight="1" thickBot="1" x14ac:dyDescent="0.3">
      <c r="A33" s="136" t="s">
        <v>46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8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</sheetData>
  <sheetProtection algorithmName="SHA-512" hashValue="53zgtRr7GErvDVz+oD8/r2qE2jqnUMo2iIIZJ9TPvialMqDIrXWQBmkW/Wd8PGvin4X2+eDi7YHlc2Ii4ITeaw==" saltValue="NqVQeImKgBhb6o9BKGEY/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/>
  </hyperlinks>
  <pageMargins left="0.7" right="0.7" top="0.75" bottom="0.75" header="0" footer="0"/>
  <pageSetup paperSize="9" scale="5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zoomScaleNormal="100" zoomScaleSheetLayoutView="100" zoomScalePageLayoutView="55" workbookViewId="0">
      <pane ySplit="1" topLeftCell="A3" activePane="bottomLeft" state="frozen"/>
      <selection activeCell="N22" sqref="N22"/>
      <selection pane="bottomLeft" activeCell="E8" sqref="E8"/>
    </sheetView>
  </sheetViews>
  <sheetFormatPr defaultColWidth="14.42578125" defaultRowHeight="15" customHeight="1" x14ac:dyDescent="0.25"/>
  <cols>
    <col min="1" max="1" width="7.28515625" style="28" bestFit="1" customWidth="1"/>
    <col min="2" max="2" width="10.28515625" style="28" customWidth="1"/>
    <col min="3" max="3" width="13.42578125" style="28" customWidth="1"/>
    <col min="4" max="4" width="10.85546875" style="28" customWidth="1"/>
    <col min="5" max="5" width="11.7109375" style="28" bestFit="1" customWidth="1"/>
    <col min="6" max="6" width="7.85546875" style="28" customWidth="1"/>
    <col min="7" max="7" width="8.85546875" style="28" customWidth="1"/>
    <col min="8" max="8" width="14.28515625" style="28" customWidth="1"/>
    <col min="9" max="9" width="9.5703125" style="28" bestFit="1" customWidth="1"/>
    <col min="10" max="10" width="11.5703125" style="28" customWidth="1"/>
    <col min="11" max="11" width="11.28515625" style="28" customWidth="1"/>
    <col min="12" max="12" width="10.85546875" style="28" customWidth="1"/>
    <col min="13" max="13" width="10.7109375" style="28" customWidth="1"/>
    <col min="14" max="14" width="10.5703125" style="28" customWidth="1"/>
    <col min="15" max="15" width="10.7109375" style="28" customWidth="1"/>
    <col min="16" max="16" width="11.42578125" style="28" bestFit="1" customWidth="1"/>
    <col min="17" max="17" width="9.140625" style="28" customWidth="1"/>
    <col min="18" max="16384" width="14.42578125" style="28"/>
  </cols>
  <sheetData>
    <row r="1" spans="1:16" s="21" customFormat="1" ht="30" customHeight="1" thickBot="1" x14ac:dyDescent="0.3">
      <c r="A1" s="125" t="s">
        <v>20</v>
      </c>
      <c r="B1" s="126"/>
      <c r="C1" s="19" t="s">
        <v>21</v>
      </c>
      <c r="D1" s="20">
        <f>F1-1</f>
        <v>4</v>
      </c>
      <c r="E1" s="19" t="s">
        <v>22</v>
      </c>
      <c r="F1" s="20">
        <v>5</v>
      </c>
      <c r="G1" s="20" cm="1">
        <f t="array" aca="1" ref="G1" ca="1">INDIRECT($D$1&amp;"!g1")</f>
        <v>3</v>
      </c>
      <c r="H1" s="91" cm="1">
        <f t="array" aca="1" ref="H1" ca="1">INDIRECT($D$1&amp;"!h1")</f>
        <v>2026</v>
      </c>
      <c r="I1" s="127">
        <f ca="1">DATEVALUE(F1&amp;"-"&amp;G1&amp;"-"&amp;H1)</f>
        <v>46145</v>
      </c>
      <c r="J1" s="128"/>
      <c r="K1" s="128"/>
      <c r="L1" s="128"/>
      <c r="M1" s="128"/>
      <c r="N1" s="128"/>
      <c r="O1" s="128"/>
      <c r="P1" s="129"/>
    </row>
    <row r="2" spans="1:16" ht="32.25" customHeight="1" x14ac:dyDescent="0.25">
      <c r="A2" s="22" t="s">
        <v>23</v>
      </c>
      <c r="B2" s="23" t="s">
        <v>24</v>
      </c>
      <c r="C2" s="23" t="s">
        <v>25</v>
      </c>
      <c r="D2" s="23" t="s">
        <v>5</v>
      </c>
      <c r="E2" s="23" t="s">
        <v>26</v>
      </c>
      <c r="F2" s="23" t="s">
        <v>27</v>
      </c>
      <c r="G2" s="23" t="s">
        <v>28</v>
      </c>
      <c r="H2" s="24" t="s">
        <v>29</v>
      </c>
      <c r="I2" s="25" t="s">
        <v>30</v>
      </c>
      <c r="J2" s="26" t="s">
        <v>31</v>
      </c>
      <c r="K2" s="26" t="s">
        <v>32</v>
      </c>
      <c r="L2" s="26" t="s">
        <v>11</v>
      </c>
      <c r="M2" s="26" t="s">
        <v>25</v>
      </c>
      <c r="N2" s="26" t="s">
        <v>33</v>
      </c>
      <c r="O2" s="26" t="s">
        <v>5</v>
      </c>
      <c r="P2" s="27" t="s">
        <v>34</v>
      </c>
    </row>
    <row r="3" spans="1:16" x14ac:dyDescent="0.25">
      <c r="A3" s="29" t="s">
        <v>12</v>
      </c>
      <c r="B3" s="81" cm="1">
        <f t="array" aca="1" ref="B3" ca="1">INDIRECT($D$1&amp;"!k18")</f>
        <v>946603</v>
      </c>
      <c r="C3" s="1">
        <f>946603</f>
        <v>946603</v>
      </c>
      <c r="D3" s="30">
        <f t="shared" ref="D3:D10" ca="1" si="0">C3-B3</f>
        <v>0</v>
      </c>
      <c r="E3" s="1"/>
      <c r="F3" s="30"/>
      <c r="G3" s="30"/>
      <c r="H3" s="31"/>
      <c r="I3" s="32" t="s">
        <v>12</v>
      </c>
      <c r="J3" s="33" cm="1">
        <f t="array" aca="1" ref="J3" ca="1">INDIRECT($D$1&amp;"!m3")</f>
        <v>18450</v>
      </c>
      <c r="K3" s="3"/>
      <c r="L3" s="116"/>
      <c r="M3" s="4">
        <v>15300</v>
      </c>
      <c r="N3" s="33">
        <f ca="1">J3+L3-M3</f>
        <v>3150</v>
      </c>
      <c r="O3" s="33">
        <f ca="1">D5+D6+D9+D10+D20+D21+D24+D25+L20+L21+L24+L25</f>
        <v>3263</v>
      </c>
      <c r="P3" s="34">
        <f ca="1">O3-N3</f>
        <v>113</v>
      </c>
    </row>
    <row r="4" spans="1:16" x14ac:dyDescent="0.25">
      <c r="A4" s="29">
        <v>2</v>
      </c>
      <c r="B4" s="81" cm="1">
        <f t="array" aca="1" ref="B4" ca="1">INDIRECT($D$1&amp;"!k19")</f>
        <v>913278</v>
      </c>
      <c r="C4" s="1">
        <v>913278</v>
      </c>
      <c r="D4" s="30">
        <f t="shared" ca="1" si="0"/>
        <v>0</v>
      </c>
      <c r="E4" s="1"/>
      <c r="F4" s="30"/>
      <c r="G4" s="30"/>
      <c r="H4" s="31"/>
      <c r="I4" s="35" t="s">
        <v>13</v>
      </c>
      <c r="J4" s="36" cm="1">
        <f t="array" aca="1" ref="J4" ca="1">INDIRECT($D$1&amp;"!m4")</f>
        <v>7000</v>
      </c>
      <c r="K4" s="11"/>
      <c r="L4" s="117"/>
      <c r="M4" s="4">
        <v>5750</v>
      </c>
      <c r="N4" s="36">
        <f t="shared" ref="N4:N7" ca="1" si="1">J4+L4-M4</f>
        <v>1250</v>
      </c>
      <c r="O4" s="36">
        <f ca="1">D3+D4+D7+D8+D22+D23+L22+L23+D18+D19+L18+L19</f>
        <v>1244</v>
      </c>
      <c r="P4" s="37">
        <f ca="1">O4-N4</f>
        <v>-6</v>
      </c>
    </row>
    <row r="5" spans="1:16" x14ac:dyDescent="0.25">
      <c r="A5" s="29">
        <v>3</v>
      </c>
      <c r="B5" s="81" cm="1">
        <f t="array" aca="1" ref="B5" ca="1">INDIRECT($D$1&amp;"!k20")</f>
        <v>1368756</v>
      </c>
      <c r="C5" s="1">
        <v>1369581</v>
      </c>
      <c r="D5" s="30">
        <f t="shared" ca="1" si="0"/>
        <v>825</v>
      </c>
      <c r="E5" s="1"/>
      <c r="F5" s="30"/>
      <c r="G5" s="30"/>
      <c r="H5" s="31"/>
      <c r="I5" s="38" t="s">
        <v>14</v>
      </c>
      <c r="J5" s="39">
        <f ca="1">SUM(J3:J4)</f>
        <v>25450</v>
      </c>
      <c r="K5" s="39">
        <f t="shared" ref="K5:L5" si="2">SUM(K3:K4)</f>
        <v>0</v>
      </c>
      <c r="L5" s="39">
        <f t="shared" si="2"/>
        <v>0</v>
      </c>
      <c r="M5" s="39">
        <f>M3+M4</f>
        <v>21050</v>
      </c>
      <c r="N5" s="39">
        <f t="shared" ca="1" si="1"/>
        <v>4400</v>
      </c>
      <c r="O5" s="39">
        <f ca="1">SUM(O3:O4)</f>
        <v>4507</v>
      </c>
      <c r="P5" s="40">
        <f ca="1">O5-N5</f>
        <v>107</v>
      </c>
    </row>
    <row r="6" spans="1:16" x14ac:dyDescent="0.25">
      <c r="A6" s="29">
        <v>4</v>
      </c>
      <c r="B6" s="81" cm="1">
        <f t="array" aca="1" ref="B6" ca="1">INDIRECT($D$1&amp;"!k21")</f>
        <v>1149584</v>
      </c>
      <c r="C6" s="1">
        <v>1150751</v>
      </c>
      <c r="D6" s="30">
        <f t="shared" ca="1" si="0"/>
        <v>1167</v>
      </c>
      <c r="E6" s="1"/>
      <c r="F6" s="30"/>
      <c r="G6" s="30"/>
      <c r="H6" s="31"/>
      <c r="I6" s="32" t="s">
        <v>8</v>
      </c>
      <c r="J6" s="33" cm="1">
        <f t="array" aca="1" ref="J6" ca="1">INDIRECT($D$1&amp;"!m6")</f>
        <v>24000</v>
      </c>
      <c r="K6" s="3"/>
      <c r="L6" s="88"/>
      <c r="M6" s="4">
        <v>23700</v>
      </c>
      <c r="N6" s="33">
        <f t="shared" ca="1" si="1"/>
        <v>300</v>
      </c>
      <c r="O6" s="33">
        <f ca="1">D12+D13+D27+D28+L27+L28</f>
        <v>404</v>
      </c>
      <c r="P6" s="34">
        <f t="shared" ref="P6:P7" ca="1" si="3">O6-N6</f>
        <v>104</v>
      </c>
    </row>
    <row r="7" spans="1:16" ht="15.75" thickBot="1" x14ac:dyDescent="0.3">
      <c r="A7" s="29">
        <v>5</v>
      </c>
      <c r="B7" s="81" cm="1">
        <f t="array" aca="1" ref="B7" ca="1">INDIRECT($D$1&amp;"!k22")</f>
        <v>1214936</v>
      </c>
      <c r="C7" s="1">
        <v>1215271</v>
      </c>
      <c r="D7" s="30">
        <f t="shared" ca="1" si="0"/>
        <v>335</v>
      </c>
      <c r="E7" s="1"/>
      <c r="F7" s="30"/>
      <c r="G7" s="30"/>
      <c r="H7" s="31"/>
      <c r="I7" s="92" t="s">
        <v>9</v>
      </c>
      <c r="J7" s="93" cm="1">
        <f t="array" aca="1" ref="J7" ca="1">INDIRECT($D$1&amp;"!m7")</f>
        <v>1100</v>
      </c>
      <c r="K7" s="5"/>
      <c r="L7" s="90"/>
      <c r="M7" s="4">
        <f ca="1">J7</f>
        <v>1100</v>
      </c>
      <c r="N7" s="93">
        <f t="shared" ca="1" si="1"/>
        <v>0</v>
      </c>
      <c r="O7" s="93">
        <f ca="1">D15+D16+D30+D31+L30+L31</f>
        <v>0</v>
      </c>
      <c r="P7" s="94">
        <f t="shared" ca="1" si="3"/>
        <v>0</v>
      </c>
    </row>
    <row r="8" spans="1:16" x14ac:dyDescent="0.25">
      <c r="A8" s="29">
        <v>6</v>
      </c>
      <c r="B8" s="81" cm="1">
        <f t="array" aca="1" ref="B8" ca="1">INDIRECT($D$1&amp;"!k23")</f>
        <v>1043423</v>
      </c>
      <c r="C8" s="1">
        <v>1044332</v>
      </c>
      <c r="D8" s="30">
        <f t="shared" ca="1" si="0"/>
        <v>909</v>
      </c>
      <c r="E8" s="1"/>
      <c r="F8" s="30"/>
      <c r="G8" s="30"/>
      <c r="H8" s="62"/>
      <c r="I8" s="130"/>
      <c r="J8" s="41"/>
      <c r="K8" s="41"/>
      <c r="L8" s="42"/>
      <c r="M8" s="41"/>
      <c r="N8" s="41"/>
      <c r="O8" s="41"/>
      <c r="P8" s="43"/>
    </row>
    <row r="9" spans="1:16" x14ac:dyDescent="0.25">
      <c r="A9" s="29">
        <v>7</v>
      </c>
      <c r="B9" s="81" cm="1">
        <f t="array" aca="1" ref="B9" ca="1">INDIRECT($D$1&amp;"!k24")</f>
        <v>1012522</v>
      </c>
      <c r="C9" s="1">
        <v>1012522</v>
      </c>
      <c r="D9" s="30">
        <f t="shared" ca="1" si="0"/>
        <v>0</v>
      </c>
      <c r="E9" s="1"/>
      <c r="F9" s="30"/>
      <c r="G9" s="30"/>
      <c r="H9" s="62"/>
      <c r="I9" s="131"/>
      <c r="J9" s="44"/>
      <c r="K9" s="44"/>
      <c r="L9" s="45"/>
      <c r="M9" s="132" t="s">
        <v>18</v>
      </c>
      <c r="N9" s="132"/>
      <c r="O9" s="132"/>
      <c r="P9" s="133"/>
    </row>
    <row r="10" spans="1:16" x14ac:dyDescent="0.25">
      <c r="A10" s="29">
        <v>8</v>
      </c>
      <c r="B10" s="81" cm="1">
        <f t="array" aca="1" ref="B10" ca="1">INDIRECT($D$1&amp;"!k25")</f>
        <v>1150835</v>
      </c>
      <c r="C10" s="1">
        <v>1152106</v>
      </c>
      <c r="D10" s="30">
        <f t="shared" ca="1" si="0"/>
        <v>1271</v>
      </c>
      <c r="E10" s="1"/>
      <c r="F10" s="30"/>
      <c r="G10" s="30"/>
      <c r="H10" s="62"/>
      <c r="I10" s="143" t="s">
        <v>19</v>
      </c>
      <c r="J10" s="145"/>
      <c r="K10" s="143" t="s">
        <v>35</v>
      </c>
      <c r="L10" s="144"/>
      <c r="M10" s="46"/>
      <c r="N10" s="47" t="s">
        <v>36</v>
      </c>
      <c r="O10" s="47" t="s">
        <v>17</v>
      </c>
      <c r="P10" s="48" t="s">
        <v>29</v>
      </c>
    </row>
    <row r="11" spans="1:16" x14ac:dyDescent="0.25">
      <c r="A11" s="49"/>
      <c r="B11" s="50"/>
      <c r="C11" s="50"/>
      <c r="D11" s="51">
        <f t="shared" ref="D11:E11" ca="1" si="4">SUM(D3:D10)</f>
        <v>4507</v>
      </c>
      <c r="E11" s="51">
        <f t="shared" si="4"/>
        <v>0</v>
      </c>
      <c r="F11" s="51">
        <f ca="1">SUM(D3:D10)-SUM(E3:E10)</f>
        <v>4507</v>
      </c>
      <c r="G11" s="9">
        <v>950</v>
      </c>
      <c r="H11" s="86">
        <f ca="1">G11*F11</f>
        <v>4281650</v>
      </c>
      <c r="I11" s="53" t="e" cm="1">
        <f t="array" aca="1" ref="I11" ca="1">INDIRECT("LODGEMENT"&amp;"!F3")</f>
        <v>#REF!</v>
      </c>
      <c r="J11" s="7">
        <v>831197</v>
      </c>
      <c r="K11" s="53" t="s">
        <v>37</v>
      </c>
      <c r="L11" s="7">
        <f>E11</f>
        <v>0</v>
      </c>
      <c r="M11" s="54" t="s">
        <v>7</v>
      </c>
      <c r="N11" s="55">
        <f>E11+E26+M26-L11-L14-L15-L16</f>
        <v>0</v>
      </c>
      <c r="O11" s="56">
        <f ca="1">F11+F26+N26</f>
        <v>4507</v>
      </c>
      <c r="P11" s="57">
        <f ca="1">H11+H26+P26</f>
        <v>4281650</v>
      </c>
    </row>
    <row r="12" spans="1:16" ht="15.75" customHeight="1" x14ac:dyDescent="0.25">
      <c r="A12" s="58" t="s">
        <v>38</v>
      </c>
      <c r="B12" s="87" cm="1">
        <f t="array" aca="1" ref="B12" ca="1">INDIRECT($D$1&amp;"!k27")</f>
        <v>306286</v>
      </c>
      <c r="C12" s="2">
        <f ca="1">B12</f>
        <v>306286</v>
      </c>
      <c r="D12" s="30">
        <f t="shared" ref="D12:D13" ca="1" si="5">C12-B12</f>
        <v>0</v>
      </c>
      <c r="E12" s="2"/>
      <c r="F12" s="56"/>
      <c r="G12" s="56"/>
      <c r="H12" s="57"/>
      <c r="I12" s="53" t="e" cm="1">
        <f t="array" aca="1" ref="I12" ca="1">INDIRECT("LODGEMENT"&amp;"!G3")</f>
        <v>#REF!</v>
      </c>
      <c r="J12" s="7">
        <v>1117574</v>
      </c>
      <c r="K12" s="53" t="s">
        <v>39</v>
      </c>
      <c r="L12" s="7">
        <v>32</v>
      </c>
      <c r="M12" s="60" t="s">
        <v>8</v>
      </c>
      <c r="N12" s="61">
        <f>E14+E29+M29-L12-L13</f>
        <v>0</v>
      </c>
      <c r="O12" s="30">
        <f ca="1">F14+F29+N29</f>
        <v>372</v>
      </c>
      <c r="P12" s="62">
        <f ca="1">H14+H29+P29</f>
        <v>413220</v>
      </c>
    </row>
    <row r="13" spans="1:16" ht="15.75" customHeight="1" thickBot="1" x14ac:dyDescent="0.3">
      <c r="A13" s="29">
        <v>2</v>
      </c>
      <c r="B13" s="87" cm="1">
        <f t="array" aca="1" ref="B13" ca="1">INDIRECT($D$1&amp;"!k28")</f>
        <v>256350</v>
      </c>
      <c r="C13" s="2">
        <v>256575</v>
      </c>
      <c r="D13" s="30">
        <f t="shared" ca="1" si="5"/>
        <v>225</v>
      </c>
      <c r="E13" s="1">
        <v>27</v>
      </c>
      <c r="F13" s="30"/>
      <c r="G13" s="30"/>
      <c r="H13" s="62"/>
      <c r="I13" s="53" t="e" cm="1">
        <f t="array" aca="1" ref="I13" ca="1">INDIRECT("LODGEMENT"&amp;"!H3")</f>
        <v>#REF!</v>
      </c>
      <c r="J13" s="7">
        <v>1717020</v>
      </c>
      <c r="K13" s="53" t="s">
        <v>16</v>
      </c>
      <c r="L13" s="7"/>
      <c r="M13" s="63" t="s">
        <v>9</v>
      </c>
      <c r="N13" s="64">
        <f>E17+E32+M32</f>
        <v>0</v>
      </c>
      <c r="O13" s="65">
        <f ca="1">F17+F32+N32</f>
        <v>0</v>
      </c>
      <c r="P13" s="66">
        <f ca="1">H17+H32+P32</f>
        <v>0</v>
      </c>
    </row>
    <row r="14" spans="1:16" ht="15.75" customHeight="1" x14ac:dyDescent="0.25">
      <c r="A14" s="49"/>
      <c r="B14" s="50"/>
      <c r="C14" s="50"/>
      <c r="D14" s="51">
        <f ca="1">SUM(D12:D13)</f>
        <v>225</v>
      </c>
      <c r="E14" s="51">
        <f>SUM(E12:E13)</f>
        <v>27</v>
      </c>
      <c r="F14" s="51">
        <f ca="1">SUM(D12:D13)-SUM(E12:E13)</f>
        <v>198</v>
      </c>
      <c r="G14" s="9">
        <v>1050</v>
      </c>
      <c r="H14" s="86">
        <f ca="1">G14*F14</f>
        <v>207900</v>
      </c>
      <c r="I14" s="53" t="e" cm="1">
        <f t="array" aca="1" ref="I14" ca="1">INDIRECT("LODGEMENT"&amp;"!I3")</f>
        <v>#REF!</v>
      </c>
      <c r="J14" s="7"/>
      <c r="K14" s="53" t="s">
        <v>40</v>
      </c>
      <c r="L14" s="7"/>
      <c r="M14" s="67"/>
      <c r="N14" s="68" t="s">
        <v>41</v>
      </c>
      <c r="O14" s="139">
        <f ca="1">SUM(P11:P13)</f>
        <v>4694870</v>
      </c>
      <c r="P14" s="140"/>
    </row>
    <row r="15" spans="1:16" ht="15.75" customHeight="1" x14ac:dyDescent="0.25">
      <c r="A15" s="58" t="s">
        <v>42</v>
      </c>
      <c r="B15" s="87" cm="1">
        <f t="array" aca="1" ref="B15" ca="1">INDIRECT($D$1&amp;"!k30")</f>
        <v>70080</v>
      </c>
      <c r="C15" s="2">
        <f ca="1">B15</f>
        <v>70080</v>
      </c>
      <c r="D15" s="30">
        <f t="shared" ref="D15:D16" ca="1" si="6">C15-B15</f>
        <v>0</v>
      </c>
      <c r="E15" s="2"/>
      <c r="F15" s="56"/>
      <c r="G15" s="56"/>
      <c r="H15" s="57"/>
      <c r="I15" s="53" t="e" cm="1">
        <f t="array" aca="1" ref="I15" ca="1">INDIRECT("LODGEMENT"&amp;"!J3")</f>
        <v>#REF!</v>
      </c>
      <c r="J15" s="7"/>
      <c r="K15" s="53" t="s">
        <v>43</v>
      </c>
      <c r="L15" s="7"/>
      <c r="M15" s="69"/>
      <c r="N15" s="70" t="s">
        <v>44</v>
      </c>
      <c r="O15" s="141">
        <f>SUM(J11:J16)</f>
        <v>3665791</v>
      </c>
      <c r="P15" s="142"/>
    </row>
    <row r="16" spans="1:16" ht="15.75" customHeight="1" thickBot="1" x14ac:dyDescent="0.3">
      <c r="A16" s="29">
        <v>2</v>
      </c>
      <c r="B16" s="87" cm="1">
        <f t="array" aca="1" ref="B16" ca="1">INDIRECT($D$1&amp;"!k31")</f>
        <v>98301</v>
      </c>
      <c r="C16" s="2">
        <f ca="1">B16</f>
        <v>98301</v>
      </c>
      <c r="D16" s="30">
        <f t="shared" ca="1" si="6"/>
        <v>0</v>
      </c>
      <c r="E16" s="1"/>
      <c r="F16" s="30"/>
      <c r="G16" s="30"/>
      <c r="H16" s="62"/>
      <c r="I16" s="71" t="e" cm="1">
        <f t="array" aca="1" ref="I16" ca="1">INDIRECT("LODGEMENT"&amp;"!k3")</f>
        <v>#REF!</v>
      </c>
      <c r="J16" s="8"/>
      <c r="K16" s="71" t="s">
        <v>15</v>
      </c>
      <c r="L16" s="8"/>
      <c r="M16" s="72"/>
      <c r="N16" s="73" t="s">
        <v>45</v>
      </c>
      <c r="O16" s="134">
        <f ca="1">O14-O15</f>
        <v>1029079</v>
      </c>
      <c r="P16" s="135"/>
    </row>
    <row r="17" spans="1:16" ht="15.75" customHeight="1" thickBot="1" x14ac:dyDescent="0.3">
      <c r="A17" s="74"/>
      <c r="B17" s="75"/>
      <c r="C17" s="75"/>
      <c r="D17" s="76">
        <f ca="1">SUM(D15:D16)</f>
        <v>0</v>
      </c>
      <c r="E17" s="76">
        <f>SUM(E15:E16)</f>
        <v>0</v>
      </c>
      <c r="F17" s="76">
        <f ca="1">SUM(D15:D16)-SUM(E15:E16)</f>
        <v>0</v>
      </c>
      <c r="G17" s="10"/>
      <c r="H17" s="77">
        <f ca="1">G17*F17</f>
        <v>0</v>
      </c>
      <c r="I17" s="78"/>
      <c r="J17" s="79"/>
      <c r="K17" s="79"/>
      <c r="L17" s="79"/>
      <c r="M17" s="79"/>
      <c r="N17" s="79"/>
      <c r="O17" s="79"/>
      <c r="P17" s="80"/>
    </row>
    <row r="18" spans="1:16" ht="15.75" customHeight="1" x14ac:dyDescent="0.25">
      <c r="A18" s="29" t="s">
        <v>12</v>
      </c>
      <c r="B18" s="81">
        <f t="shared" ref="B18:B25" si="7">C3</f>
        <v>946603</v>
      </c>
      <c r="C18" s="1">
        <f>B18</f>
        <v>946603</v>
      </c>
      <c r="D18" s="30">
        <f t="shared" ref="D18:D25" si="8">C18-B18</f>
        <v>0</v>
      </c>
      <c r="E18" s="1"/>
      <c r="F18" s="30"/>
      <c r="G18" s="30"/>
      <c r="H18" s="62"/>
      <c r="I18" s="82" t="s">
        <v>12</v>
      </c>
      <c r="J18" s="83">
        <f t="shared" ref="J18:J25" si="9">C18</f>
        <v>946603</v>
      </c>
      <c r="K18" s="6">
        <f t="shared" ref="K18:K25" si="10">J18</f>
        <v>946603</v>
      </c>
      <c r="L18" s="84">
        <f t="shared" ref="L18:L25" si="11">K18-J18</f>
        <v>0</v>
      </c>
      <c r="M18" s="6"/>
      <c r="N18" s="84"/>
      <c r="O18" s="84"/>
      <c r="P18" s="85"/>
    </row>
    <row r="19" spans="1:16" ht="15.75" customHeight="1" x14ac:dyDescent="0.25">
      <c r="A19" s="29">
        <v>2</v>
      </c>
      <c r="B19" s="81">
        <f t="shared" si="7"/>
        <v>913278</v>
      </c>
      <c r="C19" s="1">
        <f t="shared" ref="C19:C25" si="12">B19</f>
        <v>913278</v>
      </c>
      <c r="D19" s="30">
        <f t="shared" si="8"/>
        <v>0</v>
      </c>
      <c r="E19" s="1"/>
      <c r="F19" s="30"/>
      <c r="G19" s="30"/>
      <c r="H19" s="62"/>
      <c r="I19" s="29">
        <v>2</v>
      </c>
      <c r="J19" s="81">
        <f t="shared" si="9"/>
        <v>913278</v>
      </c>
      <c r="K19" s="1">
        <f t="shared" si="10"/>
        <v>913278</v>
      </c>
      <c r="L19" s="30">
        <f t="shared" si="11"/>
        <v>0</v>
      </c>
      <c r="M19" s="1"/>
      <c r="N19" s="30"/>
      <c r="O19" s="30"/>
      <c r="P19" s="62"/>
    </row>
    <row r="20" spans="1:16" ht="15.75" customHeight="1" x14ac:dyDescent="0.25">
      <c r="A20" s="29">
        <v>3</v>
      </c>
      <c r="B20" s="81">
        <f t="shared" si="7"/>
        <v>1369581</v>
      </c>
      <c r="C20" s="1">
        <f t="shared" si="12"/>
        <v>1369581</v>
      </c>
      <c r="D20" s="30">
        <f t="shared" si="8"/>
        <v>0</v>
      </c>
      <c r="E20" s="1"/>
      <c r="F20" s="30"/>
      <c r="G20" s="30"/>
      <c r="H20" s="62"/>
      <c r="I20" s="29">
        <v>3</v>
      </c>
      <c r="J20" s="81">
        <f t="shared" si="9"/>
        <v>1369581</v>
      </c>
      <c r="K20" s="1">
        <f t="shared" si="10"/>
        <v>1369581</v>
      </c>
      <c r="L20" s="30">
        <f t="shared" si="11"/>
        <v>0</v>
      </c>
      <c r="M20" s="1"/>
      <c r="N20" s="30"/>
      <c r="O20" s="30"/>
      <c r="P20" s="62"/>
    </row>
    <row r="21" spans="1:16" ht="15.75" customHeight="1" x14ac:dyDescent="0.25">
      <c r="A21" s="29">
        <v>4</v>
      </c>
      <c r="B21" s="81">
        <f t="shared" si="7"/>
        <v>1150751</v>
      </c>
      <c r="C21" s="1">
        <f t="shared" si="12"/>
        <v>1150751</v>
      </c>
      <c r="D21" s="30">
        <f t="shared" si="8"/>
        <v>0</v>
      </c>
      <c r="E21" s="1"/>
      <c r="F21" s="30"/>
      <c r="G21" s="30"/>
      <c r="H21" s="62"/>
      <c r="I21" s="29">
        <v>4</v>
      </c>
      <c r="J21" s="81">
        <f t="shared" si="9"/>
        <v>1150751</v>
      </c>
      <c r="K21" s="1">
        <f t="shared" si="10"/>
        <v>1150751</v>
      </c>
      <c r="L21" s="30">
        <f t="shared" si="11"/>
        <v>0</v>
      </c>
      <c r="M21" s="1"/>
      <c r="N21" s="30"/>
      <c r="O21" s="30"/>
      <c r="P21" s="62"/>
    </row>
    <row r="22" spans="1:16" ht="15.75" customHeight="1" x14ac:dyDescent="0.25">
      <c r="A22" s="29">
        <v>5</v>
      </c>
      <c r="B22" s="81">
        <f t="shared" si="7"/>
        <v>1215271</v>
      </c>
      <c r="C22" s="1">
        <f t="shared" si="12"/>
        <v>1215271</v>
      </c>
      <c r="D22" s="30">
        <f t="shared" si="8"/>
        <v>0</v>
      </c>
      <c r="E22" s="1"/>
      <c r="F22" s="30"/>
      <c r="G22" s="30"/>
      <c r="H22" s="62"/>
      <c r="I22" s="29">
        <v>5</v>
      </c>
      <c r="J22" s="81">
        <f t="shared" si="9"/>
        <v>1215271</v>
      </c>
      <c r="K22" s="1">
        <f t="shared" si="10"/>
        <v>1215271</v>
      </c>
      <c r="L22" s="30">
        <f t="shared" si="11"/>
        <v>0</v>
      </c>
      <c r="M22" s="1"/>
      <c r="N22" s="30"/>
      <c r="O22" s="30"/>
      <c r="P22" s="62"/>
    </row>
    <row r="23" spans="1:16" ht="15.75" customHeight="1" x14ac:dyDescent="0.25">
      <c r="A23" s="29">
        <v>6</v>
      </c>
      <c r="B23" s="81">
        <f t="shared" si="7"/>
        <v>1044332</v>
      </c>
      <c r="C23" s="1">
        <f t="shared" si="12"/>
        <v>1044332</v>
      </c>
      <c r="D23" s="30">
        <f t="shared" si="8"/>
        <v>0</v>
      </c>
      <c r="E23" s="1"/>
      <c r="F23" s="30"/>
      <c r="G23" s="30"/>
      <c r="H23" s="62"/>
      <c r="I23" s="29">
        <v>6</v>
      </c>
      <c r="J23" s="81">
        <f t="shared" si="9"/>
        <v>1044332</v>
      </c>
      <c r="K23" s="1">
        <f t="shared" si="10"/>
        <v>1044332</v>
      </c>
      <c r="L23" s="30">
        <f t="shared" si="11"/>
        <v>0</v>
      </c>
      <c r="M23" s="1"/>
      <c r="N23" s="30"/>
      <c r="O23" s="30"/>
      <c r="P23" s="62"/>
    </row>
    <row r="24" spans="1:16" ht="15.75" customHeight="1" x14ac:dyDescent="0.25">
      <c r="A24" s="29">
        <v>7</v>
      </c>
      <c r="B24" s="81">
        <f t="shared" si="7"/>
        <v>1012522</v>
      </c>
      <c r="C24" s="1">
        <f t="shared" si="12"/>
        <v>1012522</v>
      </c>
      <c r="D24" s="30">
        <f t="shared" si="8"/>
        <v>0</v>
      </c>
      <c r="E24" s="1"/>
      <c r="F24" s="30"/>
      <c r="G24" s="30"/>
      <c r="H24" s="62"/>
      <c r="I24" s="29">
        <v>7</v>
      </c>
      <c r="J24" s="81">
        <f t="shared" si="9"/>
        <v>1012522</v>
      </c>
      <c r="K24" s="1">
        <f t="shared" si="10"/>
        <v>1012522</v>
      </c>
      <c r="L24" s="30">
        <f t="shared" si="11"/>
        <v>0</v>
      </c>
      <c r="M24" s="1"/>
      <c r="N24" s="30"/>
      <c r="O24" s="30"/>
      <c r="P24" s="62"/>
    </row>
    <row r="25" spans="1:16" ht="15.75" customHeight="1" x14ac:dyDescent="0.25">
      <c r="A25" s="29">
        <v>8</v>
      </c>
      <c r="B25" s="81">
        <f t="shared" si="7"/>
        <v>1152106</v>
      </c>
      <c r="C25" s="1">
        <f t="shared" si="12"/>
        <v>1152106</v>
      </c>
      <c r="D25" s="30">
        <f t="shared" si="8"/>
        <v>0</v>
      </c>
      <c r="E25" s="1"/>
      <c r="F25" s="30"/>
      <c r="G25" s="30"/>
      <c r="H25" s="62"/>
      <c r="I25" s="29">
        <v>8</v>
      </c>
      <c r="J25" s="81">
        <f t="shared" si="9"/>
        <v>1152106</v>
      </c>
      <c r="K25" s="1">
        <f t="shared" si="10"/>
        <v>1152106</v>
      </c>
      <c r="L25" s="30">
        <f t="shared" si="11"/>
        <v>0</v>
      </c>
      <c r="M25" s="1"/>
      <c r="N25" s="30"/>
      <c r="O25" s="30"/>
      <c r="P25" s="62"/>
    </row>
    <row r="26" spans="1:16" ht="15.75" customHeight="1" x14ac:dyDescent="0.25">
      <c r="A26" s="49"/>
      <c r="B26" s="50"/>
      <c r="C26" s="50"/>
      <c r="D26" s="51">
        <f t="shared" ref="D26:E26" si="13">SUM(D18:D25)</f>
        <v>0</v>
      </c>
      <c r="E26" s="51">
        <f t="shared" si="13"/>
        <v>0</v>
      </c>
      <c r="F26" s="51">
        <f>SUM(D18:D25)-SUM(E18:E25)</f>
        <v>0</v>
      </c>
      <c r="G26" s="9">
        <v>0</v>
      </c>
      <c r="H26" s="86">
        <f>G26*F26</f>
        <v>0</v>
      </c>
      <c r="I26" s="49"/>
      <c r="J26" s="50"/>
      <c r="K26" s="50"/>
      <c r="L26" s="51">
        <f t="shared" ref="L26:M26" si="14">SUM(L18:L25)</f>
        <v>0</v>
      </c>
      <c r="M26" s="51">
        <f t="shared" si="14"/>
        <v>0</v>
      </c>
      <c r="N26" s="51">
        <f>SUM(L18:L25)-SUM(M18:M25)</f>
        <v>0</v>
      </c>
      <c r="O26" s="9">
        <v>0</v>
      </c>
      <c r="P26" s="86">
        <f>O26*N26</f>
        <v>0</v>
      </c>
    </row>
    <row r="27" spans="1:16" ht="15.75" customHeight="1" x14ac:dyDescent="0.25">
      <c r="A27" s="58" t="s">
        <v>38</v>
      </c>
      <c r="B27" s="87">
        <f ca="1">C12</f>
        <v>306286</v>
      </c>
      <c r="C27" s="2">
        <v>306298</v>
      </c>
      <c r="D27" s="30">
        <f t="shared" ref="D27:D28" ca="1" si="15">C27-B27</f>
        <v>12</v>
      </c>
      <c r="E27" s="2"/>
      <c r="F27" s="56"/>
      <c r="G27" s="56"/>
      <c r="H27" s="57"/>
      <c r="I27" s="58" t="s">
        <v>38</v>
      </c>
      <c r="J27" s="87">
        <f>C27</f>
        <v>306298</v>
      </c>
      <c r="K27" s="2">
        <f>J27</f>
        <v>306298</v>
      </c>
      <c r="L27" s="30">
        <f t="shared" ref="L27:L28" si="16">K27-J27</f>
        <v>0</v>
      </c>
      <c r="M27" s="2"/>
      <c r="N27" s="56"/>
      <c r="O27" s="56"/>
      <c r="P27" s="57"/>
    </row>
    <row r="28" spans="1:16" ht="15.75" customHeight="1" x14ac:dyDescent="0.25">
      <c r="A28" s="29">
        <v>2</v>
      </c>
      <c r="B28" s="81">
        <f>C13</f>
        <v>256575</v>
      </c>
      <c r="C28" s="2">
        <v>256742</v>
      </c>
      <c r="D28" s="30">
        <f t="shared" si="15"/>
        <v>167</v>
      </c>
      <c r="E28" s="1">
        <v>5</v>
      </c>
      <c r="F28" s="30"/>
      <c r="G28" s="30"/>
      <c r="H28" s="62"/>
      <c r="I28" s="29">
        <v>2</v>
      </c>
      <c r="J28" s="81">
        <f>C28</f>
        <v>256742</v>
      </c>
      <c r="K28" s="1">
        <f>J28</f>
        <v>256742</v>
      </c>
      <c r="L28" s="30">
        <f t="shared" si="16"/>
        <v>0</v>
      </c>
      <c r="M28" s="1"/>
      <c r="N28" s="30"/>
      <c r="O28" s="30"/>
      <c r="P28" s="62"/>
    </row>
    <row r="29" spans="1:16" ht="15.75" customHeight="1" x14ac:dyDescent="0.25">
      <c r="A29" s="49"/>
      <c r="B29" s="50"/>
      <c r="C29" s="50"/>
      <c r="D29" s="51">
        <f ca="1">SUM(D27:D28)</f>
        <v>179</v>
      </c>
      <c r="E29" s="51">
        <f>SUM(E27:E28)</f>
        <v>5</v>
      </c>
      <c r="F29" s="51">
        <f ca="1">SUM(D27:D28)-SUM(E27:E28)</f>
        <v>174</v>
      </c>
      <c r="G29" s="9">
        <v>1180</v>
      </c>
      <c r="H29" s="86">
        <f ca="1">G29*F29</f>
        <v>205320</v>
      </c>
      <c r="I29" s="49"/>
      <c r="J29" s="50"/>
      <c r="K29" s="50"/>
      <c r="L29" s="51">
        <f>SUM(L27:L28)</f>
        <v>0</v>
      </c>
      <c r="M29" s="51">
        <f>SUM(M27:M28)</f>
        <v>0</v>
      </c>
      <c r="N29" s="51">
        <f>SUM(L27:L28)-SUM(M27:M28)</f>
        <v>0</v>
      </c>
      <c r="O29" s="9">
        <v>0</v>
      </c>
      <c r="P29" s="86">
        <f>O29*N29</f>
        <v>0</v>
      </c>
    </row>
    <row r="30" spans="1:16" ht="15.75" customHeight="1" x14ac:dyDescent="0.25">
      <c r="A30" s="58" t="s">
        <v>42</v>
      </c>
      <c r="B30" s="87">
        <f ca="1">C15</f>
        <v>70080</v>
      </c>
      <c r="C30" s="2">
        <f ca="1">B30</f>
        <v>70080</v>
      </c>
      <c r="D30" s="30">
        <f t="shared" ref="D30:D31" ca="1" si="17">C30-B30</f>
        <v>0</v>
      </c>
      <c r="E30" s="2"/>
      <c r="F30" s="56"/>
      <c r="G30" s="56"/>
      <c r="H30" s="57"/>
      <c r="I30" s="58" t="s">
        <v>42</v>
      </c>
      <c r="J30" s="87">
        <f ca="1">C30</f>
        <v>70080</v>
      </c>
      <c r="K30" s="2">
        <f ca="1">J30</f>
        <v>70080</v>
      </c>
      <c r="L30" s="30">
        <f t="shared" ref="L30:L31" ca="1" si="18">K30-J30</f>
        <v>0</v>
      </c>
      <c r="M30" s="2"/>
      <c r="N30" s="56"/>
      <c r="O30" s="56"/>
      <c r="P30" s="57"/>
    </row>
    <row r="31" spans="1:16" ht="15.75" customHeight="1" x14ac:dyDescent="0.25">
      <c r="A31" s="29">
        <v>2</v>
      </c>
      <c r="B31" s="81">
        <f ca="1">C16</f>
        <v>98301</v>
      </c>
      <c r="C31" s="1">
        <f ca="1">B31</f>
        <v>98301</v>
      </c>
      <c r="D31" s="30">
        <f t="shared" ca="1" si="17"/>
        <v>0</v>
      </c>
      <c r="E31" s="1"/>
      <c r="F31" s="30"/>
      <c r="G31" s="30"/>
      <c r="H31" s="62"/>
      <c r="I31" s="29">
        <v>2</v>
      </c>
      <c r="J31" s="81">
        <f ca="1">C31</f>
        <v>98301</v>
      </c>
      <c r="K31" s="1">
        <f ca="1">J31</f>
        <v>98301</v>
      </c>
      <c r="L31" s="30">
        <f t="shared" ca="1" si="18"/>
        <v>0</v>
      </c>
      <c r="M31" s="1"/>
      <c r="N31" s="30"/>
      <c r="O31" s="30"/>
      <c r="P31" s="62"/>
    </row>
    <row r="32" spans="1:16" ht="15.75" customHeight="1" thickBot="1" x14ac:dyDescent="0.3">
      <c r="A32" s="74"/>
      <c r="B32" s="75"/>
      <c r="C32" s="75"/>
      <c r="D32" s="76">
        <f ca="1">SUM(D30:D31)</f>
        <v>0</v>
      </c>
      <c r="E32" s="76">
        <f>SUM(E30:E31)</f>
        <v>0</v>
      </c>
      <c r="F32" s="76">
        <f ca="1">SUM(D30:D31)-SUM(E30:E31)</f>
        <v>0</v>
      </c>
      <c r="G32" s="10">
        <v>0</v>
      </c>
      <c r="H32" s="77">
        <f ca="1">G32*F32</f>
        <v>0</v>
      </c>
      <c r="I32" s="74"/>
      <c r="J32" s="75"/>
      <c r="K32" s="75"/>
      <c r="L32" s="76">
        <f ca="1">SUM(L30:L31)</f>
        <v>0</v>
      </c>
      <c r="M32" s="76">
        <f>SUM(M30:M31)</f>
        <v>0</v>
      </c>
      <c r="N32" s="76">
        <f ca="1">SUM(L30:L31)-SUM(M30:M31)</f>
        <v>0</v>
      </c>
      <c r="O32" s="10">
        <v>0</v>
      </c>
      <c r="P32" s="77">
        <f ca="1">O32*N32</f>
        <v>0</v>
      </c>
    </row>
    <row r="33" spans="1:16" ht="15.75" customHeight="1" thickBot="1" x14ac:dyDescent="0.3">
      <c r="A33" s="136" t="s">
        <v>46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8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</sheetData>
  <sheetProtection algorithmName="SHA-512" hashValue="NO+++OcRxCu4/yd1VOdihUn12kFGOaAHRedW6Lu2R/SZxs1EHwJOmnHjtQ0Qj77q6UAT8/du9Bk/wYNZi1UqoA==" saltValue="jPLdjppPUkYkzUXCuPTdc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/>
  </hyperlinks>
  <pageMargins left="0.7" right="0.7" top="0.75" bottom="0.75" header="0" footer="0"/>
  <pageSetup paperSize="9" scale="5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zoomScaleNormal="100" zoomScaleSheetLayoutView="100" zoomScalePageLayoutView="55" workbookViewId="0">
      <pane ySplit="1" topLeftCell="A2" activePane="bottomLeft" state="frozen"/>
      <selection activeCell="N22" sqref="N22"/>
      <selection pane="bottomLeft" activeCell="H19" sqref="H19"/>
    </sheetView>
  </sheetViews>
  <sheetFormatPr defaultColWidth="14.42578125" defaultRowHeight="15" customHeight="1" x14ac:dyDescent="0.25"/>
  <cols>
    <col min="1" max="1" width="7.28515625" style="28" bestFit="1" customWidth="1"/>
    <col min="2" max="2" width="13.28515625" style="28" customWidth="1"/>
    <col min="3" max="3" width="14.85546875" style="28" customWidth="1"/>
    <col min="4" max="4" width="10.85546875" style="28" customWidth="1"/>
    <col min="5" max="5" width="11.7109375" style="28" bestFit="1" customWidth="1"/>
    <col min="6" max="6" width="7.85546875" style="28" customWidth="1"/>
    <col min="7" max="7" width="8.85546875" style="28" customWidth="1"/>
    <col min="8" max="8" width="14.28515625" style="28" customWidth="1"/>
    <col min="9" max="9" width="9.5703125" style="28" bestFit="1" customWidth="1"/>
    <col min="10" max="10" width="11.5703125" style="28" customWidth="1"/>
    <col min="11" max="11" width="11.28515625" style="28" customWidth="1"/>
    <col min="12" max="12" width="10.85546875" style="28" customWidth="1"/>
    <col min="13" max="13" width="10.7109375" style="28" customWidth="1"/>
    <col min="14" max="14" width="10.5703125" style="28" customWidth="1"/>
    <col min="15" max="15" width="10.7109375" style="28" customWidth="1"/>
    <col min="16" max="16" width="11.42578125" style="28" bestFit="1" customWidth="1"/>
    <col min="17" max="17" width="9.140625" style="28" customWidth="1"/>
    <col min="18" max="16384" width="14.42578125" style="28"/>
  </cols>
  <sheetData>
    <row r="1" spans="1:16" s="21" customFormat="1" ht="30" customHeight="1" thickBot="1" x14ac:dyDescent="0.3">
      <c r="A1" s="125" t="s">
        <v>20</v>
      </c>
      <c r="B1" s="126"/>
      <c r="C1" s="19" t="s">
        <v>21</v>
      </c>
      <c r="D1" s="20">
        <f>F1-1</f>
        <v>5</v>
      </c>
      <c r="E1" s="19" t="s">
        <v>22</v>
      </c>
      <c r="F1" s="20">
        <v>6</v>
      </c>
      <c r="G1" s="20" cm="1">
        <f t="array" aca="1" ref="G1" ca="1">INDIRECT($D$1&amp;"!g1")</f>
        <v>3</v>
      </c>
      <c r="H1" s="91" cm="1">
        <f t="array" aca="1" ref="H1" ca="1">INDIRECT($D$1&amp;"!h1")</f>
        <v>2026</v>
      </c>
      <c r="I1" s="127">
        <f ca="1">DATEVALUE(F1&amp;"-"&amp;G1&amp;"-"&amp;H1)</f>
        <v>46176</v>
      </c>
      <c r="J1" s="128"/>
      <c r="K1" s="128"/>
      <c r="L1" s="128"/>
      <c r="M1" s="128"/>
      <c r="N1" s="128"/>
      <c r="O1" s="128"/>
      <c r="P1" s="129"/>
    </row>
    <row r="2" spans="1:16" ht="32.25" customHeight="1" x14ac:dyDescent="0.25">
      <c r="A2" s="22" t="s">
        <v>23</v>
      </c>
      <c r="B2" s="23" t="s">
        <v>24</v>
      </c>
      <c r="C2" s="23" t="s">
        <v>25</v>
      </c>
      <c r="D2" s="23" t="s">
        <v>5</v>
      </c>
      <c r="E2" s="23" t="s">
        <v>26</v>
      </c>
      <c r="F2" s="23" t="s">
        <v>27</v>
      </c>
      <c r="G2" s="23" t="s">
        <v>28</v>
      </c>
      <c r="H2" s="24" t="s">
        <v>29</v>
      </c>
      <c r="I2" s="25" t="s">
        <v>30</v>
      </c>
      <c r="J2" s="26" t="s">
        <v>31</v>
      </c>
      <c r="K2" s="26" t="s">
        <v>32</v>
      </c>
      <c r="L2" s="26" t="s">
        <v>11</v>
      </c>
      <c r="M2" s="26" t="s">
        <v>25</v>
      </c>
      <c r="N2" s="26" t="s">
        <v>33</v>
      </c>
      <c r="O2" s="26" t="s">
        <v>5</v>
      </c>
      <c r="P2" s="27" t="s">
        <v>34</v>
      </c>
    </row>
    <row r="3" spans="1:16" x14ac:dyDescent="0.25">
      <c r="A3" s="29" t="s">
        <v>12</v>
      </c>
      <c r="B3" s="81" cm="1">
        <f t="array" aca="1" ref="B3" ca="1">INDIRECT($D$1&amp;"!k18")</f>
        <v>946603</v>
      </c>
      <c r="C3" s="1">
        <v>947628</v>
      </c>
      <c r="D3" s="30">
        <f t="shared" ref="D3:D10" ca="1" si="0">C3-B3</f>
        <v>1025</v>
      </c>
      <c r="E3" s="1"/>
      <c r="F3" s="30"/>
      <c r="G3" s="30"/>
      <c r="H3" s="31"/>
      <c r="I3" s="32" t="s">
        <v>12</v>
      </c>
      <c r="J3" s="33" cm="1">
        <f t="array" aca="1" ref="J3" ca="1">INDIRECT($D$1&amp;"!m3")</f>
        <v>15300</v>
      </c>
      <c r="K3" s="3"/>
      <c r="L3" s="116"/>
      <c r="M3" s="4">
        <f>10800</f>
        <v>10800</v>
      </c>
      <c r="N3" s="33">
        <f ca="1">J3+L3-M3</f>
        <v>4500</v>
      </c>
      <c r="O3" s="33">
        <f ca="1">D5+D6+D9+D10+D20+D21+D24+D25+L20+L21+L24+L25</f>
        <v>4517</v>
      </c>
      <c r="P3" s="34">
        <f ca="1">O3-N3</f>
        <v>17</v>
      </c>
    </row>
    <row r="4" spans="1:16" x14ac:dyDescent="0.25">
      <c r="A4" s="29">
        <v>2</v>
      </c>
      <c r="B4" s="81" cm="1">
        <f t="array" aca="1" ref="B4" ca="1">INDIRECT($D$1&amp;"!k19")</f>
        <v>913278</v>
      </c>
      <c r="C4" s="1">
        <v>913374</v>
      </c>
      <c r="D4" s="30">
        <f t="shared" ca="1" si="0"/>
        <v>96</v>
      </c>
      <c r="E4" s="1"/>
      <c r="F4" s="30"/>
      <c r="G4" s="30"/>
      <c r="H4" s="31"/>
      <c r="I4" s="35" t="s">
        <v>13</v>
      </c>
      <c r="J4" s="36" cm="1">
        <f t="array" aca="1" ref="J4" ca="1">INDIRECT($D$1&amp;"!m4")</f>
        <v>5750</v>
      </c>
      <c r="K4" s="11"/>
      <c r="L4" s="117"/>
      <c r="M4" s="4">
        <f>4450</f>
        <v>4450</v>
      </c>
      <c r="N4" s="36">
        <f t="shared" ref="N4:N7" ca="1" si="1">J4+L4-M4</f>
        <v>1300</v>
      </c>
      <c r="O4" s="36">
        <f ca="1">D3+D4+D7+D8+D22+D23+L22+L23+D18+D19+L18+L19</f>
        <v>1241</v>
      </c>
      <c r="P4" s="37">
        <f ca="1">O4-N4</f>
        <v>-59</v>
      </c>
    </row>
    <row r="5" spans="1:16" x14ac:dyDescent="0.25">
      <c r="A5" s="29">
        <v>3</v>
      </c>
      <c r="B5" s="81" cm="1">
        <f t="array" aca="1" ref="B5" ca="1">INDIRECT($D$1&amp;"!k20")</f>
        <v>1369581</v>
      </c>
      <c r="C5" s="1">
        <v>1370607</v>
      </c>
      <c r="D5" s="30">
        <f t="shared" ca="1" si="0"/>
        <v>1026</v>
      </c>
      <c r="E5" s="1"/>
      <c r="F5" s="30"/>
      <c r="G5" s="30"/>
      <c r="H5" s="31"/>
      <c r="I5" s="38" t="s">
        <v>14</v>
      </c>
      <c r="J5" s="39">
        <f ca="1">SUM(J3:J4)</f>
        <v>21050</v>
      </c>
      <c r="K5" s="39">
        <f t="shared" ref="K5:L5" si="2">SUM(K3:K4)</f>
        <v>0</v>
      </c>
      <c r="L5" s="39">
        <f t="shared" si="2"/>
        <v>0</v>
      </c>
      <c r="M5" s="39">
        <f>M3+M4</f>
        <v>15250</v>
      </c>
      <c r="N5" s="39">
        <f t="shared" ca="1" si="1"/>
        <v>5800</v>
      </c>
      <c r="O5" s="39">
        <f ca="1">SUM(O3:O4)</f>
        <v>5758</v>
      </c>
      <c r="P5" s="40">
        <f ca="1">O5-N5</f>
        <v>-42</v>
      </c>
    </row>
    <row r="6" spans="1:16" x14ac:dyDescent="0.25">
      <c r="A6" s="29">
        <v>4</v>
      </c>
      <c r="B6" s="81" cm="1">
        <f t="array" aca="1" ref="B6" ca="1">INDIRECT($D$1&amp;"!k21")</f>
        <v>1150751</v>
      </c>
      <c r="C6" s="1">
        <v>1151178</v>
      </c>
      <c r="D6" s="30">
        <f t="shared" ca="1" si="0"/>
        <v>427</v>
      </c>
      <c r="E6" s="1"/>
      <c r="F6" s="30"/>
      <c r="G6" s="30"/>
      <c r="H6" s="31"/>
      <c r="I6" s="32" t="s">
        <v>8</v>
      </c>
      <c r="J6" s="33" cm="1">
        <f t="array" aca="1" ref="J6" ca="1">INDIRECT($D$1&amp;"!m6")</f>
        <v>23700</v>
      </c>
      <c r="K6" s="3"/>
      <c r="L6" s="88"/>
      <c r="M6" s="4">
        <f>23100</f>
        <v>23100</v>
      </c>
      <c r="N6" s="33">
        <f t="shared" ca="1" si="1"/>
        <v>600</v>
      </c>
      <c r="O6" s="33">
        <f ca="1">D12+D13+D27+D28+L27+L28</f>
        <v>493</v>
      </c>
      <c r="P6" s="34">
        <f t="shared" ref="P6:P7" ca="1" si="3">O6-N6</f>
        <v>-107</v>
      </c>
    </row>
    <row r="7" spans="1:16" ht="15.75" thickBot="1" x14ac:dyDescent="0.3">
      <c r="A7" s="29">
        <v>5</v>
      </c>
      <c r="B7" s="81" cm="1">
        <f t="array" aca="1" ref="B7" ca="1">INDIRECT($D$1&amp;"!k22")</f>
        <v>1215271</v>
      </c>
      <c r="C7" s="1">
        <v>1215271</v>
      </c>
      <c r="D7" s="30">
        <f t="shared" ca="1" si="0"/>
        <v>0</v>
      </c>
      <c r="E7" s="1"/>
      <c r="F7" s="30"/>
      <c r="G7" s="30"/>
      <c r="H7" s="31"/>
      <c r="I7" s="92" t="s">
        <v>9</v>
      </c>
      <c r="J7" s="93" cm="1">
        <f t="array" aca="1" ref="J7" ca="1">INDIRECT($D$1&amp;"!m7")</f>
        <v>1100</v>
      </c>
      <c r="K7" s="5"/>
      <c r="L7" s="90"/>
      <c r="M7" s="4">
        <f ca="1">J7</f>
        <v>1100</v>
      </c>
      <c r="N7" s="93">
        <f t="shared" ca="1" si="1"/>
        <v>0</v>
      </c>
      <c r="O7" s="93">
        <f ca="1">D15+D16+D30+D31+L30+L31</f>
        <v>0</v>
      </c>
      <c r="P7" s="94">
        <f t="shared" ca="1" si="3"/>
        <v>0</v>
      </c>
    </row>
    <row r="8" spans="1:16" x14ac:dyDescent="0.25">
      <c r="A8" s="29">
        <v>6</v>
      </c>
      <c r="B8" s="81" cm="1">
        <f t="array" aca="1" ref="B8" ca="1">INDIRECT($D$1&amp;"!k23")</f>
        <v>1044332</v>
      </c>
      <c r="C8" s="1">
        <v>1044332</v>
      </c>
      <c r="D8" s="30">
        <f t="shared" ca="1" si="0"/>
        <v>0</v>
      </c>
      <c r="E8" s="1"/>
      <c r="F8" s="30"/>
      <c r="G8" s="30"/>
      <c r="H8" s="62"/>
      <c r="I8" s="130"/>
      <c r="J8" s="41"/>
      <c r="K8" s="41"/>
      <c r="L8" s="42"/>
      <c r="M8" s="41"/>
      <c r="N8" s="41"/>
      <c r="O8" s="41"/>
      <c r="P8" s="43"/>
    </row>
    <row r="9" spans="1:16" x14ac:dyDescent="0.25">
      <c r="A9" s="29">
        <v>7</v>
      </c>
      <c r="B9" s="81" cm="1">
        <f t="array" aca="1" ref="B9" ca="1">INDIRECT($D$1&amp;"!k24")</f>
        <v>1012522</v>
      </c>
      <c r="C9" s="1">
        <v>1012522</v>
      </c>
      <c r="D9" s="30">
        <f t="shared" ca="1" si="0"/>
        <v>0</v>
      </c>
      <c r="E9" s="1"/>
      <c r="F9" s="30"/>
      <c r="G9" s="30"/>
      <c r="H9" s="62"/>
      <c r="I9" s="131"/>
      <c r="J9" s="44"/>
      <c r="K9" s="44"/>
      <c r="L9" s="45"/>
      <c r="M9" s="132" t="s">
        <v>18</v>
      </c>
      <c r="N9" s="132"/>
      <c r="O9" s="132"/>
      <c r="P9" s="133"/>
    </row>
    <row r="10" spans="1:16" x14ac:dyDescent="0.25">
      <c r="A10" s="29">
        <v>8</v>
      </c>
      <c r="B10" s="81" cm="1">
        <f t="array" aca="1" ref="B10" ca="1">INDIRECT($D$1&amp;"!k25")</f>
        <v>1152106</v>
      </c>
      <c r="C10" s="1">
        <v>1153635</v>
      </c>
      <c r="D10" s="30">
        <f t="shared" ca="1" si="0"/>
        <v>1529</v>
      </c>
      <c r="E10" s="1"/>
      <c r="F10" s="30"/>
      <c r="G10" s="30"/>
      <c r="H10" s="62"/>
      <c r="I10" s="143" t="s">
        <v>19</v>
      </c>
      <c r="J10" s="145"/>
      <c r="K10" s="143" t="s">
        <v>35</v>
      </c>
      <c r="L10" s="144"/>
      <c r="M10" s="46"/>
      <c r="N10" s="47" t="s">
        <v>36</v>
      </c>
      <c r="O10" s="47" t="s">
        <v>17</v>
      </c>
      <c r="P10" s="48" t="s">
        <v>29</v>
      </c>
    </row>
    <row r="11" spans="1:16" x14ac:dyDescent="0.25">
      <c r="A11" s="49"/>
      <c r="B11" s="50"/>
      <c r="C11" s="50"/>
      <c r="D11" s="51">
        <f t="shared" ref="D11:E11" ca="1" si="4">SUM(D3:D10)</f>
        <v>4103</v>
      </c>
      <c r="E11" s="51">
        <f t="shared" si="4"/>
        <v>0</v>
      </c>
      <c r="F11" s="51">
        <f ca="1">SUM(D3:D10)-SUM(E3:E10)</f>
        <v>4103</v>
      </c>
      <c r="G11" s="9">
        <v>950</v>
      </c>
      <c r="H11" s="86">
        <f ca="1">G11*F11</f>
        <v>3897850</v>
      </c>
      <c r="I11" s="53" t="e" cm="1">
        <f t="array" aca="1" ref="I11" ca="1">INDIRECT("LODGEMENT"&amp;"!F3")</f>
        <v>#REF!</v>
      </c>
      <c r="J11" s="7">
        <v>2010654</v>
      </c>
      <c r="K11" s="53" t="s">
        <v>37</v>
      </c>
      <c r="L11" s="7">
        <f>E11</f>
        <v>0</v>
      </c>
      <c r="M11" s="54" t="s">
        <v>7</v>
      </c>
      <c r="N11" s="55">
        <f>E11+E26+M26-L11-L14-L15-L16</f>
        <v>0</v>
      </c>
      <c r="O11" s="56">
        <f ca="1">F11+F26+N26</f>
        <v>5758</v>
      </c>
      <c r="P11" s="57">
        <f ca="1">H11+H26+P26</f>
        <v>5594225</v>
      </c>
    </row>
    <row r="12" spans="1:16" ht="15.75" customHeight="1" x14ac:dyDescent="0.25">
      <c r="A12" s="58" t="s">
        <v>38</v>
      </c>
      <c r="B12" s="87" cm="1">
        <f t="array" aca="1" ref="B12" ca="1">INDIRECT($D$1&amp;"!k27")</f>
        <v>306298</v>
      </c>
      <c r="C12" s="2">
        <v>306333</v>
      </c>
      <c r="D12" s="30">
        <f t="shared" ref="D12:D13" ca="1" si="5">C12-B12</f>
        <v>35</v>
      </c>
      <c r="E12" s="2"/>
      <c r="F12" s="56"/>
      <c r="G12" s="56"/>
      <c r="H12" s="57"/>
      <c r="I12" s="53" t="e" cm="1">
        <f t="array" aca="1" ref="I12" ca="1">INDIRECT("LODGEMENT"&amp;"!G3")</f>
        <v>#REF!</v>
      </c>
      <c r="J12" s="7">
        <v>1519664</v>
      </c>
      <c r="K12" s="53" t="s">
        <v>39</v>
      </c>
      <c r="L12" s="7">
        <v>32</v>
      </c>
      <c r="M12" s="60" t="s">
        <v>8</v>
      </c>
      <c r="N12" s="61">
        <f>E14+E29+M29-L12-L13</f>
        <v>0</v>
      </c>
      <c r="O12" s="30">
        <f ca="1">F14+F29+N29</f>
        <v>461</v>
      </c>
      <c r="P12" s="62">
        <f ca="1">H14+H29+P29</f>
        <v>623300</v>
      </c>
    </row>
    <row r="13" spans="1:16" ht="15.75" customHeight="1" thickBot="1" x14ac:dyDescent="0.3">
      <c r="A13" s="29">
        <v>2</v>
      </c>
      <c r="B13" s="87" cm="1">
        <f t="array" aca="1" ref="B13" ca="1">INDIRECT($D$1&amp;"!k28")</f>
        <v>256742</v>
      </c>
      <c r="C13" s="2">
        <v>256900</v>
      </c>
      <c r="D13" s="30">
        <f t="shared" ca="1" si="5"/>
        <v>158</v>
      </c>
      <c r="E13" s="1">
        <v>25</v>
      </c>
      <c r="F13" s="30"/>
      <c r="G13" s="30"/>
      <c r="H13" s="62"/>
      <c r="I13" s="53" t="e" cm="1">
        <f t="array" aca="1" ref="I13" ca="1">INDIRECT("LODGEMENT"&amp;"!H3")</f>
        <v>#REF!</v>
      </c>
      <c r="J13" s="7">
        <v>1700622</v>
      </c>
      <c r="K13" s="53" t="s">
        <v>16</v>
      </c>
      <c r="L13" s="7"/>
      <c r="M13" s="63" t="s">
        <v>9</v>
      </c>
      <c r="N13" s="64">
        <f>E17+E32+M32</f>
        <v>0</v>
      </c>
      <c r="O13" s="65">
        <f ca="1">F17+F32+N32</f>
        <v>0</v>
      </c>
      <c r="P13" s="66">
        <f ca="1">H17+H32+P32</f>
        <v>0</v>
      </c>
    </row>
    <row r="14" spans="1:16" ht="15.75" customHeight="1" x14ac:dyDescent="0.25">
      <c r="A14" s="49"/>
      <c r="B14" s="50"/>
      <c r="C14" s="50"/>
      <c r="D14" s="51">
        <f ca="1">SUM(D12:D13)</f>
        <v>193</v>
      </c>
      <c r="E14" s="51">
        <f>SUM(E12:E13)</f>
        <v>25</v>
      </c>
      <c r="F14" s="51">
        <f ca="1">SUM(D12:D13)-SUM(E12:E13)</f>
        <v>168</v>
      </c>
      <c r="G14" s="9">
        <v>1200</v>
      </c>
      <c r="H14" s="86">
        <f ca="1">G14*F14</f>
        <v>201600</v>
      </c>
      <c r="I14" s="53" t="e" cm="1">
        <f t="array" aca="1" ref="I14" ca="1">INDIRECT("LODGEMENT"&amp;"!I3")</f>
        <v>#REF!</v>
      </c>
      <c r="J14" s="7"/>
      <c r="K14" s="53" t="s">
        <v>40</v>
      </c>
      <c r="L14" s="7"/>
      <c r="M14" s="67"/>
      <c r="N14" s="68" t="s">
        <v>41</v>
      </c>
      <c r="O14" s="139">
        <f ca="1">SUM(P11:P13)</f>
        <v>6217525</v>
      </c>
      <c r="P14" s="140"/>
    </row>
    <row r="15" spans="1:16" ht="15.75" customHeight="1" x14ac:dyDescent="0.25">
      <c r="A15" s="58" t="s">
        <v>42</v>
      </c>
      <c r="B15" s="87" cm="1">
        <f t="array" aca="1" ref="B15" ca="1">INDIRECT($D$1&amp;"!k30")</f>
        <v>70080</v>
      </c>
      <c r="C15" s="2">
        <f ca="1">B15</f>
        <v>70080</v>
      </c>
      <c r="D15" s="30">
        <f t="shared" ref="D15:D16" ca="1" si="6">C15-B15</f>
        <v>0</v>
      </c>
      <c r="E15" s="2"/>
      <c r="F15" s="56"/>
      <c r="G15" s="56"/>
      <c r="H15" s="57"/>
      <c r="I15" s="53" t="e" cm="1">
        <f t="array" aca="1" ref="I15" ca="1">INDIRECT("LODGEMENT"&amp;"!J3")</f>
        <v>#REF!</v>
      </c>
      <c r="J15" s="7"/>
      <c r="K15" s="53" t="s">
        <v>43</v>
      </c>
      <c r="L15" s="7"/>
      <c r="M15" s="69"/>
      <c r="N15" s="70" t="s">
        <v>44</v>
      </c>
      <c r="O15" s="141">
        <f>SUM(J11:J16)</f>
        <v>5230940</v>
      </c>
      <c r="P15" s="142"/>
    </row>
    <row r="16" spans="1:16" ht="15.75" customHeight="1" thickBot="1" x14ac:dyDescent="0.3">
      <c r="A16" s="29">
        <v>2</v>
      </c>
      <c r="B16" s="87" cm="1">
        <f t="array" aca="1" ref="B16" ca="1">INDIRECT($D$1&amp;"!k31")</f>
        <v>98301</v>
      </c>
      <c r="C16" s="2">
        <f ca="1">B16</f>
        <v>98301</v>
      </c>
      <c r="D16" s="30">
        <f t="shared" ca="1" si="6"/>
        <v>0</v>
      </c>
      <c r="E16" s="1"/>
      <c r="F16" s="30"/>
      <c r="G16" s="30"/>
      <c r="H16" s="62"/>
      <c r="I16" s="71" t="e" cm="1">
        <f t="array" aca="1" ref="I16" ca="1">INDIRECT("LODGEMENT"&amp;"!k3")</f>
        <v>#REF!</v>
      </c>
      <c r="J16" s="8"/>
      <c r="K16" s="71" t="s">
        <v>15</v>
      </c>
      <c r="L16" s="8"/>
      <c r="M16" s="72"/>
      <c r="N16" s="73" t="s">
        <v>45</v>
      </c>
      <c r="O16" s="134">
        <f ca="1">O14-O15</f>
        <v>986585</v>
      </c>
      <c r="P16" s="135"/>
    </row>
    <row r="17" spans="1:16" ht="15.75" customHeight="1" thickBot="1" x14ac:dyDescent="0.3">
      <c r="A17" s="74"/>
      <c r="B17" s="75"/>
      <c r="C17" s="75"/>
      <c r="D17" s="76">
        <f ca="1">SUM(D15:D16)</f>
        <v>0</v>
      </c>
      <c r="E17" s="76">
        <f>SUM(E15:E16)</f>
        <v>0</v>
      </c>
      <c r="F17" s="76">
        <f ca="1">SUM(D15:D16)-SUM(E15:E16)</f>
        <v>0</v>
      </c>
      <c r="G17" s="10"/>
      <c r="H17" s="77">
        <f ca="1">G17*F17</f>
        <v>0</v>
      </c>
      <c r="I17" s="78"/>
      <c r="J17" s="79"/>
      <c r="K17" s="79"/>
      <c r="L17" s="79"/>
      <c r="M17" s="79"/>
      <c r="N17" s="79"/>
      <c r="O17" s="79"/>
      <c r="P17" s="80"/>
    </row>
    <row r="18" spans="1:16" ht="15.75" customHeight="1" x14ac:dyDescent="0.25">
      <c r="A18" s="29" t="s">
        <v>12</v>
      </c>
      <c r="B18" s="81">
        <f t="shared" ref="B18:B25" si="7">C3</f>
        <v>947628</v>
      </c>
      <c r="C18" s="1">
        <f>947748</f>
        <v>947748</v>
      </c>
      <c r="D18" s="30">
        <f t="shared" ref="D18:D25" si="8">C18-B18</f>
        <v>120</v>
      </c>
      <c r="E18" s="1"/>
      <c r="F18" s="30"/>
      <c r="G18" s="30"/>
      <c r="H18" s="62"/>
      <c r="I18" s="82" t="s">
        <v>12</v>
      </c>
      <c r="J18" s="83">
        <f t="shared" ref="J18:J25" si="9">C18</f>
        <v>947748</v>
      </c>
      <c r="K18" s="6">
        <f t="shared" ref="K18:K25" si="10">J18</f>
        <v>947748</v>
      </c>
      <c r="L18" s="84">
        <f t="shared" ref="L18:L25" si="11">K18-J18</f>
        <v>0</v>
      </c>
      <c r="M18" s="6"/>
      <c r="N18" s="84"/>
      <c r="O18" s="84"/>
      <c r="P18" s="85"/>
    </row>
    <row r="19" spans="1:16" ht="15.75" customHeight="1" x14ac:dyDescent="0.25">
      <c r="A19" s="29">
        <v>2</v>
      </c>
      <c r="B19" s="81">
        <f t="shared" si="7"/>
        <v>913374</v>
      </c>
      <c r="C19" s="1">
        <f>913374</f>
        <v>913374</v>
      </c>
      <c r="D19" s="30">
        <f t="shared" si="8"/>
        <v>0</v>
      </c>
      <c r="E19" s="1"/>
      <c r="F19" s="30"/>
      <c r="G19" s="30"/>
      <c r="H19" s="62"/>
      <c r="I19" s="29">
        <v>2</v>
      </c>
      <c r="J19" s="81">
        <f t="shared" si="9"/>
        <v>913374</v>
      </c>
      <c r="K19" s="1">
        <f t="shared" si="10"/>
        <v>913374</v>
      </c>
      <c r="L19" s="30">
        <f t="shared" si="11"/>
        <v>0</v>
      </c>
      <c r="M19" s="1"/>
      <c r="N19" s="30"/>
      <c r="O19" s="30"/>
      <c r="P19" s="62"/>
    </row>
    <row r="20" spans="1:16" ht="15.75" customHeight="1" x14ac:dyDescent="0.25">
      <c r="A20" s="29">
        <v>3</v>
      </c>
      <c r="B20" s="81">
        <f t="shared" si="7"/>
        <v>1370607</v>
      </c>
      <c r="C20" s="1">
        <f>1371332</f>
        <v>1371332</v>
      </c>
      <c r="D20" s="30">
        <f t="shared" si="8"/>
        <v>725</v>
      </c>
      <c r="E20" s="1"/>
      <c r="F20" s="30"/>
      <c r="G20" s="30"/>
      <c r="H20" s="62"/>
      <c r="I20" s="29">
        <v>3</v>
      </c>
      <c r="J20" s="81">
        <f t="shared" si="9"/>
        <v>1371332</v>
      </c>
      <c r="K20" s="1">
        <f t="shared" si="10"/>
        <v>1371332</v>
      </c>
      <c r="L20" s="30">
        <f t="shared" si="11"/>
        <v>0</v>
      </c>
      <c r="M20" s="1"/>
      <c r="N20" s="30"/>
      <c r="O20" s="30"/>
      <c r="P20" s="62"/>
    </row>
    <row r="21" spans="1:16" ht="15.75" customHeight="1" x14ac:dyDescent="0.25">
      <c r="A21" s="29">
        <v>4</v>
      </c>
      <c r="B21" s="81">
        <f t="shared" si="7"/>
        <v>1151178</v>
      </c>
      <c r="C21" s="1">
        <f>1151178</f>
        <v>1151178</v>
      </c>
      <c r="D21" s="30">
        <f t="shared" si="8"/>
        <v>0</v>
      </c>
      <c r="E21" s="1"/>
      <c r="F21" s="30"/>
      <c r="G21" s="30"/>
      <c r="H21" s="62"/>
      <c r="I21" s="29">
        <v>4</v>
      </c>
      <c r="J21" s="81">
        <f t="shared" si="9"/>
        <v>1151178</v>
      </c>
      <c r="K21" s="1">
        <f t="shared" si="10"/>
        <v>1151178</v>
      </c>
      <c r="L21" s="30">
        <f t="shared" si="11"/>
        <v>0</v>
      </c>
      <c r="M21" s="1"/>
      <c r="N21" s="30"/>
      <c r="O21" s="30"/>
      <c r="P21" s="62"/>
    </row>
    <row r="22" spans="1:16" ht="15.75" customHeight="1" x14ac:dyDescent="0.25">
      <c r="A22" s="29">
        <v>5</v>
      </c>
      <c r="B22" s="81">
        <f t="shared" si="7"/>
        <v>1215271</v>
      </c>
      <c r="C22" s="1">
        <f t="shared" ref="C22" si="12">B22</f>
        <v>1215271</v>
      </c>
      <c r="D22" s="30">
        <f t="shared" si="8"/>
        <v>0</v>
      </c>
      <c r="E22" s="1"/>
      <c r="F22" s="30"/>
      <c r="G22" s="30"/>
      <c r="H22" s="62"/>
      <c r="I22" s="29">
        <v>5</v>
      </c>
      <c r="J22" s="81">
        <f t="shared" si="9"/>
        <v>1215271</v>
      </c>
      <c r="K22" s="1">
        <f t="shared" si="10"/>
        <v>1215271</v>
      </c>
      <c r="L22" s="30">
        <f t="shared" si="11"/>
        <v>0</v>
      </c>
      <c r="M22" s="1"/>
      <c r="N22" s="30"/>
      <c r="O22" s="30"/>
      <c r="P22" s="62"/>
    </row>
    <row r="23" spans="1:16" ht="15.75" customHeight="1" x14ac:dyDescent="0.25">
      <c r="A23" s="29">
        <v>6</v>
      </c>
      <c r="B23" s="81">
        <f t="shared" si="7"/>
        <v>1044332</v>
      </c>
      <c r="C23" s="1">
        <f>1044332</f>
        <v>1044332</v>
      </c>
      <c r="D23" s="30">
        <f t="shared" si="8"/>
        <v>0</v>
      </c>
      <c r="E23" s="1"/>
      <c r="F23" s="30"/>
      <c r="G23" s="30"/>
      <c r="H23" s="62"/>
      <c r="I23" s="29">
        <v>6</v>
      </c>
      <c r="J23" s="81">
        <f t="shared" si="9"/>
        <v>1044332</v>
      </c>
      <c r="K23" s="1">
        <f t="shared" si="10"/>
        <v>1044332</v>
      </c>
      <c r="L23" s="30">
        <f t="shared" si="11"/>
        <v>0</v>
      </c>
      <c r="M23" s="1"/>
      <c r="N23" s="30"/>
      <c r="O23" s="30"/>
      <c r="P23" s="62"/>
    </row>
    <row r="24" spans="1:16" ht="15.75" customHeight="1" x14ac:dyDescent="0.25">
      <c r="A24" s="29">
        <v>7</v>
      </c>
      <c r="B24" s="81">
        <f t="shared" si="7"/>
        <v>1012522</v>
      </c>
      <c r="C24" s="1">
        <v>1012522</v>
      </c>
      <c r="D24" s="30">
        <f t="shared" si="8"/>
        <v>0</v>
      </c>
      <c r="E24" s="1"/>
      <c r="F24" s="30"/>
      <c r="G24" s="30"/>
      <c r="H24" s="62"/>
      <c r="I24" s="29">
        <v>7</v>
      </c>
      <c r="J24" s="81">
        <f t="shared" si="9"/>
        <v>1012522</v>
      </c>
      <c r="K24" s="1">
        <f t="shared" si="10"/>
        <v>1012522</v>
      </c>
      <c r="L24" s="30">
        <f t="shared" si="11"/>
        <v>0</v>
      </c>
      <c r="M24" s="1"/>
      <c r="N24" s="30"/>
      <c r="O24" s="30"/>
      <c r="P24" s="62"/>
    </row>
    <row r="25" spans="1:16" ht="15.75" customHeight="1" x14ac:dyDescent="0.25">
      <c r="A25" s="29">
        <v>8</v>
      </c>
      <c r="B25" s="81">
        <f t="shared" si="7"/>
        <v>1153635</v>
      </c>
      <c r="C25" s="1">
        <f>1154445</f>
        <v>1154445</v>
      </c>
      <c r="D25" s="30">
        <f t="shared" si="8"/>
        <v>810</v>
      </c>
      <c r="E25" s="1"/>
      <c r="F25" s="30"/>
      <c r="G25" s="30"/>
      <c r="H25" s="62"/>
      <c r="I25" s="29">
        <v>8</v>
      </c>
      <c r="J25" s="81">
        <f t="shared" si="9"/>
        <v>1154445</v>
      </c>
      <c r="K25" s="1">
        <f t="shared" si="10"/>
        <v>1154445</v>
      </c>
      <c r="L25" s="30">
        <f t="shared" si="11"/>
        <v>0</v>
      </c>
      <c r="M25" s="1"/>
      <c r="N25" s="30"/>
      <c r="O25" s="30"/>
      <c r="P25" s="62"/>
    </row>
    <row r="26" spans="1:16" ht="15.75" customHeight="1" x14ac:dyDescent="0.25">
      <c r="A26" s="49"/>
      <c r="B26" s="50"/>
      <c r="C26" s="50"/>
      <c r="D26" s="51">
        <f t="shared" ref="D26:E26" si="13">SUM(D18:D25)</f>
        <v>1655</v>
      </c>
      <c r="E26" s="51">
        <f t="shared" si="13"/>
        <v>0</v>
      </c>
      <c r="F26" s="51">
        <f>SUM(D18:D25)-SUM(E18:E25)</f>
        <v>1655</v>
      </c>
      <c r="G26" s="9">
        <v>1025</v>
      </c>
      <c r="H26" s="86">
        <f>G26*F26</f>
        <v>1696375</v>
      </c>
      <c r="I26" s="49"/>
      <c r="J26" s="50"/>
      <c r="K26" s="50"/>
      <c r="L26" s="51">
        <f t="shared" ref="L26:M26" si="14">SUM(L18:L25)</f>
        <v>0</v>
      </c>
      <c r="M26" s="51">
        <f t="shared" si="14"/>
        <v>0</v>
      </c>
      <c r="N26" s="51">
        <f>SUM(L18:L25)-SUM(M18:M25)</f>
        <v>0</v>
      </c>
      <c r="O26" s="9">
        <v>0</v>
      </c>
      <c r="P26" s="86">
        <f>O26*N26</f>
        <v>0</v>
      </c>
    </row>
    <row r="27" spans="1:16" ht="15.75" customHeight="1" x14ac:dyDescent="0.25">
      <c r="A27" s="58" t="s">
        <v>38</v>
      </c>
      <c r="B27" s="87">
        <f>C12</f>
        <v>306333</v>
      </c>
      <c r="C27" s="2">
        <v>306359</v>
      </c>
      <c r="D27" s="30">
        <f t="shared" ref="D27:D28" si="15">C27-B27</f>
        <v>26</v>
      </c>
      <c r="E27" s="2"/>
      <c r="F27" s="56"/>
      <c r="G27" s="56"/>
      <c r="H27" s="57"/>
      <c r="I27" s="58" t="s">
        <v>38</v>
      </c>
      <c r="J27" s="87">
        <f>C27</f>
        <v>306359</v>
      </c>
      <c r="K27" s="2">
        <v>306590</v>
      </c>
      <c r="L27" s="30">
        <f t="shared" ref="L27:L28" si="16">K27-J27</f>
        <v>231</v>
      </c>
      <c r="M27" s="2">
        <v>7</v>
      </c>
      <c r="N27" s="56"/>
      <c r="O27" s="56"/>
      <c r="P27" s="57"/>
    </row>
    <row r="28" spans="1:16" ht="15.75" customHeight="1" x14ac:dyDescent="0.25">
      <c r="A28" s="29">
        <v>2</v>
      </c>
      <c r="B28" s="81">
        <f>C13</f>
        <v>256900</v>
      </c>
      <c r="C28" s="2">
        <v>256937</v>
      </c>
      <c r="D28" s="30">
        <f t="shared" si="15"/>
        <v>37</v>
      </c>
      <c r="E28" s="1"/>
      <c r="F28" s="30"/>
      <c r="G28" s="30"/>
      <c r="H28" s="62"/>
      <c r="I28" s="29">
        <v>2</v>
      </c>
      <c r="J28" s="81">
        <f>C28</f>
        <v>256937</v>
      </c>
      <c r="K28" s="1">
        <v>256943</v>
      </c>
      <c r="L28" s="30">
        <f t="shared" si="16"/>
        <v>6</v>
      </c>
      <c r="M28" s="1">
        <v>0</v>
      </c>
      <c r="N28" s="30"/>
      <c r="O28" s="30"/>
      <c r="P28" s="62"/>
    </row>
    <row r="29" spans="1:16" ht="15.75" customHeight="1" x14ac:dyDescent="0.25">
      <c r="A29" s="49"/>
      <c r="B29" s="50"/>
      <c r="C29" s="50"/>
      <c r="D29" s="51">
        <f>SUM(D27:D28)</f>
        <v>63</v>
      </c>
      <c r="E29" s="51">
        <f>SUM(E27:E28)</f>
        <v>0</v>
      </c>
      <c r="F29" s="51">
        <f>SUM(D27:D28)-SUM(E27:E28)</f>
        <v>63</v>
      </c>
      <c r="G29" s="9">
        <v>1400</v>
      </c>
      <c r="H29" s="86">
        <f>G29*F29</f>
        <v>88200</v>
      </c>
      <c r="I29" s="49"/>
      <c r="J29" s="50"/>
      <c r="K29" s="50"/>
      <c r="L29" s="51">
        <f>SUM(L27:L28)</f>
        <v>237</v>
      </c>
      <c r="M29" s="51">
        <f>SUM(M27:M28)</f>
        <v>7</v>
      </c>
      <c r="N29" s="51">
        <f>SUM(L27:L28)-SUM(M27:M28)</f>
        <v>230</v>
      </c>
      <c r="O29" s="9">
        <v>1450</v>
      </c>
      <c r="P29" s="86">
        <f>O29*N29</f>
        <v>333500</v>
      </c>
    </row>
    <row r="30" spans="1:16" ht="15.75" customHeight="1" x14ac:dyDescent="0.25">
      <c r="A30" s="58" t="s">
        <v>42</v>
      </c>
      <c r="B30" s="87">
        <f ca="1">C15</f>
        <v>70080</v>
      </c>
      <c r="C30" s="2">
        <f ca="1">B30</f>
        <v>70080</v>
      </c>
      <c r="D30" s="30">
        <f t="shared" ref="D30:D31" ca="1" si="17">C30-B30</f>
        <v>0</v>
      </c>
      <c r="E30" s="2"/>
      <c r="F30" s="56"/>
      <c r="G30" s="56"/>
      <c r="H30" s="57"/>
      <c r="I30" s="58" t="s">
        <v>42</v>
      </c>
      <c r="J30" s="87">
        <f ca="1">C30</f>
        <v>70080</v>
      </c>
      <c r="K30" s="2">
        <f ca="1">J30</f>
        <v>70080</v>
      </c>
      <c r="L30" s="30">
        <f t="shared" ref="L30:L31" ca="1" si="18">K30-J30</f>
        <v>0</v>
      </c>
      <c r="M30" s="2"/>
      <c r="N30" s="56"/>
      <c r="O30" s="56"/>
      <c r="P30" s="57"/>
    </row>
    <row r="31" spans="1:16" ht="15.75" customHeight="1" x14ac:dyDescent="0.25">
      <c r="A31" s="29">
        <v>2</v>
      </c>
      <c r="B31" s="81">
        <f ca="1">C16</f>
        <v>98301</v>
      </c>
      <c r="C31" s="1">
        <f ca="1">B31</f>
        <v>98301</v>
      </c>
      <c r="D31" s="30">
        <f t="shared" ca="1" si="17"/>
        <v>0</v>
      </c>
      <c r="E31" s="1"/>
      <c r="F31" s="30"/>
      <c r="G31" s="30"/>
      <c r="H31" s="62"/>
      <c r="I31" s="29">
        <v>2</v>
      </c>
      <c r="J31" s="81">
        <f ca="1">C31</f>
        <v>98301</v>
      </c>
      <c r="K31" s="1">
        <f ca="1">J31</f>
        <v>98301</v>
      </c>
      <c r="L31" s="30">
        <f t="shared" ca="1" si="18"/>
        <v>0</v>
      </c>
      <c r="M31" s="1"/>
      <c r="N31" s="30"/>
      <c r="O31" s="30"/>
      <c r="P31" s="62"/>
    </row>
    <row r="32" spans="1:16" ht="15.75" customHeight="1" thickBot="1" x14ac:dyDescent="0.3">
      <c r="A32" s="74"/>
      <c r="B32" s="75"/>
      <c r="C32" s="75"/>
      <c r="D32" s="76">
        <f ca="1">SUM(D30:D31)</f>
        <v>0</v>
      </c>
      <c r="E32" s="76">
        <f>SUM(E30:E31)</f>
        <v>0</v>
      </c>
      <c r="F32" s="76">
        <f ca="1">SUM(D30:D31)-SUM(E30:E31)</f>
        <v>0</v>
      </c>
      <c r="G32" s="10">
        <v>0</v>
      </c>
      <c r="H32" s="77">
        <f ca="1">G32*F32</f>
        <v>0</v>
      </c>
      <c r="I32" s="74"/>
      <c r="J32" s="75"/>
      <c r="K32" s="75"/>
      <c r="L32" s="76">
        <f ca="1">SUM(L30:L31)</f>
        <v>0</v>
      </c>
      <c r="M32" s="76">
        <f>SUM(M30:M31)</f>
        <v>0</v>
      </c>
      <c r="N32" s="76">
        <f ca="1">SUM(L30:L31)-SUM(M30:M31)</f>
        <v>0</v>
      </c>
      <c r="O32" s="10">
        <v>0</v>
      </c>
      <c r="P32" s="77">
        <f ca="1">O32*N32</f>
        <v>0</v>
      </c>
    </row>
    <row r="33" spans="1:16" ht="15.75" customHeight="1" thickBot="1" x14ac:dyDescent="0.3">
      <c r="A33" s="136" t="s">
        <v>46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8"/>
    </row>
    <row r="34" spans="1:16" ht="15.75" customHeight="1" x14ac:dyDescent="0.25"/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</sheetData>
  <sheetProtection algorithmName="SHA-512" hashValue="CVvM4I/DEwYrNwqDu/F4NeaPXr6YFCS7ciEdIrFGhXRubIsWpseL6d+eBKMWnV9l0dA2JBvkvm8o9xwJ9fTurQ==" saltValue="ADurzUsdGjtk5VXAZepZ0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/>
  </hyperlinks>
  <pageMargins left="0.7" right="0.7" top="0.75" bottom="0.75" header="0" footer="0"/>
  <pageSetup paperSize="9" scale="5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AUDIT REPORT</vt:lpstr>
      <vt:lpstr>1</vt:lpstr>
      <vt:lpstr>2</vt:lpstr>
      <vt:lpstr>3</vt:lpstr>
      <vt:lpstr>4</vt:lpstr>
      <vt:lpstr>5</vt:lpstr>
      <vt:lpstr>6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Ugochukwu Esegbue</dc:creator>
  <cp:keywords/>
  <dc:description/>
  <cp:lastModifiedBy>user</cp:lastModifiedBy>
  <cp:revision/>
  <dcterms:created xsi:type="dcterms:W3CDTF">2023-06-08T07:56:40Z</dcterms:created>
  <dcterms:modified xsi:type="dcterms:W3CDTF">2026-03-12T10:48:02Z</dcterms:modified>
  <cp:category/>
  <cp:contentStatus/>
</cp:coreProperties>
</file>