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5600" windowHeight="11760"/>
  </bookViews>
  <sheets>
    <sheet name="Sheet1" sheetId="1" r:id="rId1"/>
  </sheets>
  <calcPr calcId="144525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9" i="1" l="1"/>
  <c r="H37" i="1" s="1"/>
</calcChain>
</file>

<file path=xl/sharedStrings.xml><?xml version="1.0" encoding="utf-8"?>
<sst xmlns="http://schemas.openxmlformats.org/spreadsheetml/2006/main" count="62" uniqueCount="59">
  <si>
    <r>
      <t xml:space="preserve">
Rainoil Limited
</t>
    </r>
    <r>
      <rPr>
        <sz val="12"/>
        <color indexed="56"/>
        <rFont val="Corbel"/>
        <family val="2"/>
      </rPr>
      <t>50B Abba Johnson Crescent,
Akora Estate, Off Adeniyi Jones Avenue, Ikeja.
Tel: 0706 302 9061, 0706 300 1146</t>
    </r>
    <r>
      <rPr>
        <b/>
        <sz val="12"/>
        <color indexed="56"/>
        <rFont val="Corbel"/>
        <family val="2"/>
      </rPr>
      <t xml:space="preserve">
</t>
    </r>
  </si>
  <si>
    <t>PETTY CASH REPLENISHMENT FORM</t>
  </si>
  <si>
    <t>Name of Petty Cash Custodian</t>
  </si>
  <si>
    <t>Date</t>
  </si>
  <si>
    <t>DL 01</t>
  </si>
  <si>
    <t>Form Number</t>
  </si>
  <si>
    <t>S/N</t>
  </si>
  <si>
    <t>Date
(dd-mm-yy)</t>
  </si>
  <si>
    <t>Beneficiary Name</t>
  </si>
  <si>
    <t>Transaction Details</t>
  </si>
  <si>
    <t>Amount (N)</t>
  </si>
  <si>
    <t>Account Code</t>
  </si>
  <si>
    <t>PCV Number</t>
  </si>
  <si>
    <t>Paid By:</t>
  </si>
  <si>
    <t>Name</t>
  </si>
  <si>
    <t>Signature</t>
  </si>
  <si>
    <t>Date (dd/mm/yy)</t>
  </si>
  <si>
    <t>]'</t>
  </si>
  <si>
    <t xml:space="preserve">ou   </t>
  </si>
  <si>
    <t>Destiny ikuewan</t>
  </si>
  <si>
    <t>IROGUE PRECIOUS TORISHEMUGBENE</t>
  </si>
  <si>
    <t>LUCKY WAY STATIO</t>
  </si>
  <si>
    <t>IROGUE PRECIOUS T.</t>
  </si>
  <si>
    <t>30/05/2025</t>
  </si>
  <si>
    <t>IFEMMAS LINK</t>
  </si>
  <si>
    <t>CASHIER</t>
  </si>
  <si>
    <t>30/06/2025</t>
  </si>
  <si>
    <t>EIGHTY EIGHT THOUSAND, THREE HUNDRED NAIRA ONLY</t>
  </si>
  <si>
    <t>30/10/2025</t>
  </si>
  <si>
    <t>EKERSON STORES AND RECHARGE CARD</t>
  </si>
  <si>
    <t>RECHARGE CARD</t>
  </si>
  <si>
    <t>PAUL PRAISE</t>
  </si>
  <si>
    <t>DETTOL LIQUID &amp; TISSUE PAPER</t>
  </si>
  <si>
    <t>HIS FAVOUR INVESTMENT</t>
  </si>
  <si>
    <t>WASTE BIN, NYLON AND PACKER</t>
  </si>
  <si>
    <t>9/12/2025</t>
  </si>
  <si>
    <t>J-MART INTERNATIONAL</t>
  </si>
  <si>
    <t>SUNLIGHT DETERGENT</t>
  </si>
  <si>
    <t>A.K.E GREAT COMPUTER</t>
  </si>
  <si>
    <t>RUBBER BAND AND EXERCISE BOOK AND BIRO</t>
  </si>
  <si>
    <t>13/12/2025</t>
  </si>
  <si>
    <t>AMENSCO COMPUTER</t>
  </si>
  <si>
    <t>BIG CELLOTAPE AND TIPPEX</t>
  </si>
  <si>
    <t>17/12/2025</t>
  </si>
  <si>
    <t>IKE GOD BOOKSHOP</t>
  </si>
  <si>
    <t>BIG STAPLER AND STAPLE PIN</t>
  </si>
  <si>
    <t>MIRAVICO DYNAMIC VENTURES</t>
  </si>
  <si>
    <t>BALL NAPATHALENE/CAMPHOUR, HYPO AND AIR FRESHENER</t>
  </si>
  <si>
    <t>19/12/2025</t>
  </si>
  <si>
    <t>BUYING OF TAP HEAD, REPAIR OF TAP HEAD</t>
  </si>
  <si>
    <t>23/12/2025</t>
  </si>
  <si>
    <t>OGOR BEST BUSINESS ENTERPRISE</t>
  </si>
  <si>
    <t>HERBICIDE, REMOVAL OF GRASS, FORCE UP PRODUCT</t>
  </si>
  <si>
    <t>29/12/2025</t>
  </si>
  <si>
    <t>RABIU AND SADIKU</t>
  </si>
  <si>
    <t>CLEARING OF GREEN GRASS FOR THE MONTH OF NOVEMBER</t>
  </si>
  <si>
    <t>30/12/2025</t>
  </si>
  <si>
    <t>TRANSPORT FROM  BANK FOR THE MONTH OF NOVEMBER</t>
  </si>
  <si>
    <t>TRANSPORT FROM  BANK FOR THE MONTH OF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</si>
</sst>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409]d\-mmm\-yyyy;@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2060"/>
      <name val="Corbel"/>
      <family val="2"/>
    </font>
    <font>
      <sz val="12"/>
      <color indexed="56"/>
      <name val="Corbel"/>
      <family val="2"/>
    </font>
    <font>
      <b/>
      <sz val="12"/>
      <color indexed="56"/>
      <name val="Corbel"/>
      <family val="2"/>
    </font>
    <font>
      <b/>
      <sz val="12"/>
      <color rgb="FFFFFFFF"/>
      <name val="Corbel"/>
      <family val="2"/>
    </font>
    <font>
      <sz val="12"/>
      <name val="Corbel"/>
      <family val="2"/>
    </font>
    <font>
      <b/>
      <sz val="12"/>
      <name val="Corbel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u/>
      <sz val="12"/>
      <color indexed="8"/>
      <name val="Corbel"/>
      <family val="2"/>
    </font>
    <font>
      <sz val="10"/>
      <name val="Corbel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E3F3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2F2F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4">
    <xf numFmtId="0" fontId="0" fillId="0" borderId="0" xfId="0"/>
    <xf numFmtId="0" fontId="0" fillId="0" borderId="0" xfId="0" applyAlignment="1">
      <alignment vertical="center"/>
    </xf>
    <xf numFmtId="0" fontId="6" fillId="3" borderId="6" xfId="0" applyFont="1" applyFill="1" applyBorder="1" applyAlignment="1">
      <alignment vertical="center" wrapText="1"/>
    </xf>
    <xf numFmtId="0" fontId="7" fillId="5" borderId="0" xfId="0" applyFont="1" applyFill="1" applyAlignment="1">
      <alignment horizontal="left" vertical="center" wrapText="1"/>
    </xf>
    <xf numFmtId="15" fontId="6" fillId="3" borderId="2" xfId="0" applyNumberFormat="1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left" vertical="center" wrapText="1"/>
    </xf>
    <xf numFmtId="164" fontId="7" fillId="5" borderId="0" xfId="0" applyNumberFormat="1" applyFont="1" applyFill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vertical="center" wrapText="1"/>
    </xf>
    <xf numFmtId="0" fontId="7" fillId="5" borderId="7" xfId="0" applyFont="1" applyFill="1" applyBorder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6" fillId="4" borderId="0" xfId="0" applyFont="1" applyFill="1"/>
    <xf numFmtId="0" fontId="6" fillId="4" borderId="5" xfId="0" applyFont="1" applyFill="1" applyBorder="1"/>
    <xf numFmtId="0" fontId="6" fillId="4" borderId="5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vertical="center" wrapText="1"/>
    </xf>
    <xf numFmtId="0" fontId="6" fillId="0" borderId="18" xfId="0" applyFont="1" applyBorder="1" applyAlignment="1">
      <alignment horizontal="left" vertical="center" wrapText="1"/>
    </xf>
    <xf numFmtId="0" fontId="8" fillId="0" borderId="17" xfId="0" applyFont="1" applyBorder="1"/>
    <xf numFmtId="14" fontId="6" fillId="0" borderId="17" xfId="0" applyNumberFormat="1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 wrapText="1"/>
    </xf>
    <xf numFmtId="0" fontId="8" fillId="0" borderId="22" xfId="0" applyFont="1" applyBorder="1"/>
    <xf numFmtId="0" fontId="7" fillId="0" borderId="33" xfId="0" applyFont="1" applyBorder="1"/>
    <xf numFmtId="0" fontId="7" fillId="0" borderId="8" xfId="0" applyFont="1" applyBorder="1"/>
    <xf numFmtId="0" fontId="7" fillId="3" borderId="31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0" fontId="7" fillId="4" borderId="0" xfId="0" applyFont="1" applyFill="1" applyAlignment="1">
      <alignment vertical="center" wrapText="1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15" fontId="6" fillId="3" borderId="3" xfId="0" applyNumberFormat="1" applyFont="1" applyFill="1" applyBorder="1" applyAlignment="1">
      <alignment horizontal="center" vertical="center" wrapText="1"/>
    </xf>
    <xf numFmtId="14" fontId="6" fillId="0" borderId="18" xfId="0" applyNumberFormat="1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10" fillId="3" borderId="0" xfId="0" applyFont="1" applyFill="1" applyAlignment="1">
      <alignment horizontal="center"/>
    </xf>
    <xf numFmtId="14" fontId="6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7" fillId="3" borderId="1" xfId="0" applyFont="1" applyFill="1" applyBorder="1" applyAlignment="1">
      <alignment vertical="center" wrapText="1"/>
    </xf>
    <xf numFmtId="14" fontId="7" fillId="3" borderId="1" xfId="0" applyNumberFormat="1" applyFont="1" applyFill="1" applyBorder="1" applyAlignment="1">
      <alignment horizontal="left"/>
    </xf>
    <xf numFmtId="0" fontId="6" fillId="0" borderId="2" xfId="0" applyFont="1" applyBorder="1"/>
    <xf numFmtId="0" fontId="6" fillId="0" borderId="3" xfId="0" applyFont="1" applyBorder="1"/>
    <xf numFmtId="165" fontId="7" fillId="8" borderId="1" xfId="1" applyNumberFormat="1" applyFont="1" applyFill="1" applyBorder="1" applyAlignment="1" applyProtection="1">
      <alignment horizontal="center"/>
    </xf>
    <xf numFmtId="165" fontId="7" fillId="8" borderId="3" xfId="1" applyNumberFormat="1" applyFont="1" applyFill="1" applyBorder="1" applyAlignment="1" applyProtection="1">
      <alignment horizontal="center"/>
    </xf>
    <xf numFmtId="0" fontId="7" fillId="9" borderId="1" xfId="0" applyFont="1" applyFill="1" applyBorder="1" applyAlignment="1">
      <alignment vertical="center"/>
    </xf>
    <xf numFmtId="0" fontId="7" fillId="9" borderId="2" xfId="0" applyFont="1" applyFill="1" applyBorder="1" applyAlignment="1">
      <alignment vertical="center"/>
    </xf>
    <xf numFmtId="0" fontId="7" fillId="9" borderId="3" xfId="0" applyFont="1" applyFill="1" applyBorder="1" applyAlignment="1">
      <alignment vertical="center"/>
    </xf>
    <xf numFmtId="0" fontId="8" fillId="0" borderId="29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165" fontId="7" fillId="6" borderId="31" xfId="1" applyNumberFormat="1" applyFont="1" applyFill="1" applyBorder="1" applyAlignment="1" applyProtection="1">
      <alignment horizontal="center"/>
    </xf>
    <xf numFmtId="165" fontId="7" fillId="6" borderId="32" xfId="1" applyNumberFormat="1" applyFont="1" applyFill="1" applyBorder="1" applyAlignment="1" applyProtection="1">
      <alignment horizontal="center"/>
    </xf>
    <xf numFmtId="165" fontId="7" fillId="0" borderId="1" xfId="1" applyNumberFormat="1" applyFont="1" applyBorder="1" applyAlignment="1" applyProtection="1">
      <alignment horizontal="center"/>
    </xf>
    <xf numFmtId="165" fontId="7" fillId="0" borderId="3" xfId="1" applyNumberFormat="1" applyFont="1" applyBorder="1" applyAlignment="1" applyProtection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65" fontId="7" fillId="7" borderId="1" xfId="1" applyNumberFormat="1" applyFont="1" applyFill="1" applyBorder="1" applyAlignment="1" applyProtection="1">
      <alignment horizontal="center"/>
    </xf>
    <xf numFmtId="165" fontId="7" fillId="7" borderId="3" xfId="1" applyNumberFormat="1" applyFont="1" applyFill="1" applyBorder="1" applyAlignment="1" applyProtection="1">
      <alignment horizontal="center"/>
    </xf>
    <xf numFmtId="0" fontId="8" fillId="0" borderId="17" xfId="0" applyFont="1" applyBorder="1" applyAlignment="1">
      <alignment horizontal="left"/>
    </xf>
    <xf numFmtId="0" fontId="8" fillId="0" borderId="24" xfId="0" applyFont="1" applyBorder="1" applyAlignment="1">
      <alignment horizontal="right"/>
    </xf>
    <xf numFmtId="0" fontId="8" fillId="0" borderId="25" xfId="0" applyFont="1" applyBorder="1" applyAlignment="1">
      <alignment horizontal="right"/>
    </xf>
    <xf numFmtId="0" fontId="8" fillId="0" borderId="26" xfId="0" applyFont="1" applyBorder="1" applyAlignment="1">
      <alignment horizontal="right"/>
    </xf>
    <xf numFmtId="0" fontId="8" fillId="0" borderId="27" xfId="0" applyFont="1" applyBorder="1" applyAlignment="1">
      <alignment horizontal="right"/>
    </xf>
    <xf numFmtId="0" fontId="8" fillId="0" borderId="28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16" fontId="8" fillId="0" borderId="28" xfId="0" applyNumberFormat="1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3" fontId="8" fillId="0" borderId="24" xfId="0" applyNumberFormat="1" applyFont="1" applyBorder="1" applyAlignment="1">
      <alignment horizontal="right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16" fontId="8" fillId="0" borderId="23" xfId="0" applyNumberFormat="1" applyFont="1" applyBorder="1" applyAlignment="1">
      <alignment horizontal="center"/>
    </xf>
    <xf numFmtId="0" fontId="8" fillId="0" borderId="24" xfId="0" applyFont="1" applyBorder="1" applyAlignment="1">
      <alignment horizontal="left"/>
    </xf>
    <xf numFmtId="0" fontId="8" fillId="0" borderId="25" xfId="0" quotePrefix="1" applyFont="1" applyBorder="1" applyAlignment="1">
      <alignment horizontal="left"/>
    </xf>
    <xf numFmtId="0" fontId="8" fillId="0" borderId="26" xfId="0" quotePrefix="1" applyFont="1" applyBorder="1" applyAlignment="1">
      <alignment horizontal="left"/>
    </xf>
    <xf numFmtId="0" fontId="8" fillId="0" borderId="27" xfId="0" quotePrefix="1" applyFont="1" applyBorder="1" applyAlignment="1">
      <alignment horizontal="left"/>
    </xf>
    <xf numFmtId="0" fontId="6" fillId="0" borderId="21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3" fontId="6" fillId="0" borderId="21" xfId="0" applyNumberFormat="1" applyFont="1" applyBorder="1" applyAlignment="1">
      <alignment horizontal="right" vertical="center" wrapText="1"/>
    </xf>
    <xf numFmtId="3" fontId="6" fillId="0" borderId="22" xfId="0" applyNumberFormat="1" applyFont="1" applyBorder="1" applyAlignment="1">
      <alignment horizontal="right" vertical="center" wrapText="1"/>
    </xf>
    <xf numFmtId="0" fontId="9" fillId="0" borderId="17" xfId="0" applyFont="1" applyBorder="1"/>
    <xf numFmtId="0" fontId="6" fillId="0" borderId="17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right" vertical="center" wrapText="1"/>
    </xf>
    <xf numFmtId="3" fontId="6" fillId="0" borderId="19" xfId="0" applyNumberFormat="1" applyFont="1" applyBorder="1" applyAlignment="1">
      <alignment horizontal="right" vertical="center" wrapText="1"/>
    </xf>
    <xf numFmtId="3" fontId="6" fillId="0" borderId="20" xfId="0" applyNumberFormat="1" applyFont="1" applyBorder="1" applyAlignment="1">
      <alignment horizontal="right" vertical="center" wrapText="1"/>
    </xf>
    <xf numFmtId="3" fontId="6" fillId="0" borderId="34" xfId="0" applyNumberFormat="1" applyFont="1" applyBorder="1" applyAlignment="1">
      <alignment horizontal="right" vertical="center" wrapText="1"/>
    </xf>
    <xf numFmtId="0" fontId="6" fillId="0" borderId="20" xfId="0" applyFont="1" applyBorder="1" applyAlignment="1">
      <alignment horizontal="left" vertical="center" wrapText="1"/>
    </xf>
    <xf numFmtId="3" fontId="6" fillId="0" borderId="10" xfId="0" applyNumberFormat="1" applyFont="1" applyBorder="1" applyAlignment="1">
      <alignment horizontal="right" vertical="center" wrapText="1"/>
    </xf>
    <xf numFmtId="0" fontId="7" fillId="5" borderId="1" xfId="0" applyFont="1" applyFill="1" applyBorder="1" applyAlignment="1">
      <alignment horizontal="left" vertical="center" wrapText="1" indent="1"/>
    </xf>
    <xf numFmtId="0" fontId="7" fillId="5" borderId="2" xfId="0" applyFont="1" applyFill="1" applyBorder="1" applyAlignment="1">
      <alignment horizontal="left" vertical="center" wrapText="1" indent="1"/>
    </xf>
    <xf numFmtId="0" fontId="7" fillId="5" borderId="3" xfId="0" applyFont="1" applyFill="1" applyBorder="1" applyAlignment="1">
      <alignment horizontal="left" vertical="center" wrapText="1" inden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vertical="center" wrapText="1"/>
    </xf>
    <xf numFmtId="164" fontId="7" fillId="0" borderId="3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3" fontId="6" fillId="0" borderId="35" xfId="0" applyNumberFormat="1" applyFont="1" applyBorder="1" applyAlignment="1">
      <alignment horizontal="right" vertical="center" wrapText="1"/>
    </xf>
    <xf numFmtId="0" fontId="6" fillId="0" borderId="19" xfId="0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"/>
  <sheetViews>
    <sheetView tabSelected="1" topLeftCell="A11" zoomScale="90" zoomScaleNormal="90" workbookViewId="0">
      <selection activeCell="E22" sqref="E22:F22"/>
    </sheetView>
  </sheetViews>
  <sheetFormatPr defaultColWidth="9" defaultRowHeight="15" x14ac:dyDescent="0.25"/>
  <cols>
    <col min="1" max="1" width="7.28515625" style="1" customWidth="1"/>
    <col min="2" max="2" width="11.28515625" style="1" customWidth="1"/>
    <col min="3" max="3" width="6.7109375" style="1" customWidth="1"/>
    <col min="4" max="4" width="29.28515625" style="1" customWidth="1"/>
    <col min="5" max="5" width="9.140625" style="1" customWidth="1"/>
    <col min="6" max="6" width="80.7109375" style="1" customWidth="1"/>
    <col min="7" max="7" width="9" style="1"/>
    <col min="8" max="8" width="7.85546875" style="1" customWidth="1"/>
    <col min="9" max="9" width="6" style="1" customWidth="1"/>
    <col min="10" max="10" width="5.85546875" style="1" customWidth="1"/>
    <col min="11" max="11" width="10.85546875" style="1" customWidth="1"/>
    <col min="12" max="252" width="9.140625" style="1" customWidth="1"/>
    <col min="253" max="16384" width="9" style="1"/>
  </cols>
  <sheetData>
    <row r="1" spans="1:13" ht="16.5" thickBot="1" x14ac:dyDescent="0.3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6"/>
    </row>
    <row r="2" spans="1:13" ht="16.5" thickBot="1" x14ac:dyDescent="0.3">
      <c r="A2" s="117" t="s">
        <v>1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1:13" ht="16.5" thickBot="1" x14ac:dyDescent="0.3">
      <c r="A3" s="120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2"/>
    </row>
    <row r="4" spans="1:13" ht="32.25" thickBot="1" x14ac:dyDescent="0.3">
      <c r="A4" s="105" t="s">
        <v>2</v>
      </c>
      <c r="B4" s="106"/>
      <c r="C4" s="107"/>
      <c r="D4" s="122" t="s">
        <v>20</v>
      </c>
      <c r="E4" s="123"/>
      <c r="F4" s="3"/>
      <c r="G4" s="3"/>
      <c r="H4" s="3"/>
      <c r="I4" s="124" t="s">
        <v>3</v>
      </c>
      <c r="J4" s="125"/>
      <c r="K4" s="4" t="s">
        <v>28</v>
      </c>
      <c r="L4" s="39">
        <v>45716</v>
      </c>
      <c r="M4" s="2"/>
    </row>
    <row r="5" spans="1:13" ht="24" customHeight="1" thickBot="1" x14ac:dyDescent="0.3">
      <c r="A5" s="5"/>
      <c r="B5" s="3"/>
      <c r="C5" s="3"/>
      <c r="D5" s="3"/>
      <c r="E5" s="3"/>
      <c r="F5" s="3"/>
      <c r="G5" s="3"/>
      <c r="H5" s="3"/>
      <c r="I5" s="6"/>
      <c r="J5" s="7"/>
      <c r="K5" s="8"/>
      <c r="L5" s="8"/>
      <c r="M5" s="2"/>
    </row>
    <row r="6" spans="1:13" ht="16.5" thickBot="1" x14ac:dyDescent="0.3">
      <c r="A6" s="105"/>
      <c r="B6" s="106"/>
      <c r="C6" s="107"/>
      <c r="D6" s="9" t="s">
        <v>4</v>
      </c>
      <c r="E6" s="3"/>
      <c r="F6" s="10"/>
      <c r="G6" s="3" t="s">
        <v>17</v>
      </c>
      <c r="H6" s="3"/>
      <c r="I6" s="126" t="s">
        <v>5</v>
      </c>
      <c r="J6" s="127"/>
      <c r="K6" s="128" t="s">
        <v>21</v>
      </c>
      <c r="L6" s="129"/>
      <c r="M6" s="2"/>
    </row>
    <row r="7" spans="1:13" ht="8.25" customHeight="1" thickBot="1" x14ac:dyDescent="0.3">
      <c r="A7" s="11"/>
      <c r="B7" s="12"/>
      <c r="C7" s="12"/>
      <c r="D7" s="13"/>
      <c r="E7" s="12"/>
      <c r="F7" s="12"/>
      <c r="G7" s="14" t="s">
        <v>18</v>
      </c>
      <c r="H7" s="14"/>
      <c r="I7" s="15"/>
      <c r="J7" s="16"/>
      <c r="K7" s="10"/>
      <c r="L7" s="10"/>
      <c r="M7" s="2"/>
    </row>
    <row r="8" spans="1:13" ht="16.5" customHeight="1" thickBot="1" x14ac:dyDescent="0.3">
      <c r="A8" s="17" t="s">
        <v>6</v>
      </c>
      <c r="B8" s="108" t="s">
        <v>7</v>
      </c>
      <c r="C8" s="109"/>
      <c r="D8" s="18" t="s">
        <v>8</v>
      </c>
      <c r="E8" s="110" t="s">
        <v>9</v>
      </c>
      <c r="F8" s="111"/>
      <c r="G8" s="112" t="s">
        <v>10</v>
      </c>
      <c r="H8" s="113"/>
      <c r="I8" s="130" t="s">
        <v>11</v>
      </c>
      <c r="J8" s="131"/>
      <c r="K8" s="130" t="s">
        <v>12</v>
      </c>
      <c r="L8" s="131"/>
      <c r="M8" s="2"/>
    </row>
    <row r="9" spans="1:13" ht="31.5" customHeight="1" x14ac:dyDescent="0.25">
      <c r="A9" s="19">
        <v>1</v>
      </c>
      <c r="B9" s="23">
        <v>45669</v>
      </c>
      <c r="C9" s="20"/>
      <c r="D9" s="21" t="s">
        <v>29</v>
      </c>
      <c r="E9" s="133" t="s">
        <v>30</v>
      </c>
      <c r="F9" s="103"/>
      <c r="G9" s="95">
        <v>7000</v>
      </c>
      <c r="H9" s="96"/>
      <c r="I9" s="22"/>
      <c r="J9" s="22"/>
      <c r="K9" s="22"/>
      <c r="L9" s="22"/>
      <c r="M9" s="22"/>
    </row>
    <row r="10" spans="1:13" ht="30" customHeight="1" thickBot="1" x14ac:dyDescent="0.3">
      <c r="A10" s="19">
        <v>2</v>
      </c>
      <c r="B10" s="23">
        <v>45728</v>
      </c>
      <c r="C10" s="20"/>
      <c r="D10" s="21" t="s">
        <v>31</v>
      </c>
      <c r="E10" s="93" t="s">
        <v>32</v>
      </c>
      <c r="F10" s="94"/>
      <c r="G10" s="95">
        <v>7000</v>
      </c>
      <c r="H10" s="132"/>
      <c r="I10" s="22"/>
      <c r="J10" s="22"/>
      <c r="K10" s="22"/>
      <c r="L10" s="22"/>
      <c r="M10" s="22"/>
    </row>
    <row r="11" spans="1:13" ht="42" customHeight="1" x14ac:dyDescent="0.25">
      <c r="A11" s="19">
        <v>3</v>
      </c>
      <c r="B11" s="23">
        <v>45881</v>
      </c>
      <c r="C11" s="20"/>
      <c r="D11" s="38" t="s">
        <v>33</v>
      </c>
      <c r="E11" s="93" t="s">
        <v>34</v>
      </c>
      <c r="F11" s="94"/>
      <c r="G11" s="100">
        <v>5400</v>
      </c>
      <c r="H11" s="101"/>
      <c r="I11" s="22"/>
      <c r="J11" s="22"/>
      <c r="K11" s="22"/>
      <c r="L11" s="22"/>
      <c r="M11" s="22"/>
    </row>
    <row r="12" spans="1:13" ht="27.75" customHeight="1" x14ac:dyDescent="0.25">
      <c r="A12" s="19">
        <v>4</v>
      </c>
      <c r="B12" s="24" t="s">
        <v>35</v>
      </c>
      <c r="C12" s="20"/>
      <c r="D12" s="41" t="s">
        <v>36</v>
      </c>
      <c r="E12" s="93" t="s">
        <v>37</v>
      </c>
      <c r="F12" s="94"/>
      <c r="G12" s="95">
        <v>7900</v>
      </c>
      <c r="H12" s="96"/>
      <c r="I12" s="22"/>
      <c r="J12" s="22"/>
      <c r="K12" s="28"/>
      <c r="L12" s="22"/>
      <c r="M12" s="28"/>
    </row>
    <row r="13" spans="1:13" ht="35.25" customHeight="1" x14ac:dyDescent="0.25">
      <c r="A13" s="19">
        <v>5</v>
      </c>
      <c r="B13" s="40">
        <v>45942</v>
      </c>
      <c r="C13" s="20"/>
      <c r="D13" s="38" t="s">
        <v>38</v>
      </c>
      <c r="E13" s="93" t="s">
        <v>39</v>
      </c>
      <c r="F13" s="94"/>
      <c r="G13" s="95">
        <v>7500</v>
      </c>
      <c r="H13" s="96"/>
      <c r="I13" s="22"/>
      <c r="J13" s="22"/>
      <c r="K13" s="22"/>
      <c r="L13" s="22"/>
      <c r="M13" s="22"/>
    </row>
    <row r="14" spans="1:13" ht="36.75" customHeight="1" thickBot="1" x14ac:dyDescent="0.3">
      <c r="A14" s="19">
        <v>6</v>
      </c>
      <c r="B14" s="40" t="s">
        <v>40</v>
      </c>
      <c r="C14" s="20"/>
      <c r="D14" s="21" t="s">
        <v>41</v>
      </c>
      <c r="E14" s="93" t="s">
        <v>42</v>
      </c>
      <c r="F14" s="94"/>
      <c r="G14" s="102">
        <v>4000</v>
      </c>
      <c r="H14" s="96"/>
      <c r="I14" s="22"/>
      <c r="J14" s="22"/>
      <c r="K14" s="22"/>
      <c r="L14" s="22"/>
      <c r="M14" s="22"/>
    </row>
    <row r="15" spans="1:13" ht="33" customHeight="1" thickBot="1" x14ac:dyDescent="0.3">
      <c r="A15" s="19">
        <v>7</v>
      </c>
      <c r="B15" s="24" t="s">
        <v>43</v>
      </c>
      <c r="C15" s="20"/>
      <c r="D15" s="21" t="s">
        <v>44</v>
      </c>
      <c r="E15" s="93" t="s">
        <v>45</v>
      </c>
      <c r="F15" s="94"/>
      <c r="G15" s="104">
        <v>7500</v>
      </c>
      <c r="H15" s="101"/>
      <c r="I15" s="22"/>
      <c r="J15" s="22"/>
      <c r="K15" s="22"/>
      <c r="L15" s="22"/>
      <c r="M15" s="22"/>
    </row>
    <row r="16" spans="1:13" ht="38.25" customHeight="1" x14ac:dyDescent="0.25">
      <c r="A16" s="19">
        <v>8</v>
      </c>
      <c r="B16" s="24" t="s">
        <v>43</v>
      </c>
      <c r="C16" s="20"/>
      <c r="D16" s="21" t="s">
        <v>46</v>
      </c>
      <c r="E16" s="93" t="s">
        <v>47</v>
      </c>
      <c r="F16" s="94"/>
      <c r="G16" s="100">
        <v>7300</v>
      </c>
      <c r="H16" s="101"/>
      <c r="I16" s="22"/>
      <c r="J16" s="22"/>
      <c r="K16" s="22"/>
      <c r="L16" s="22"/>
      <c r="M16" s="22"/>
    </row>
    <row r="17" spans="1:13" ht="34.5" customHeight="1" thickBot="1" x14ac:dyDescent="0.3">
      <c r="A17" s="19">
        <v>9</v>
      </c>
      <c r="B17" s="24" t="s">
        <v>48</v>
      </c>
      <c r="C17" s="20"/>
      <c r="D17" s="21" t="s">
        <v>24</v>
      </c>
      <c r="E17" s="93" t="s">
        <v>49</v>
      </c>
      <c r="F17" s="94"/>
      <c r="G17" s="102">
        <v>5000</v>
      </c>
      <c r="H17" s="96"/>
      <c r="I17" s="22"/>
      <c r="J17" s="22"/>
      <c r="K17" s="22"/>
      <c r="L17" s="22"/>
      <c r="M17" s="22"/>
    </row>
    <row r="18" spans="1:13" ht="36" customHeight="1" x14ac:dyDescent="0.25">
      <c r="A18" s="19">
        <v>10</v>
      </c>
      <c r="B18" s="23" t="s">
        <v>50</v>
      </c>
      <c r="C18" s="20"/>
      <c r="D18" s="21" t="s">
        <v>51</v>
      </c>
      <c r="E18" s="93" t="s">
        <v>52</v>
      </c>
      <c r="F18" s="94"/>
      <c r="G18" s="100">
        <v>7000</v>
      </c>
      <c r="H18" s="101"/>
      <c r="I18" s="22"/>
      <c r="J18" s="22"/>
      <c r="K18" s="22"/>
      <c r="L18" s="22"/>
      <c r="M18" s="22"/>
    </row>
    <row r="19" spans="1:13" ht="25.5" customHeight="1" x14ac:dyDescent="0.25">
      <c r="A19" s="19">
        <v>11</v>
      </c>
      <c r="B19" s="24" t="s">
        <v>53</v>
      </c>
      <c r="C19" s="20"/>
      <c r="D19" s="21" t="s">
        <v>54</v>
      </c>
      <c r="E19" s="93" t="s">
        <v>55</v>
      </c>
      <c r="F19" s="94"/>
      <c r="G19" s="95">
        <v>7500</v>
      </c>
      <c r="H19" s="96"/>
      <c r="I19" s="22"/>
      <c r="J19" s="22"/>
      <c r="K19" s="22"/>
      <c r="L19" s="22"/>
      <c r="M19" s="22"/>
    </row>
    <row r="20" spans="1:13" ht="33.75" customHeight="1" x14ac:dyDescent="0.25">
      <c r="A20" s="19">
        <v>11</v>
      </c>
      <c r="B20" s="24" t="s">
        <v>56</v>
      </c>
      <c r="C20" s="20"/>
      <c r="D20" s="21" t="s">
        <v>25</v>
      </c>
      <c r="E20" s="93" t="s">
        <v>57</v>
      </c>
      <c r="F20" s="94"/>
      <c r="G20" s="95">
        <v>7900</v>
      </c>
      <c r="H20" s="96"/>
      <c r="I20" s="22"/>
      <c r="J20" s="22"/>
      <c r="K20" s="22"/>
      <c r="L20" s="22"/>
      <c r="M20" s="22"/>
    </row>
    <row r="21" spans="1:13" ht="27.75" customHeight="1" x14ac:dyDescent="0.25">
      <c r="A21" s="19">
        <v>12</v>
      </c>
      <c r="B21" s="24" t="s">
        <v>56</v>
      </c>
      <c r="C21" s="20"/>
      <c r="D21" s="21" t="s">
        <v>25</v>
      </c>
      <c r="E21" s="93" t="s">
        <v>58</v>
      </c>
      <c r="F21" s="94"/>
      <c r="G21" s="95">
        <v>7800</v>
      </c>
      <c r="H21" s="96"/>
      <c r="I21" s="22"/>
      <c r="J21" s="22"/>
      <c r="K21" s="22"/>
      <c r="L21" s="22"/>
      <c r="M21" s="22"/>
    </row>
    <row r="22" spans="1:13" ht="35.25" customHeight="1" x14ac:dyDescent="0.25">
      <c r="A22" s="19">
        <v>13</v>
      </c>
      <c r="B22" s="24"/>
      <c r="C22" s="20"/>
      <c r="D22" s="21"/>
      <c r="E22" s="93"/>
      <c r="F22" s="94"/>
      <c r="G22" s="95"/>
      <c r="H22" s="96"/>
      <c r="I22" s="22"/>
      <c r="J22" s="22"/>
      <c r="K22" s="22"/>
      <c r="L22" s="22"/>
      <c r="M22" s="22"/>
    </row>
    <row r="23" spans="1:13" ht="38.25" customHeight="1" x14ac:dyDescent="0.25">
      <c r="A23" s="19">
        <v>15</v>
      </c>
      <c r="B23" s="24"/>
      <c r="C23" s="20"/>
      <c r="D23" s="21"/>
      <c r="E23" s="93"/>
      <c r="F23" s="94"/>
      <c r="G23" s="95"/>
      <c r="H23" s="96"/>
      <c r="I23" s="22"/>
      <c r="J23" s="22"/>
      <c r="K23" s="22"/>
      <c r="L23" s="22"/>
      <c r="M23" s="22"/>
    </row>
    <row r="24" spans="1:13" ht="24" customHeight="1" x14ac:dyDescent="0.25">
      <c r="A24" s="25">
        <v>16</v>
      </c>
      <c r="B24" s="24"/>
      <c r="C24" s="20"/>
      <c r="D24" s="21"/>
      <c r="E24" s="97"/>
      <c r="F24" s="97"/>
      <c r="G24" s="95"/>
      <c r="H24" s="96"/>
      <c r="I24" s="22"/>
      <c r="J24" s="22"/>
      <c r="K24" s="22"/>
      <c r="L24" s="22"/>
      <c r="M24" s="22"/>
    </row>
    <row r="25" spans="1:13" ht="24" customHeight="1" x14ac:dyDescent="0.25">
      <c r="A25" s="26">
        <v>17</v>
      </c>
      <c r="B25" s="24"/>
      <c r="C25" s="20"/>
      <c r="D25" s="27"/>
      <c r="E25" s="98"/>
      <c r="F25" s="98"/>
      <c r="G25" s="95"/>
      <c r="H25" s="99"/>
      <c r="I25" s="22"/>
      <c r="J25" s="22"/>
      <c r="K25" s="28"/>
      <c r="L25" s="22"/>
      <c r="M25" s="28"/>
    </row>
    <row r="26" spans="1:13" x14ac:dyDescent="0.25">
      <c r="A26" s="82">
        <v>18</v>
      </c>
      <c r="B26" s="88"/>
      <c r="C26" s="82"/>
      <c r="D26" s="82"/>
      <c r="E26" s="89"/>
      <c r="F26" s="90"/>
      <c r="G26" s="85"/>
      <c r="H26" s="75"/>
      <c r="I26" s="82"/>
      <c r="J26" s="82"/>
      <c r="K26" s="87"/>
      <c r="L26" s="82"/>
      <c r="M26" s="87"/>
    </row>
    <row r="27" spans="1:13" x14ac:dyDescent="0.25">
      <c r="A27" s="79"/>
      <c r="B27" s="79"/>
      <c r="C27" s="79"/>
      <c r="D27" s="79"/>
      <c r="E27" s="91"/>
      <c r="F27" s="92"/>
      <c r="G27" s="76"/>
      <c r="H27" s="77"/>
      <c r="I27" s="78"/>
      <c r="J27" s="79"/>
      <c r="K27" s="61"/>
      <c r="L27" s="78"/>
      <c r="M27" s="61"/>
    </row>
    <row r="28" spans="1:13" x14ac:dyDescent="0.25">
      <c r="A28" s="82">
        <v>19</v>
      </c>
      <c r="B28" s="88"/>
      <c r="C28" s="82"/>
      <c r="D28" s="82"/>
      <c r="E28" s="73"/>
      <c r="F28" s="73"/>
      <c r="G28" s="85"/>
      <c r="H28" s="75"/>
      <c r="I28" s="78"/>
      <c r="J28" s="80"/>
      <c r="K28" s="82"/>
      <c r="L28" s="82"/>
      <c r="M28" s="87"/>
    </row>
    <row r="29" spans="1:13" x14ac:dyDescent="0.25">
      <c r="A29" s="79"/>
      <c r="B29" s="79"/>
      <c r="C29" s="79"/>
      <c r="D29" s="79"/>
      <c r="E29" s="73"/>
      <c r="F29" s="73"/>
      <c r="G29" s="76"/>
      <c r="H29" s="77"/>
      <c r="I29" s="79"/>
      <c r="J29" s="81"/>
      <c r="K29" s="79"/>
      <c r="L29" s="79"/>
      <c r="M29" s="62"/>
    </row>
    <row r="30" spans="1:13" x14ac:dyDescent="0.25">
      <c r="A30" s="82">
        <v>20</v>
      </c>
      <c r="B30" s="88"/>
      <c r="C30" s="82"/>
      <c r="D30" s="82"/>
      <c r="E30" s="73"/>
      <c r="F30" s="73"/>
      <c r="G30" s="74"/>
      <c r="H30" s="75"/>
      <c r="I30" s="78"/>
      <c r="J30" s="86"/>
      <c r="K30" s="82"/>
      <c r="L30" s="82"/>
      <c r="M30" s="87"/>
    </row>
    <row r="31" spans="1:13" x14ac:dyDescent="0.25">
      <c r="A31" s="79"/>
      <c r="B31" s="79"/>
      <c r="C31" s="79"/>
      <c r="D31" s="79"/>
      <c r="E31" s="73"/>
      <c r="F31" s="73"/>
      <c r="G31" s="76"/>
      <c r="H31" s="77"/>
      <c r="I31" s="78"/>
      <c r="J31" s="80"/>
      <c r="K31" s="78"/>
      <c r="L31" s="78"/>
      <c r="M31" s="61"/>
    </row>
    <row r="32" spans="1:13" x14ac:dyDescent="0.25">
      <c r="A32" s="82">
        <v>21</v>
      </c>
      <c r="B32" s="88"/>
      <c r="C32" s="82"/>
      <c r="D32" s="82"/>
      <c r="E32" s="73"/>
      <c r="F32" s="73"/>
      <c r="G32" s="85"/>
      <c r="H32" s="75"/>
      <c r="I32" s="82"/>
      <c r="J32" s="86"/>
      <c r="K32" s="82"/>
      <c r="L32" s="82"/>
      <c r="M32" s="87"/>
    </row>
    <row r="33" spans="1:19" x14ac:dyDescent="0.25">
      <c r="A33" s="79"/>
      <c r="B33" s="79"/>
      <c r="C33" s="79"/>
      <c r="D33" s="78"/>
      <c r="E33" s="73"/>
      <c r="F33" s="73"/>
      <c r="G33" s="76"/>
      <c r="H33" s="77"/>
      <c r="I33" s="79"/>
      <c r="J33" s="81"/>
      <c r="K33" s="79"/>
      <c r="L33" s="79"/>
      <c r="M33" s="62"/>
    </row>
    <row r="34" spans="1:19" x14ac:dyDescent="0.25">
      <c r="A34" s="82">
        <v>22</v>
      </c>
      <c r="B34" s="83"/>
      <c r="C34" s="82"/>
      <c r="D34" s="84"/>
      <c r="E34" s="73"/>
      <c r="F34" s="73"/>
      <c r="G34" s="74"/>
      <c r="H34" s="75"/>
      <c r="I34" s="78"/>
      <c r="J34" s="80"/>
      <c r="K34" s="78"/>
      <c r="L34" s="80"/>
      <c r="M34" s="61"/>
    </row>
    <row r="35" spans="1:19" x14ac:dyDescent="0.25">
      <c r="A35" s="79"/>
      <c r="B35" s="79"/>
      <c r="C35" s="79"/>
      <c r="D35" s="84"/>
      <c r="E35" s="73"/>
      <c r="F35" s="73"/>
      <c r="G35" s="76"/>
      <c r="H35" s="77"/>
      <c r="I35" s="79"/>
      <c r="J35" s="81"/>
      <c r="K35" s="79"/>
      <c r="L35" s="81"/>
      <c r="M35" s="62"/>
    </row>
    <row r="36" spans="1:19" ht="16.5" thickBot="1" x14ac:dyDescent="0.3">
      <c r="C36" s="63"/>
      <c r="D36" s="63"/>
      <c r="E36" s="63"/>
      <c r="F36" s="63"/>
      <c r="G36" s="64"/>
      <c r="H36" s="65"/>
      <c r="I36" s="66"/>
      <c r="J36" s="29"/>
    </row>
    <row r="37" spans="1:19" ht="16.5" thickBot="1" x14ac:dyDescent="0.3">
      <c r="C37" s="63"/>
      <c r="D37" s="63"/>
      <c r="E37" s="63"/>
      <c r="F37" s="63"/>
      <c r="G37" s="64"/>
      <c r="H37" s="67">
        <f>H38-H39</f>
        <v>41200</v>
      </c>
      <c r="I37" s="68"/>
      <c r="J37" s="30"/>
    </row>
    <row r="38" spans="1:19" ht="16.5" customHeight="1" thickBot="1" x14ac:dyDescent="0.3">
      <c r="C38" s="69"/>
      <c r="D38" s="69"/>
      <c r="E38" s="69"/>
      <c r="F38" s="69"/>
      <c r="G38" s="70"/>
      <c r="H38" s="71">
        <v>130000</v>
      </c>
      <c r="I38" s="72"/>
      <c r="J38" s="30"/>
    </row>
    <row r="39" spans="1:19" ht="16.5" customHeight="1" thickBot="1" x14ac:dyDescent="0.3">
      <c r="C39" s="54"/>
      <c r="D39" s="54"/>
      <c r="E39" s="54"/>
      <c r="F39" s="54"/>
      <c r="G39" s="55"/>
      <c r="H39" s="56">
        <f>SUM(G9:H35)</f>
        <v>88800</v>
      </c>
      <c r="I39" s="57"/>
      <c r="J39" s="30"/>
    </row>
    <row r="42" spans="1:19" ht="16.5" thickBot="1" x14ac:dyDescent="0.3">
      <c r="C42" s="31"/>
      <c r="D42" s="31" t="s">
        <v>27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2"/>
    </row>
    <row r="43" spans="1:19" ht="16.5" thickBot="1" x14ac:dyDescent="0.3"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10"/>
      <c r="O43" s="33"/>
      <c r="P43" s="33"/>
      <c r="Q43" s="10"/>
      <c r="R43" s="34"/>
      <c r="S43" s="34"/>
    </row>
    <row r="44" spans="1:19" ht="16.5" thickBot="1" x14ac:dyDescent="0.3">
      <c r="C44" s="33"/>
      <c r="D44" s="33"/>
      <c r="E44" s="33"/>
      <c r="F44" s="33"/>
      <c r="G44" s="33"/>
      <c r="H44" s="34"/>
      <c r="I44" s="34"/>
      <c r="J44" s="34"/>
      <c r="K44" s="34"/>
      <c r="L44" s="58" t="s">
        <v>13</v>
      </c>
      <c r="M44" s="59"/>
      <c r="N44" s="60"/>
      <c r="O44" s="33"/>
      <c r="P44" s="33"/>
      <c r="Q44" s="35"/>
      <c r="R44" s="34"/>
      <c r="S44" s="34"/>
    </row>
    <row r="45" spans="1:19" ht="16.5" customHeight="1" thickBot="1" x14ac:dyDescent="0.3">
      <c r="C45" s="42" t="s">
        <v>19</v>
      </c>
      <c r="D45" s="43"/>
      <c r="E45" s="33"/>
      <c r="F45" s="33"/>
      <c r="G45" s="33"/>
      <c r="H45" s="34"/>
      <c r="I45" s="34"/>
      <c r="J45" s="34"/>
      <c r="K45" s="34"/>
      <c r="L45" s="46" t="s">
        <v>14</v>
      </c>
      <c r="M45" s="47"/>
      <c r="N45" s="48"/>
      <c r="O45" s="49"/>
      <c r="P45" s="50"/>
      <c r="Q45" s="50"/>
      <c r="R45" s="50"/>
      <c r="S45" s="51"/>
    </row>
    <row r="46" spans="1:19" ht="16.5" thickBot="1" x14ac:dyDescent="0.3">
      <c r="C46" s="42"/>
      <c r="D46" s="43"/>
      <c r="E46" s="33"/>
      <c r="F46" s="33"/>
      <c r="G46" s="33"/>
      <c r="H46" s="34"/>
      <c r="I46" s="34"/>
      <c r="J46" s="34"/>
      <c r="K46" s="34"/>
      <c r="L46" s="46" t="s">
        <v>15</v>
      </c>
      <c r="M46" s="47"/>
      <c r="N46" s="48"/>
      <c r="O46" s="49"/>
      <c r="P46" s="50"/>
      <c r="Q46" s="50"/>
      <c r="R46" s="50"/>
      <c r="S46" s="51"/>
    </row>
    <row r="47" spans="1:19" ht="16.5" customHeight="1" thickBot="1" x14ac:dyDescent="0.3">
      <c r="C47" s="45" t="s">
        <v>23</v>
      </c>
      <c r="D47" s="43"/>
      <c r="E47" s="33"/>
      <c r="F47" s="33"/>
      <c r="G47" s="33"/>
      <c r="H47" s="34"/>
      <c r="I47" s="34"/>
      <c r="J47" s="34"/>
      <c r="K47" s="34"/>
      <c r="L47" s="52" t="s">
        <v>16</v>
      </c>
      <c r="M47" s="47"/>
      <c r="N47" s="48"/>
      <c r="O47" s="53"/>
      <c r="P47" s="50"/>
      <c r="Q47" s="50"/>
      <c r="R47" s="50"/>
      <c r="S47" s="51"/>
    </row>
    <row r="48" spans="1:19" ht="15.75" x14ac:dyDescent="0.25">
      <c r="C48" s="36"/>
      <c r="D48" s="36"/>
      <c r="E48" s="33"/>
      <c r="F48" s="33"/>
      <c r="G48" s="33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</row>
    <row r="49" spans="3:19" ht="16.5" thickBot="1" x14ac:dyDescent="0.3">
      <c r="C49" s="37"/>
      <c r="D49" s="37"/>
      <c r="E49" s="33"/>
      <c r="F49" s="33"/>
      <c r="G49" s="33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</row>
    <row r="50" spans="3:19" ht="16.5" customHeight="1" thickBot="1" x14ac:dyDescent="0.3">
      <c r="C50" s="42" t="s">
        <v>22</v>
      </c>
      <c r="D50" s="43"/>
      <c r="E50" s="33"/>
      <c r="F50" s="33"/>
      <c r="G50" s="33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</row>
    <row r="51" spans="3:19" ht="16.5" thickBot="1" x14ac:dyDescent="0.3">
      <c r="C51" s="42"/>
      <c r="D51" s="43"/>
      <c r="E51" s="33"/>
      <c r="F51" s="33"/>
      <c r="G51" s="33"/>
      <c r="H51" s="34"/>
      <c r="I51" s="34"/>
      <c r="J51" s="34"/>
      <c r="K51" s="34"/>
      <c r="L51" s="34"/>
      <c r="M51" s="44"/>
      <c r="N51" s="44"/>
      <c r="O51" s="34"/>
      <c r="P51" s="34"/>
      <c r="Q51" s="14"/>
      <c r="R51" s="14"/>
      <c r="S51" s="14"/>
    </row>
    <row r="52" spans="3:19" ht="16.5" customHeight="1" thickBot="1" x14ac:dyDescent="0.3">
      <c r="C52" s="45" t="s">
        <v>26</v>
      </c>
      <c r="D52" s="43"/>
      <c r="E52" s="33"/>
      <c r="F52" s="33"/>
      <c r="G52" s="33"/>
      <c r="H52" s="34"/>
      <c r="I52" s="34"/>
      <c r="J52" s="34"/>
      <c r="K52" s="34"/>
      <c r="L52" s="34"/>
      <c r="M52" s="44"/>
      <c r="N52" s="44"/>
      <c r="O52" s="34"/>
      <c r="P52" s="34"/>
      <c r="Q52" s="34"/>
      <c r="R52" s="34"/>
      <c r="S52" s="34"/>
    </row>
  </sheetData>
  <mergeCells count="126">
    <mergeCell ref="A1:M1"/>
    <mergeCell ref="A2:M2"/>
    <mergeCell ref="A3:L3"/>
    <mergeCell ref="A4:C4"/>
    <mergeCell ref="D4:E4"/>
    <mergeCell ref="I4:J4"/>
    <mergeCell ref="I6:J6"/>
    <mergeCell ref="K6:L6"/>
    <mergeCell ref="I8:J8"/>
    <mergeCell ref="K8:L8"/>
    <mergeCell ref="E9:F9"/>
    <mergeCell ref="G9:H9"/>
    <mergeCell ref="E10:F10"/>
    <mergeCell ref="G10:H10"/>
    <mergeCell ref="A6:C6"/>
    <mergeCell ref="B8:C8"/>
    <mergeCell ref="E8:F8"/>
    <mergeCell ref="G8:H8"/>
    <mergeCell ref="E11:F11"/>
    <mergeCell ref="G11:H11"/>
    <mergeCell ref="E18:F18"/>
    <mergeCell ref="G18:H18"/>
    <mergeCell ref="E13:F13"/>
    <mergeCell ref="G12:H12"/>
    <mergeCell ref="G13:H13"/>
    <mergeCell ref="E14:F14"/>
    <mergeCell ref="G14:H14"/>
    <mergeCell ref="E22:F22"/>
    <mergeCell ref="G22:H22"/>
    <mergeCell ref="E19:F19"/>
    <mergeCell ref="G19:H19"/>
    <mergeCell ref="E16:F16"/>
    <mergeCell ref="G16:H16"/>
    <mergeCell ref="E17:F17"/>
    <mergeCell ref="G17:H17"/>
    <mergeCell ref="E12:F12"/>
    <mergeCell ref="E15:F15"/>
    <mergeCell ref="G15:H15"/>
    <mergeCell ref="E23:F23"/>
    <mergeCell ref="G23:H23"/>
    <mergeCell ref="E24:F24"/>
    <mergeCell ref="G24:H24"/>
    <mergeCell ref="E20:F20"/>
    <mergeCell ref="G20:H20"/>
    <mergeCell ref="E21:F21"/>
    <mergeCell ref="G21:H21"/>
    <mergeCell ref="E25:F25"/>
    <mergeCell ref="G25:H25"/>
    <mergeCell ref="M28:M29"/>
    <mergeCell ref="M26:M27"/>
    <mergeCell ref="A28:A29"/>
    <mergeCell ref="B28:B29"/>
    <mergeCell ref="C28:C29"/>
    <mergeCell ref="D28:D29"/>
    <mergeCell ref="E28:F29"/>
    <mergeCell ref="E26:F27"/>
    <mergeCell ref="G26:H27"/>
    <mergeCell ref="I26:I27"/>
    <mergeCell ref="J26:J27"/>
    <mergeCell ref="K26:K27"/>
    <mergeCell ref="L26:L27"/>
    <mergeCell ref="A26:A27"/>
    <mergeCell ref="B26:B27"/>
    <mergeCell ref="C26:C27"/>
    <mergeCell ref="D26:D27"/>
    <mergeCell ref="G28:H29"/>
    <mergeCell ref="I28:I29"/>
    <mergeCell ref="J28:J29"/>
    <mergeCell ref="K28:K29"/>
    <mergeCell ref="L28:L29"/>
    <mergeCell ref="K30:K31"/>
    <mergeCell ref="L30:L31"/>
    <mergeCell ref="M30:M31"/>
    <mergeCell ref="A32:A33"/>
    <mergeCell ref="B32:B33"/>
    <mergeCell ref="C32:C33"/>
    <mergeCell ref="C30:C31"/>
    <mergeCell ref="D30:D31"/>
    <mergeCell ref="E30:F31"/>
    <mergeCell ref="G30:H31"/>
    <mergeCell ref="I30:I31"/>
    <mergeCell ref="J30:J31"/>
    <mergeCell ref="A30:A31"/>
    <mergeCell ref="B30:B31"/>
    <mergeCell ref="L32:L33"/>
    <mergeCell ref="M32:M33"/>
    <mergeCell ref="K32:K33"/>
    <mergeCell ref="A34:A35"/>
    <mergeCell ref="B34:B35"/>
    <mergeCell ref="C34:C35"/>
    <mergeCell ref="D34:D35"/>
    <mergeCell ref="D32:D33"/>
    <mergeCell ref="E32:F33"/>
    <mergeCell ref="G32:H33"/>
    <mergeCell ref="I32:I33"/>
    <mergeCell ref="J32:J33"/>
    <mergeCell ref="C39:G39"/>
    <mergeCell ref="H39:I39"/>
    <mergeCell ref="L44:N44"/>
    <mergeCell ref="C45:D45"/>
    <mergeCell ref="L45:N45"/>
    <mergeCell ref="O45:S45"/>
    <mergeCell ref="M34:M35"/>
    <mergeCell ref="C36:G36"/>
    <mergeCell ref="H36:I36"/>
    <mergeCell ref="C37:G37"/>
    <mergeCell ref="H37:I37"/>
    <mergeCell ref="C38:G38"/>
    <mergeCell ref="H38:I38"/>
    <mergeCell ref="E34:F35"/>
    <mergeCell ref="G34:H35"/>
    <mergeCell ref="I34:I35"/>
    <mergeCell ref="J34:J35"/>
    <mergeCell ref="K34:K35"/>
    <mergeCell ref="L34:L35"/>
    <mergeCell ref="C50:D50"/>
    <mergeCell ref="C51:D51"/>
    <mergeCell ref="M51:N51"/>
    <mergeCell ref="C52:D52"/>
    <mergeCell ref="M52:N52"/>
    <mergeCell ref="C46:D46"/>
    <mergeCell ref="L46:N46"/>
    <mergeCell ref="O46:S46"/>
    <mergeCell ref="C47:D47"/>
    <mergeCell ref="L47:N47"/>
    <mergeCell ref="O47:S47"/>
  </mergeCells>
  <conditionalFormatting sqref="B18 B20">
    <cfRule type="timePeriod" dxfId="3" priority="3" timePeriod="lastWeek">
      <formula>AND(TODAY()-ROUNDDOWN(B18,0)&gt;=(WEEKDAY(TODAY())),TODAY()-ROUNDDOWN(B18,0)&lt;(WEEKDAY(TODAY())+7))</formula>
    </cfRule>
  </conditionalFormatting>
  <conditionalFormatting sqref="B19">
    <cfRule type="timePeriod" dxfId="2" priority="2" timePeriod="lastWeek">
      <formula>AND(TODAY()-ROUNDDOWN(B19,0)&gt;=(WEEKDAY(TODAY())),TODAY()-ROUNDDOWN(B19,0)&lt;(WEEKDAY(TODAY())+7))</formula>
    </cfRule>
  </conditionalFormatting>
  <conditionalFormatting sqref="B21">
    <cfRule type="timePeriod" dxfId="1" priority="1" timePeriod="lastWeek">
      <formula>AND(TODAY()-ROUNDDOWN(B21,0)&gt;=(WEEKDAY(TODAY())),TODAY()-ROUNDDOWN(B21,0)&lt;(WEEKDAY(TODAY())+7))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Rainoil-BeninAuchi</dc:creator>
  <cp:lastModifiedBy>USER</cp:lastModifiedBy>
  <dcterms:created xsi:type="dcterms:W3CDTF">2022-05-15T22:27:15Z</dcterms:created>
  <dcterms:modified xsi:type="dcterms:W3CDTF">2026-01-11T13:47:32Z</dcterms:modified>
</cp:coreProperties>
</file>