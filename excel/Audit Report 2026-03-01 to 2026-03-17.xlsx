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120" yWindow="-120" windowWidth="20730" windowHeight="11760" firstSheet="1" activeTab="1"/>
  </bookViews>
  <sheets>
    <sheet name="1.Guideline" sheetId="6" r:id="rId1"/>
    <sheet name="2. Sales&gt;&gt;Cash Position" sheetId="4" r:id="rId2"/>
    <sheet name="3.Stock Position" sheetId="5" r:id="rId3"/>
    <sheet name="4.Lodgement Sheet" sheetId="1" r:id="rId4"/>
    <sheet name="5.PMS Consumption and Pour back" sheetId="7" r:id="rId5"/>
    <sheet name="6.AGO Consumption and Pour back" sheetId="8" r:id="rId6"/>
    <sheet name="7.DPK Consumption and Pour back" sheetId="9" r:id="rId7"/>
    <sheet name="8.Product Received" sheetId="10" r:id="rId8"/>
    <sheet name="9.Expenses for the Month" sheetId="11" r:id="rId9"/>
    <sheet name="10.Record of Stock Position" sheetId="12" r:id="rId10"/>
    <sheet name="Customers' Ledger" sheetId="14" r:id="rId11"/>
    <sheet name="Castro Lubricants" sheetId="15" r:id="rId12"/>
    <sheet name="Sheet1 (2)" sheetId="2" state="hidden" r:id="rId13"/>
  </sheets>
  <definedNames>
    <definedName name="_xlnm.Print_Area" localSheetId="0">'1.Guideline'!$A1:$D18</definedName>
    <definedName name="_xlnm.Print_Area" localSheetId="9">'10.Record of Stock Position'!$A1:$S42</definedName>
    <definedName name="_xlnm.Print_Area" localSheetId="1">'2. Sales&gt;&gt;Cash Position'!$A1:$H250</definedName>
    <definedName name="_xlnm.Print_Area" localSheetId="2">'3.Stock Position'!$B2:$E86</definedName>
    <definedName name="_xlnm.Print_Area" localSheetId="3">'4.Lodgement Sheet'!$A1:$Z175</definedName>
    <definedName name="_xlnm.Print_Area" localSheetId="4">'5.PMS Consumption and Pour back'!$A1:$N39</definedName>
    <definedName name="_xlnm.Print_Area" localSheetId="5">'6.AGO Consumption and Pour back'!$A1:$I39</definedName>
    <definedName name="_xlnm.Print_Area" localSheetId="6">'7.DPK Consumption and Pour back'!$A1:$I39</definedName>
    <definedName name="_xlnm.Print_Area" localSheetId="7">'8.Product Received'!$A1:$P55</definedName>
    <definedName name="_xlnm.Print_Area" localSheetId="8">'9.Expenses for the Month'!$A1:$G40</definedName>
    <definedName name="_xlnm.Print_Area" localSheetId="12">'Sheet1 (2)'!$A1:$W109</definedName>
  </definedNames>
  <calcPr calcId="144525"/>
</workbook>
</file>

<file path=xl/calcChain.xml><?xml version="1.0" encoding="utf-8"?>
<calcChain xmlns="http://schemas.openxmlformats.org/spreadsheetml/2006/main">
  <c r="T106" i="2" l="1"/>
  <c r="R106" i="2"/>
  <c r="Q106" i="2"/>
  <c r="P106" i="2"/>
  <c r="O106" i="2"/>
  <c r="N106" i="2"/>
  <c r="M106" i="2"/>
  <c r="L106" i="2"/>
  <c r="K106" i="2"/>
  <c r="J106" i="2"/>
  <c r="I106" i="2"/>
  <c r="G106" i="2"/>
  <c r="E106" i="2"/>
  <c r="S105" i="2"/>
  <c r="C105" i="2"/>
  <c r="S104" i="2"/>
  <c r="C104" i="2"/>
  <c r="S103" i="2"/>
  <c r="C103" i="2"/>
  <c r="S102" i="2"/>
  <c r="C102" i="2"/>
  <c r="S101" i="2"/>
  <c r="C101" i="2"/>
  <c r="S100" i="2"/>
  <c r="C100" i="2"/>
  <c r="S99" i="2"/>
  <c r="C99" i="2"/>
  <c r="S98" i="2"/>
  <c r="C98" i="2"/>
  <c r="S97" i="2"/>
  <c r="C97" i="2"/>
  <c r="S96" i="2"/>
  <c r="C96" i="2"/>
  <c r="S95" i="2"/>
  <c r="C95" i="2"/>
  <c r="S94" i="2"/>
  <c r="C94" i="2"/>
  <c r="S93" i="2"/>
  <c r="C93" i="2"/>
  <c r="S92" i="2"/>
  <c r="C92" i="2"/>
  <c r="S91" i="2"/>
  <c r="C91" i="2"/>
  <c r="S90" i="2"/>
  <c r="C90" i="2"/>
  <c r="S89" i="2"/>
  <c r="C89" i="2"/>
  <c r="S88" i="2"/>
  <c r="C88" i="2"/>
  <c r="S87" i="2"/>
  <c r="C87" i="2"/>
  <c r="S86" i="2"/>
  <c r="C86" i="2"/>
  <c r="S85" i="2"/>
  <c r="C85" i="2"/>
  <c r="S84" i="2"/>
  <c r="C84" i="2"/>
  <c r="S83" i="2"/>
  <c r="C83" i="2"/>
  <c r="S82" i="2"/>
  <c r="C82" i="2"/>
  <c r="S81" i="2"/>
  <c r="C81" i="2"/>
  <c r="S80" i="2"/>
  <c r="C80" i="2"/>
  <c r="S79" i="2"/>
  <c r="C79" i="2"/>
  <c r="S78" i="2"/>
  <c r="C78" i="2"/>
  <c r="S77" i="2"/>
  <c r="C77" i="2"/>
  <c r="S76" i="2"/>
  <c r="C76" i="2"/>
  <c r="S75" i="2"/>
  <c r="C75" i="2"/>
  <c r="S74" i="2"/>
  <c r="C74" i="2"/>
  <c r="S73" i="2"/>
  <c r="C73" i="2"/>
  <c r="S72" i="2"/>
  <c r="C72" i="2"/>
  <c r="S71" i="2"/>
  <c r="C71" i="2"/>
  <c r="S70" i="2"/>
  <c r="C70" i="2"/>
  <c r="S69" i="2"/>
  <c r="C69" i="2"/>
  <c r="S68" i="2"/>
  <c r="C68" i="2"/>
  <c r="S67" i="2"/>
  <c r="C67" i="2"/>
  <c r="S66" i="2"/>
  <c r="C66" i="2"/>
  <c r="S65" i="2"/>
  <c r="C65" i="2"/>
  <c r="S64" i="2"/>
  <c r="C64" i="2"/>
  <c r="S63" i="2"/>
  <c r="C63" i="2"/>
  <c r="S62" i="2"/>
  <c r="C62" i="2"/>
  <c r="S61" i="2"/>
  <c r="C61" i="2"/>
  <c r="S60" i="2"/>
  <c r="C60" i="2"/>
  <c r="S59" i="2"/>
  <c r="C59" i="2"/>
  <c r="S58" i="2"/>
  <c r="C58" i="2"/>
  <c r="S57" i="2"/>
  <c r="C57" i="2"/>
  <c r="S56" i="2"/>
  <c r="C56" i="2"/>
  <c r="S55" i="2"/>
  <c r="C55" i="2"/>
  <c r="S54" i="2"/>
  <c r="C54" i="2"/>
  <c r="S53" i="2"/>
  <c r="C53" i="2"/>
  <c r="S52" i="2"/>
  <c r="C52" i="2"/>
  <c r="S51" i="2"/>
  <c r="C51" i="2"/>
  <c r="S50" i="2"/>
  <c r="C50" i="2"/>
  <c r="S49" i="2"/>
  <c r="C49" i="2"/>
  <c r="S48" i="2"/>
  <c r="C48" i="2"/>
  <c r="S47" i="2"/>
  <c r="C47" i="2"/>
  <c r="S46" i="2"/>
  <c r="C46" i="2"/>
  <c r="S45" i="2"/>
  <c r="C45" i="2"/>
  <c r="S44" i="2"/>
  <c r="C44" i="2"/>
  <c r="S43" i="2"/>
  <c r="C43" i="2"/>
  <c r="S42" i="2"/>
  <c r="C42" i="2"/>
  <c r="S41" i="2"/>
  <c r="C41" i="2"/>
  <c r="S40" i="2"/>
  <c r="C40" i="2"/>
  <c r="S39" i="2"/>
  <c r="C39" i="2"/>
  <c r="S38" i="2"/>
  <c r="C38" i="2"/>
  <c r="S37" i="2"/>
  <c r="C37" i="2"/>
  <c r="S36" i="2"/>
  <c r="C36" i="2"/>
  <c r="S35" i="2"/>
  <c r="C35" i="2"/>
  <c r="S34" i="2"/>
  <c r="C34" i="2"/>
  <c r="S33" i="2"/>
  <c r="C33" i="2"/>
  <c r="S32" i="2"/>
  <c r="C32" i="2"/>
  <c r="S31" i="2"/>
  <c r="C31" i="2"/>
  <c r="S30" i="2"/>
  <c r="C30" i="2"/>
  <c r="S29" i="2"/>
  <c r="C29" i="2"/>
  <c r="S28" i="2"/>
  <c r="C28" i="2"/>
  <c r="S27" i="2"/>
  <c r="C27" i="2"/>
  <c r="S26" i="2"/>
  <c r="C26" i="2"/>
  <c r="S25" i="2"/>
  <c r="C25" i="2"/>
  <c r="S24" i="2"/>
  <c r="C24" i="2"/>
  <c r="S23" i="2"/>
  <c r="C23" i="2"/>
  <c r="S22" i="2"/>
  <c r="C22" i="2"/>
  <c r="S21" i="2"/>
  <c r="C21" i="2"/>
  <c r="S20" i="2"/>
  <c r="C20" i="2"/>
  <c r="S19" i="2"/>
  <c r="C19" i="2"/>
  <c r="S18" i="2"/>
  <c r="C18" i="2"/>
  <c r="S17" i="2"/>
  <c r="C17" i="2"/>
  <c r="S16" i="2"/>
  <c r="C16" i="2"/>
  <c r="S15" i="2"/>
  <c r="C15" i="2"/>
  <c r="S14" i="2"/>
  <c r="C14" i="2"/>
  <c r="S13" i="2"/>
  <c r="C13" i="2"/>
  <c r="S12" i="2"/>
  <c r="C12" i="2"/>
  <c r="S11" i="2"/>
  <c r="C11" i="2"/>
  <c r="S10" i="2"/>
  <c r="S106" i="2" s="1"/>
  <c r="C10" i="2"/>
  <c r="C106" i="2" s="1"/>
  <c r="H30" i="15"/>
  <c r="F30" i="15"/>
  <c r="E30" i="15"/>
  <c r="G29" i="15"/>
  <c r="G28" i="15"/>
  <c r="G27" i="15"/>
  <c r="G26" i="15"/>
  <c r="G25" i="15"/>
  <c r="J25" i="15" s="1"/>
  <c r="G24" i="15"/>
  <c r="J24" i="15" s="1"/>
  <c r="G23" i="15"/>
  <c r="J23" i="15" s="1"/>
  <c r="G22" i="15"/>
  <c r="J22" i="15" s="1"/>
  <c r="G21" i="15"/>
  <c r="J21" i="15" s="1"/>
  <c r="G20" i="15"/>
  <c r="J20" i="15" s="1"/>
  <c r="G19" i="15"/>
  <c r="J19" i="15" s="1"/>
  <c r="G18" i="15"/>
  <c r="J18" i="15" s="1"/>
  <c r="G17" i="15"/>
  <c r="J17" i="15" s="1"/>
  <c r="G16" i="15"/>
  <c r="J16" i="15" s="1"/>
  <c r="G15" i="15"/>
  <c r="J15" i="15" s="1"/>
  <c r="G14" i="15"/>
  <c r="J14" i="15" s="1"/>
  <c r="G13" i="15"/>
  <c r="J13" i="15" s="1"/>
  <c r="G12" i="15"/>
  <c r="J12" i="15" s="1"/>
  <c r="G11" i="15"/>
  <c r="J11" i="15" s="1"/>
  <c r="G10" i="15"/>
  <c r="J10" i="15" s="1"/>
  <c r="G9" i="15"/>
  <c r="J9" i="15" s="1"/>
  <c r="G8" i="15"/>
  <c r="J8" i="15" s="1"/>
  <c r="G7" i="15"/>
  <c r="J7" i="15" s="1"/>
  <c r="G6" i="15"/>
  <c r="J6" i="15" s="1"/>
  <c r="G5" i="15"/>
  <c r="J5" i="15" s="1"/>
  <c r="I43" i="14"/>
  <c r="G43" i="14"/>
  <c r="C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J6" i="14"/>
  <c r="J5" i="14"/>
  <c r="J4" i="14"/>
  <c r="J3" i="14"/>
  <c r="J43" i="14" s="1"/>
  <c r="G371" i="4" s="1"/>
  <c r="R40" i="12"/>
  <c r="L40" i="12"/>
  <c r="F40" i="12"/>
  <c r="Q38" i="12"/>
  <c r="K38" i="12"/>
  <c r="E38" i="12"/>
  <c r="Q37" i="12"/>
  <c r="K37" i="12"/>
  <c r="E37" i="12"/>
  <c r="Q36" i="12"/>
  <c r="K36" i="12"/>
  <c r="E36" i="12"/>
  <c r="Q35" i="12"/>
  <c r="K35" i="12"/>
  <c r="E35" i="12"/>
  <c r="Q34" i="12"/>
  <c r="K34" i="12"/>
  <c r="E34" i="12"/>
  <c r="Q33" i="12"/>
  <c r="K33" i="12"/>
  <c r="E33" i="12"/>
  <c r="Q32" i="12"/>
  <c r="K32" i="12"/>
  <c r="E32" i="12"/>
  <c r="Q31" i="12"/>
  <c r="K31" i="12"/>
  <c r="E31" i="12"/>
  <c r="Q30" i="12"/>
  <c r="K30" i="12"/>
  <c r="E30" i="12"/>
  <c r="Q29" i="12"/>
  <c r="K29" i="12"/>
  <c r="E29" i="12"/>
  <c r="Q28" i="12"/>
  <c r="K28" i="12"/>
  <c r="E28" i="12"/>
  <c r="Q27" i="12"/>
  <c r="K27" i="12"/>
  <c r="E27" i="12"/>
  <c r="Q26" i="12"/>
  <c r="K26" i="12"/>
  <c r="E26" i="12"/>
  <c r="Q25" i="12"/>
  <c r="K25" i="12"/>
  <c r="E25" i="12"/>
  <c r="Q24" i="12"/>
  <c r="K24" i="12"/>
  <c r="E24" i="12"/>
  <c r="Q23" i="12"/>
  <c r="K23" i="12"/>
  <c r="E23" i="12"/>
  <c r="Q22" i="12"/>
  <c r="K22" i="12"/>
  <c r="E22" i="12"/>
  <c r="Q21" i="12"/>
  <c r="K21" i="12"/>
  <c r="E21" i="12"/>
  <c r="Q20" i="12"/>
  <c r="K20" i="12"/>
  <c r="E20" i="12"/>
  <c r="Q19" i="12"/>
  <c r="K19" i="12"/>
  <c r="E19" i="12"/>
  <c r="Q18" i="12"/>
  <c r="K18" i="12"/>
  <c r="E18" i="12"/>
  <c r="Q17" i="12"/>
  <c r="K17" i="12"/>
  <c r="E17" i="12"/>
  <c r="Q16" i="12"/>
  <c r="K16" i="12"/>
  <c r="E16" i="12"/>
  <c r="Q15" i="12"/>
  <c r="K15" i="12"/>
  <c r="E15" i="12"/>
  <c r="Q14" i="12"/>
  <c r="K14" i="12"/>
  <c r="E14" i="12"/>
  <c r="Q13" i="12"/>
  <c r="K13" i="12"/>
  <c r="E13" i="12"/>
  <c r="Q12" i="12"/>
  <c r="K12" i="12"/>
  <c r="E12" i="12"/>
  <c r="Q11" i="12"/>
  <c r="K11" i="12"/>
  <c r="E11" i="12"/>
  <c r="Q10" i="12"/>
  <c r="K10" i="12"/>
  <c r="E10" i="12"/>
  <c r="Q9" i="12"/>
  <c r="K9" i="12"/>
  <c r="E9" i="12"/>
  <c r="Q8" i="12"/>
  <c r="K8" i="12"/>
  <c r="E8" i="12"/>
  <c r="E38" i="11"/>
  <c r="P52" i="10"/>
  <c r="N52" i="10"/>
  <c r="K52" i="10"/>
  <c r="I52" i="10"/>
  <c r="F52" i="10"/>
  <c r="D52" i="10"/>
  <c r="I37" i="9"/>
  <c r="H37" i="9"/>
  <c r="G37" i="9"/>
  <c r="F37" i="9"/>
  <c r="E37" i="9"/>
  <c r="D37" i="9"/>
  <c r="I38" i="8"/>
  <c r="H38" i="8"/>
  <c r="G38" i="8"/>
  <c r="F38" i="8"/>
  <c r="E38" i="8"/>
  <c r="D38" i="8"/>
  <c r="M36" i="7"/>
  <c r="L36" i="7"/>
  <c r="K36" i="7"/>
  <c r="J36" i="7"/>
  <c r="I36" i="7"/>
  <c r="H36" i="7"/>
  <c r="G36" i="7"/>
  <c r="F36" i="7"/>
  <c r="E36" i="7"/>
  <c r="D36" i="7"/>
  <c r="T172" i="1"/>
  <c r="R172" i="1"/>
  <c r="P172" i="1"/>
  <c r="O172" i="1"/>
  <c r="N172" i="1"/>
  <c r="M172" i="1"/>
  <c r="L172" i="1"/>
  <c r="K172" i="1"/>
  <c r="I172" i="1"/>
  <c r="G172" i="1"/>
  <c r="E172" i="1"/>
  <c r="S171" i="1"/>
  <c r="Q171" i="1"/>
  <c r="C171" i="1"/>
  <c r="S170" i="1"/>
  <c r="Q170" i="1"/>
  <c r="C170" i="1" s="1"/>
  <c r="S169" i="1"/>
  <c r="Q169" i="1"/>
  <c r="C169" i="1"/>
  <c r="S168" i="1"/>
  <c r="Q168" i="1"/>
  <c r="C168" i="1"/>
  <c r="S167" i="1"/>
  <c r="Q167" i="1"/>
  <c r="C167" i="1"/>
  <c r="S166" i="1"/>
  <c r="Q166" i="1"/>
  <c r="C166" i="1" s="1"/>
  <c r="S165" i="1"/>
  <c r="Q165" i="1"/>
  <c r="C165" i="1"/>
  <c r="S164" i="1"/>
  <c r="Q164" i="1"/>
  <c r="C164" i="1"/>
  <c r="S163" i="1"/>
  <c r="Q163" i="1"/>
  <c r="C163" i="1"/>
  <c r="S162" i="1"/>
  <c r="Q162" i="1"/>
  <c r="C162" i="1" s="1"/>
  <c r="S161" i="1"/>
  <c r="Q161" i="1"/>
  <c r="C161" i="1"/>
  <c r="S160" i="1"/>
  <c r="Q160" i="1"/>
  <c r="C160" i="1"/>
  <c r="S159" i="1"/>
  <c r="Q159" i="1"/>
  <c r="C159" i="1"/>
  <c r="S158" i="1"/>
  <c r="Q158" i="1"/>
  <c r="C158" i="1" s="1"/>
  <c r="S157" i="1"/>
  <c r="Q157" i="1"/>
  <c r="C157" i="1"/>
  <c r="S156" i="1"/>
  <c r="Q156" i="1"/>
  <c r="C156" i="1"/>
  <c r="S155" i="1"/>
  <c r="Q155" i="1"/>
  <c r="C155" i="1"/>
  <c r="S154" i="1"/>
  <c r="Q154" i="1"/>
  <c r="C154" i="1" s="1"/>
  <c r="S153" i="1"/>
  <c r="Q153" i="1"/>
  <c r="C153" i="1"/>
  <c r="S152" i="1"/>
  <c r="Q152" i="1"/>
  <c r="C152" i="1"/>
  <c r="S151" i="1"/>
  <c r="Q151" i="1"/>
  <c r="C151" i="1"/>
  <c r="S150" i="1"/>
  <c r="Q150" i="1"/>
  <c r="C150" i="1" s="1"/>
  <c r="S149" i="1"/>
  <c r="Q149" i="1"/>
  <c r="C149" i="1"/>
  <c r="S148" i="1"/>
  <c r="Q148" i="1"/>
  <c r="C148" i="1"/>
  <c r="S147" i="1"/>
  <c r="Q147" i="1"/>
  <c r="C147" i="1"/>
  <c r="S146" i="1"/>
  <c r="Q146" i="1"/>
  <c r="C146" i="1" s="1"/>
  <c r="S145" i="1"/>
  <c r="Q145" i="1"/>
  <c r="C145" i="1"/>
  <c r="S144" i="1"/>
  <c r="Q144" i="1"/>
  <c r="C144" i="1"/>
  <c r="S143" i="1"/>
  <c r="Q143" i="1"/>
  <c r="C143" i="1"/>
  <c r="S142" i="1"/>
  <c r="Q142" i="1"/>
  <c r="C142" i="1" s="1"/>
  <c r="S141" i="1"/>
  <c r="Q141" i="1"/>
  <c r="C141" i="1"/>
  <c r="S140" i="1"/>
  <c r="Q140" i="1"/>
  <c r="C140" i="1"/>
  <c r="S139" i="1"/>
  <c r="Q139" i="1"/>
  <c r="C139" i="1"/>
  <c r="S138" i="1"/>
  <c r="Q138" i="1"/>
  <c r="C138" i="1" s="1"/>
  <c r="S137" i="1"/>
  <c r="Q137" i="1"/>
  <c r="C137" i="1"/>
  <c r="S136" i="1"/>
  <c r="Q136" i="1"/>
  <c r="C136" i="1"/>
  <c r="S135" i="1"/>
  <c r="Q135" i="1"/>
  <c r="C135" i="1"/>
  <c r="S134" i="1"/>
  <c r="Q134" i="1"/>
  <c r="C134" i="1" s="1"/>
  <c r="S133" i="1"/>
  <c r="Q133" i="1"/>
  <c r="C133" i="1"/>
  <c r="S132" i="1"/>
  <c r="Q132" i="1"/>
  <c r="C132" i="1"/>
  <c r="S131" i="1"/>
  <c r="Q131" i="1"/>
  <c r="C131" i="1"/>
  <c r="S130" i="1"/>
  <c r="Q130" i="1"/>
  <c r="C130" i="1" s="1"/>
  <c r="S129" i="1"/>
  <c r="Q129" i="1"/>
  <c r="C129" i="1"/>
  <c r="S128" i="1"/>
  <c r="Q128" i="1"/>
  <c r="C128" i="1"/>
  <c r="S127" i="1"/>
  <c r="Q127" i="1"/>
  <c r="C127" i="1"/>
  <c r="S126" i="1"/>
  <c r="Q126" i="1"/>
  <c r="C126" i="1" s="1"/>
  <c r="S125" i="1"/>
  <c r="Q125" i="1"/>
  <c r="C125" i="1"/>
  <c r="S124" i="1"/>
  <c r="Q124" i="1"/>
  <c r="C124" i="1"/>
  <c r="S123" i="1"/>
  <c r="Q123" i="1"/>
  <c r="C123" i="1"/>
  <c r="S122" i="1"/>
  <c r="Q122" i="1"/>
  <c r="C122" i="1" s="1"/>
  <c r="S121" i="1"/>
  <c r="Q121" i="1"/>
  <c r="C121" i="1"/>
  <c r="S120" i="1"/>
  <c r="Q120" i="1"/>
  <c r="C120" i="1"/>
  <c r="S119" i="1"/>
  <c r="Q119" i="1"/>
  <c r="C119" i="1"/>
  <c r="S118" i="1"/>
  <c r="Q118" i="1"/>
  <c r="C118" i="1" s="1"/>
  <c r="S117" i="1"/>
  <c r="Q117" i="1"/>
  <c r="C117" i="1"/>
  <c r="S116" i="1"/>
  <c r="Q116" i="1"/>
  <c r="C116" i="1"/>
  <c r="S115" i="1"/>
  <c r="Q115" i="1"/>
  <c r="C115" i="1"/>
  <c r="S114" i="1"/>
  <c r="Q114" i="1"/>
  <c r="C114" i="1" s="1"/>
  <c r="S113" i="1"/>
  <c r="Q113" i="1"/>
  <c r="C113" i="1"/>
  <c r="S112" i="1"/>
  <c r="Q112" i="1"/>
  <c r="C112" i="1"/>
  <c r="S111" i="1"/>
  <c r="Q111" i="1"/>
  <c r="C111" i="1"/>
  <c r="S110" i="1"/>
  <c r="Q110" i="1"/>
  <c r="C110" i="1" s="1"/>
  <c r="S109" i="1"/>
  <c r="Q109" i="1"/>
  <c r="C109" i="1"/>
  <c r="S108" i="1"/>
  <c r="Q108" i="1"/>
  <c r="C108" i="1"/>
  <c r="S107" i="1"/>
  <c r="Q107" i="1"/>
  <c r="C107" i="1"/>
  <c r="S106" i="1"/>
  <c r="Q106" i="1"/>
  <c r="C106" i="1" s="1"/>
  <c r="S105" i="1"/>
  <c r="Q105" i="1"/>
  <c r="C105" i="1"/>
  <c r="S104" i="1"/>
  <c r="Q104" i="1"/>
  <c r="C104" i="1"/>
  <c r="S103" i="1"/>
  <c r="Q103" i="1"/>
  <c r="C103" i="1"/>
  <c r="S102" i="1"/>
  <c r="Q102" i="1"/>
  <c r="C102" i="1" s="1"/>
  <c r="S101" i="1"/>
  <c r="Q101" i="1"/>
  <c r="C101" i="1"/>
  <c r="S100" i="1"/>
  <c r="Q100" i="1"/>
  <c r="C100" i="1"/>
  <c r="S99" i="1"/>
  <c r="Q99" i="1"/>
  <c r="C99" i="1"/>
  <c r="S98" i="1"/>
  <c r="Q98" i="1"/>
  <c r="C98" i="1" s="1"/>
  <c r="S97" i="1"/>
  <c r="Q97" i="1"/>
  <c r="C97" i="1"/>
  <c r="S96" i="1"/>
  <c r="Q96" i="1"/>
  <c r="C96" i="1"/>
  <c r="S95" i="1"/>
  <c r="Q95" i="1"/>
  <c r="C95" i="1"/>
  <c r="S94" i="1"/>
  <c r="Q94" i="1"/>
  <c r="C94" i="1" s="1"/>
  <c r="S93" i="1"/>
  <c r="Q93" i="1"/>
  <c r="C93" i="1"/>
  <c r="S92" i="1"/>
  <c r="Q92" i="1"/>
  <c r="C92" i="1"/>
  <c r="S91" i="1"/>
  <c r="Q91" i="1"/>
  <c r="C91" i="1"/>
  <c r="S90" i="1"/>
  <c r="Q90" i="1"/>
  <c r="C90" i="1" s="1"/>
  <c r="S89" i="1"/>
  <c r="Q89" i="1"/>
  <c r="C89" i="1"/>
  <c r="S88" i="1"/>
  <c r="Q88" i="1"/>
  <c r="C88" i="1"/>
  <c r="S87" i="1"/>
  <c r="Q87" i="1"/>
  <c r="C87" i="1"/>
  <c r="S86" i="1"/>
  <c r="Q86" i="1"/>
  <c r="C86" i="1" s="1"/>
  <c r="S85" i="1"/>
  <c r="Q85" i="1"/>
  <c r="C85" i="1"/>
  <c r="S84" i="1"/>
  <c r="Q84" i="1"/>
  <c r="C84" i="1"/>
  <c r="S83" i="1"/>
  <c r="Q83" i="1"/>
  <c r="C83" i="1"/>
  <c r="S82" i="1"/>
  <c r="Q82" i="1"/>
  <c r="C82" i="1" s="1"/>
  <c r="S81" i="1"/>
  <c r="Q81" i="1"/>
  <c r="C81" i="1"/>
  <c r="S80" i="1"/>
  <c r="Q80" i="1"/>
  <c r="C80" i="1"/>
  <c r="S79" i="1"/>
  <c r="Q79" i="1"/>
  <c r="C79" i="1"/>
  <c r="S78" i="1"/>
  <c r="Q78" i="1"/>
  <c r="C78" i="1" s="1"/>
  <c r="S77" i="1"/>
  <c r="Q77" i="1"/>
  <c r="C77" i="1"/>
  <c r="S76" i="1"/>
  <c r="Q76" i="1"/>
  <c r="C76" i="1"/>
  <c r="S75" i="1"/>
  <c r="Q75" i="1"/>
  <c r="C75" i="1"/>
  <c r="S74" i="1"/>
  <c r="Q74" i="1"/>
  <c r="C74" i="1" s="1"/>
  <c r="S73" i="1"/>
  <c r="Q73" i="1"/>
  <c r="C73" i="1"/>
  <c r="S72" i="1"/>
  <c r="Q72" i="1"/>
  <c r="C72" i="1"/>
  <c r="S71" i="1"/>
  <c r="Q71" i="1"/>
  <c r="C71" i="1"/>
  <c r="S70" i="1"/>
  <c r="Q70" i="1"/>
  <c r="C70" i="1" s="1"/>
  <c r="S69" i="1"/>
  <c r="Q69" i="1"/>
  <c r="C69" i="1"/>
  <c r="S68" i="1"/>
  <c r="Q68" i="1"/>
  <c r="C68" i="1"/>
  <c r="S67" i="1"/>
  <c r="Q67" i="1"/>
  <c r="C67" i="1"/>
  <c r="S66" i="1"/>
  <c r="Q66" i="1"/>
  <c r="C66" i="1" s="1"/>
  <c r="S65" i="1"/>
  <c r="Q65" i="1"/>
  <c r="C65" i="1"/>
  <c r="S64" i="1"/>
  <c r="Q64" i="1"/>
  <c r="C64" i="1"/>
  <c r="S63" i="1"/>
  <c r="Q63" i="1"/>
  <c r="C63" i="1"/>
  <c r="S62" i="1"/>
  <c r="Q62" i="1"/>
  <c r="C62" i="1" s="1"/>
  <c r="S61" i="1"/>
  <c r="Q61" i="1"/>
  <c r="C61" i="1"/>
  <c r="S60" i="1"/>
  <c r="Q60" i="1"/>
  <c r="C60" i="1"/>
  <c r="S59" i="1"/>
  <c r="Q59" i="1"/>
  <c r="C59" i="1"/>
  <c r="S58" i="1"/>
  <c r="Q58" i="1"/>
  <c r="C58" i="1" s="1"/>
  <c r="S57" i="1"/>
  <c r="Q57" i="1"/>
  <c r="C57" i="1"/>
  <c r="S56" i="1"/>
  <c r="Q56" i="1"/>
  <c r="C56" i="1"/>
  <c r="S55" i="1"/>
  <c r="Q55" i="1"/>
  <c r="C55" i="1"/>
  <c r="S54" i="1"/>
  <c r="Q54" i="1"/>
  <c r="C54" i="1" s="1"/>
  <c r="S53" i="1"/>
  <c r="Q53" i="1"/>
  <c r="C53" i="1"/>
  <c r="S52" i="1"/>
  <c r="Q52" i="1"/>
  <c r="C52" i="1"/>
  <c r="S51" i="1"/>
  <c r="Q51" i="1"/>
  <c r="C51" i="1"/>
  <c r="S50" i="1"/>
  <c r="Q50" i="1"/>
  <c r="C50" i="1" s="1"/>
  <c r="S49" i="1"/>
  <c r="Q49" i="1"/>
  <c r="C49" i="1"/>
  <c r="S48" i="1"/>
  <c r="Q48" i="1"/>
  <c r="C48" i="1"/>
  <c r="S47" i="1"/>
  <c r="Q47" i="1"/>
  <c r="C47" i="1"/>
  <c r="S46" i="1"/>
  <c r="Q46" i="1"/>
  <c r="C46" i="1" s="1"/>
  <c r="S45" i="1"/>
  <c r="Q45" i="1"/>
  <c r="C45" i="1"/>
  <c r="S44" i="1"/>
  <c r="Q44" i="1"/>
  <c r="C44" i="1"/>
  <c r="S43" i="1"/>
  <c r="Q43" i="1"/>
  <c r="C43" i="1"/>
  <c r="S42" i="1"/>
  <c r="Q42" i="1"/>
  <c r="C42" i="1" s="1"/>
  <c r="S41" i="1"/>
  <c r="Q41" i="1"/>
  <c r="C41" i="1"/>
  <c r="S40" i="1"/>
  <c r="Q40" i="1"/>
  <c r="C40" i="1"/>
  <c r="S39" i="1"/>
  <c r="Q39" i="1"/>
  <c r="C39" i="1"/>
  <c r="S38" i="1"/>
  <c r="Q38" i="1"/>
  <c r="C38" i="1" s="1"/>
  <c r="S37" i="1"/>
  <c r="Q37" i="1"/>
  <c r="C37" i="1"/>
  <c r="S36" i="1"/>
  <c r="Q36" i="1"/>
  <c r="C36" i="1"/>
  <c r="S35" i="1"/>
  <c r="Q35" i="1"/>
  <c r="C35" i="1"/>
  <c r="S34" i="1"/>
  <c r="Q34" i="1"/>
  <c r="C34" i="1" s="1"/>
  <c r="S33" i="1"/>
  <c r="Q33" i="1"/>
  <c r="C33" i="1" s="1"/>
  <c r="S32" i="1"/>
  <c r="Q32" i="1"/>
  <c r="C32" i="1"/>
  <c r="S31" i="1"/>
  <c r="Q31" i="1"/>
  <c r="C31" i="1"/>
  <c r="S30" i="1"/>
  <c r="Q30" i="1"/>
  <c r="C30" i="1" s="1"/>
  <c r="S29" i="1"/>
  <c r="Q29" i="1"/>
  <c r="C29" i="1" s="1"/>
  <c r="S28" i="1"/>
  <c r="Q28" i="1"/>
  <c r="C28" i="1"/>
  <c r="S27" i="1"/>
  <c r="Q27" i="1"/>
  <c r="C27" i="1"/>
  <c r="S26" i="1"/>
  <c r="Q26" i="1"/>
  <c r="C26" i="1" s="1"/>
  <c r="S25" i="1"/>
  <c r="Q25" i="1"/>
  <c r="C25" i="1"/>
  <c r="S24" i="1"/>
  <c r="Q24" i="1"/>
  <c r="C24" i="1" s="1"/>
  <c r="S23" i="1"/>
  <c r="Q23" i="1"/>
  <c r="C23" i="1"/>
  <c r="S22" i="1"/>
  <c r="Q22" i="1"/>
  <c r="C22" i="1" s="1"/>
  <c r="S21" i="1"/>
  <c r="Q21" i="1"/>
  <c r="C21" i="1" s="1"/>
  <c r="S20" i="1"/>
  <c r="Q20" i="1"/>
  <c r="C20" i="1" s="1"/>
  <c r="S19" i="1"/>
  <c r="Q19" i="1"/>
  <c r="C19" i="1"/>
  <c r="S18" i="1"/>
  <c r="Q18" i="1"/>
  <c r="C18" i="1" s="1"/>
  <c r="S17" i="1"/>
  <c r="Q17" i="1"/>
  <c r="C17" i="1" s="1"/>
  <c r="S16" i="1"/>
  <c r="Q16" i="1"/>
  <c r="C16" i="1" s="1"/>
  <c r="S15" i="1"/>
  <c r="Q15" i="1"/>
  <c r="C15" i="1"/>
  <c r="S14" i="1"/>
  <c r="Q14" i="1"/>
  <c r="C14" i="1" s="1"/>
  <c r="S13" i="1"/>
  <c r="Q13" i="1"/>
  <c r="C13" i="1" s="1"/>
  <c r="S12" i="1"/>
  <c r="Q12" i="1"/>
  <c r="C12" i="1"/>
  <c r="S11" i="1"/>
  <c r="Q11" i="1"/>
  <c r="C11" i="1"/>
  <c r="G369" i="4"/>
  <c r="G365" i="4"/>
  <c r="G361" i="4"/>
  <c r="E345" i="4"/>
  <c r="E335" i="4"/>
  <c r="E334" i="4"/>
  <c r="E333" i="4"/>
  <c r="E332" i="4"/>
  <c r="G331" i="4"/>
  <c r="E331" i="4"/>
  <c r="E330" i="4"/>
  <c r="E329" i="4"/>
  <c r="E328" i="4"/>
  <c r="E327" i="4"/>
  <c r="E326" i="4"/>
  <c r="E325" i="4"/>
  <c r="E324" i="4"/>
  <c r="G323" i="4"/>
  <c r="E323" i="4"/>
  <c r="E322" i="4"/>
  <c r="E321" i="4"/>
  <c r="E320" i="4"/>
  <c r="E319" i="4"/>
  <c r="E318" i="4"/>
  <c r="E317" i="4"/>
  <c r="E316" i="4"/>
  <c r="G315" i="4"/>
  <c r="E315" i="4"/>
  <c r="E314" i="4"/>
  <c r="E313" i="4"/>
  <c r="E312" i="4"/>
  <c r="E311" i="4"/>
  <c r="E310" i="4"/>
  <c r="E309" i="4"/>
  <c r="E308" i="4"/>
  <c r="G307" i="4"/>
  <c r="E307" i="4"/>
  <c r="E306" i="4"/>
  <c r="E305" i="4"/>
  <c r="E304" i="4"/>
  <c r="E303" i="4"/>
  <c r="E302" i="4"/>
  <c r="E301" i="4"/>
  <c r="G300" i="4"/>
  <c r="E300" i="4"/>
  <c r="G299" i="4"/>
  <c r="E299" i="4"/>
  <c r="G298" i="4"/>
  <c r="E298" i="4"/>
  <c r="G297" i="4"/>
  <c r="E297" i="4"/>
  <c r="G296" i="4"/>
  <c r="E296" i="4"/>
  <c r="G295" i="4"/>
  <c r="E295" i="4"/>
  <c r="E294" i="4"/>
  <c r="G293" i="4"/>
  <c r="E293" i="4"/>
  <c r="E292" i="4"/>
  <c r="G291" i="4"/>
  <c r="E291" i="4"/>
  <c r="G290" i="4"/>
  <c r="E290" i="4"/>
  <c r="E283"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351" i="4" s="1"/>
  <c r="G219" i="4"/>
  <c r="E219" i="4"/>
  <c r="E218" i="4"/>
  <c r="E217" i="4"/>
  <c r="E353" i="4" s="1"/>
  <c r="E216" i="4"/>
  <c r="E215" i="4"/>
  <c r="E214" i="4"/>
  <c r="E213" i="4"/>
  <c r="E212" i="4"/>
  <c r="G211" i="4"/>
  <c r="E211" i="4"/>
  <c r="E210" i="4"/>
  <c r="E209" i="4"/>
  <c r="E208" i="4"/>
  <c r="E207" i="4"/>
  <c r="G335" i="4" s="1"/>
  <c r="E206" i="4"/>
  <c r="G311" i="4" s="1"/>
  <c r="E205" i="4"/>
  <c r="G310" i="4" s="1"/>
  <c r="E204" i="4"/>
  <c r="G309" i="4" s="1"/>
  <c r="G203" i="4"/>
  <c r="E203" i="4"/>
  <c r="G308" i="4" s="1"/>
  <c r="E202" i="4"/>
  <c r="E201" i="4"/>
  <c r="G306" i="4" s="1"/>
  <c r="E200" i="4"/>
  <c r="G305" i="4" s="1"/>
  <c r="E199" i="4"/>
  <c r="G304" i="4" s="1"/>
  <c r="E198" i="4"/>
  <c r="G303" i="4" s="1"/>
  <c r="E197" i="4"/>
  <c r="G302" i="4" s="1"/>
  <c r="E196" i="4"/>
  <c r="G301" i="4" s="1"/>
  <c r="G163" i="4"/>
  <c r="E163" i="4"/>
  <c r="E162" i="4"/>
  <c r="G161" i="4"/>
  <c r="E161" i="4"/>
  <c r="E160" i="4"/>
  <c r="G159" i="4"/>
  <c r="E159" i="4"/>
  <c r="E158" i="4"/>
  <c r="G157" i="4"/>
  <c r="E157" i="4"/>
  <c r="E156" i="4"/>
  <c r="G155" i="4"/>
  <c r="E155" i="4"/>
  <c r="E154" i="4"/>
  <c r="G153" i="4"/>
  <c r="E153" i="4"/>
  <c r="E152" i="4"/>
  <c r="G151" i="4"/>
  <c r="E151" i="4"/>
  <c r="E150" i="4"/>
  <c r="G149" i="4"/>
  <c r="E149" i="4"/>
  <c r="E148" i="4"/>
  <c r="G147" i="4"/>
  <c r="E147" i="4"/>
  <c r="E146" i="4"/>
  <c r="G145" i="4"/>
  <c r="E145" i="4"/>
  <c r="G222" i="4" s="1"/>
  <c r="E144" i="4"/>
  <c r="G221" i="4" s="1"/>
  <c r="G143" i="4"/>
  <c r="E143" i="4"/>
  <c r="G220" i="4" s="1"/>
  <c r="E142" i="4"/>
  <c r="G141" i="4"/>
  <c r="E141" i="4"/>
  <c r="G218" i="4" s="1"/>
  <c r="E140" i="4"/>
  <c r="G217" i="4" s="1"/>
  <c r="G139" i="4"/>
  <c r="E139" i="4"/>
  <c r="G216" i="4" s="1"/>
  <c r="E138" i="4"/>
  <c r="G215" i="4" s="1"/>
  <c r="G137" i="4"/>
  <c r="E137" i="4"/>
  <c r="G214" i="4" s="1"/>
  <c r="E136" i="4"/>
  <c r="G213" i="4" s="1"/>
  <c r="G135" i="4"/>
  <c r="E135" i="4"/>
  <c r="G212" i="4" s="1"/>
  <c r="E134" i="4"/>
  <c r="G133" i="4"/>
  <c r="E133" i="4"/>
  <c r="G210" i="4" s="1"/>
  <c r="E132" i="4"/>
  <c r="G209" i="4" s="1"/>
  <c r="G131" i="4"/>
  <c r="E131" i="4"/>
  <c r="G208" i="4" s="1"/>
  <c r="E130" i="4"/>
  <c r="G207" i="4" s="1"/>
  <c r="G129" i="4"/>
  <c r="E129" i="4"/>
  <c r="G206" i="4" s="1"/>
  <c r="E128" i="4"/>
  <c r="G205" i="4" s="1"/>
  <c r="G127" i="4"/>
  <c r="E127" i="4"/>
  <c r="G204" i="4" s="1"/>
  <c r="E126" i="4"/>
  <c r="G125" i="4"/>
  <c r="E125" i="4"/>
  <c r="G202" i="4" s="1"/>
  <c r="E124" i="4"/>
  <c r="G201" i="4" s="1"/>
  <c r="G123" i="4"/>
  <c r="E123" i="4"/>
  <c r="G200" i="4" s="1"/>
  <c r="E122" i="4"/>
  <c r="G199" i="4" s="1"/>
  <c r="G121" i="4"/>
  <c r="E121" i="4"/>
  <c r="G198" i="4" s="1"/>
  <c r="E120" i="4"/>
  <c r="G197" i="4" s="1"/>
  <c r="G119" i="4"/>
  <c r="E119" i="4"/>
  <c r="G196" i="4" s="1"/>
  <c r="E118" i="4"/>
  <c r="G117" i="4"/>
  <c r="E117" i="4"/>
  <c r="E116" i="4"/>
  <c r="G115" i="4"/>
  <c r="E115" i="4"/>
  <c r="E114" i="4"/>
  <c r="G113" i="4"/>
  <c r="E113" i="4"/>
  <c r="E112" i="4"/>
  <c r="G111" i="4"/>
  <c r="E111" i="4"/>
  <c r="E110" i="4"/>
  <c r="G109" i="4"/>
  <c r="E109" i="4"/>
  <c r="E108" i="4"/>
  <c r="G107" i="4"/>
  <c r="E107" i="4"/>
  <c r="E106" i="4"/>
  <c r="G105" i="4"/>
  <c r="E105" i="4"/>
  <c r="E104" i="4"/>
  <c r="G103" i="4"/>
  <c r="E103" i="4"/>
  <c r="E102" i="4"/>
  <c r="G101" i="4"/>
  <c r="E101" i="4"/>
  <c r="E100" i="4"/>
  <c r="G99" i="4"/>
  <c r="E99" i="4"/>
  <c r="E98" i="4"/>
  <c r="G97" i="4"/>
  <c r="E97" i="4"/>
  <c r="E96" i="4"/>
  <c r="G95" i="4"/>
  <c r="E95" i="4"/>
  <c r="E94" i="4"/>
  <c r="G93" i="4"/>
  <c r="E93" i="4"/>
  <c r="E92" i="4"/>
  <c r="G91" i="4"/>
  <c r="E91" i="4"/>
  <c r="E90" i="4"/>
  <c r="G89" i="4"/>
  <c r="E89" i="4"/>
  <c r="E88" i="4"/>
  <c r="G87" i="4"/>
  <c r="E87" i="4"/>
  <c r="G86" i="4"/>
  <c r="E86" i="4"/>
  <c r="G85" i="4"/>
  <c r="E85" i="4"/>
  <c r="G162" i="4" s="1"/>
  <c r="E84" i="4"/>
  <c r="G84" i="4" s="1"/>
  <c r="G83" i="4"/>
  <c r="E83" i="4"/>
  <c r="E82" i="4"/>
  <c r="G82" i="4" s="1"/>
  <c r="G81" i="4"/>
  <c r="E81" i="4"/>
  <c r="E80" i="4"/>
  <c r="G80" i="4" s="1"/>
  <c r="G79" i="4"/>
  <c r="E79" i="4"/>
  <c r="E78" i="4"/>
  <c r="G78" i="4" s="1"/>
  <c r="G77" i="4"/>
  <c r="E77" i="4"/>
  <c r="E76" i="4"/>
  <c r="G76" i="4" s="1"/>
  <c r="G75" i="4"/>
  <c r="E75" i="4"/>
  <c r="E74" i="4"/>
  <c r="G74" i="4" s="1"/>
  <c r="G73" i="4"/>
  <c r="E73" i="4"/>
  <c r="E72" i="4"/>
  <c r="G72" i="4" s="1"/>
  <c r="G71" i="4"/>
  <c r="E71" i="4"/>
  <c r="E70" i="4"/>
  <c r="G70" i="4" s="1"/>
  <c r="G69" i="4"/>
  <c r="E69" i="4"/>
  <c r="E68" i="4"/>
  <c r="G68" i="4" s="1"/>
  <c r="G67" i="4"/>
  <c r="E67" i="4"/>
  <c r="E66" i="4"/>
  <c r="G66" i="4" s="1"/>
  <c r="G65" i="4"/>
  <c r="E65" i="4"/>
  <c r="E64" i="4"/>
  <c r="G64" i="4" s="1"/>
  <c r="G63" i="4"/>
  <c r="E63" i="4"/>
  <c r="E62" i="4"/>
  <c r="G62" i="4" s="1"/>
  <c r="G61" i="4"/>
  <c r="E61" i="4"/>
  <c r="E60" i="4"/>
  <c r="G60" i="4" s="1"/>
  <c r="E59" i="4"/>
  <c r="G59" i="4" s="1"/>
  <c r="E58" i="4"/>
  <c r="G58" i="4" s="1"/>
  <c r="E57" i="4"/>
  <c r="G57" i="4" s="1"/>
  <c r="E56" i="4"/>
  <c r="G56" i="4" s="1"/>
  <c r="E55" i="4"/>
  <c r="G55" i="4" s="1"/>
  <c r="E54" i="4"/>
  <c r="G54" i="4" s="1"/>
  <c r="E53" i="4"/>
  <c r="G53" i="4" s="1"/>
  <c r="E52" i="4"/>
  <c r="G52" i="4" s="1"/>
  <c r="E51" i="4"/>
  <c r="G51" i="4" s="1"/>
  <c r="E50" i="4"/>
  <c r="G50" i="4" s="1"/>
  <c r="E49" i="4"/>
  <c r="G49" i="4" s="1"/>
  <c r="E48" i="4"/>
  <c r="G48" i="4" s="1"/>
  <c r="E47" i="4"/>
  <c r="G47" i="4" s="1"/>
  <c r="E46" i="4"/>
  <c r="G46" i="4" s="1"/>
  <c r="E45" i="4"/>
  <c r="G45" i="4" s="1"/>
  <c r="E44" i="4"/>
  <c r="G44" i="4" s="1"/>
  <c r="E43" i="4"/>
  <c r="G43" i="4" s="1"/>
  <c r="E42" i="4"/>
  <c r="G42" i="4" s="1"/>
  <c r="E41" i="4"/>
  <c r="G41" i="4" s="1"/>
  <c r="E40" i="4"/>
  <c r="G40" i="4" s="1"/>
  <c r="E39" i="4"/>
  <c r="G39" i="4" s="1"/>
  <c r="E38" i="4"/>
  <c r="G38" i="4" s="1"/>
  <c r="E37" i="4"/>
  <c r="G37" i="4" s="1"/>
  <c r="E36" i="4"/>
  <c r="G36" i="4" s="1"/>
  <c r="E35" i="4"/>
  <c r="G35" i="4" s="1"/>
  <c r="E34" i="4"/>
  <c r="G34" i="4" s="1"/>
  <c r="E33" i="4"/>
  <c r="G33" i="4" s="1"/>
  <c r="E32" i="4"/>
  <c r="G32" i="4" s="1"/>
  <c r="E31" i="4"/>
  <c r="G31" i="4" s="1"/>
  <c r="E30" i="4"/>
  <c r="G30" i="4" s="1"/>
  <c r="E29" i="4"/>
  <c r="G29" i="4" s="1"/>
  <c r="E28" i="4"/>
  <c r="G28" i="4" s="1"/>
  <c r="E27" i="4"/>
  <c r="G27" i="4" s="1"/>
  <c r="E26" i="4"/>
  <c r="G26" i="4" s="1"/>
  <c r="E25" i="4"/>
  <c r="G25" i="4" s="1"/>
  <c r="E24" i="4"/>
  <c r="G24" i="4" s="1"/>
  <c r="E23" i="4"/>
  <c r="G23" i="4" s="1"/>
  <c r="E22" i="4"/>
  <c r="G22" i="4" s="1"/>
  <c r="E21" i="4"/>
  <c r="G21" i="4" s="1"/>
  <c r="E20" i="4"/>
  <c r="G20" i="4" s="1"/>
  <c r="E19" i="4"/>
  <c r="G19" i="4" s="1"/>
  <c r="E18" i="4"/>
  <c r="G18" i="4" s="1"/>
  <c r="E17" i="4"/>
  <c r="G17" i="4" s="1"/>
  <c r="E16" i="4"/>
  <c r="G16" i="4" s="1"/>
  <c r="E15" i="4"/>
  <c r="G15" i="4" s="1"/>
  <c r="E14" i="4"/>
  <c r="G14" i="4" s="1"/>
  <c r="E13" i="4"/>
  <c r="G13" i="4" s="1"/>
  <c r="E12" i="4"/>
  <c r="G12" i="4" s="1"/>
  <c r="E11" i="4"/>
  <c r="G11" i="4" s="1"/>
  <c r="E10" i="4"/>
  <c r="G345" i="4" l="1"/>
  <c r="G250" i="4"/>
  <c r="G248" i="4"/>
  <c r="G246" i="4"/>
  <c r="G244" i="4"/>
  <c r="G242" i="4"/>
  <c r="G240" i="4"/>
  <c r="G238" i="4"/>
  <c r="G236" i="4"/>
  <c r="G234" i="4"/>
  <c r="G251" i="4"/>
  <c r="G243" i="4"/>
  <c r="G235" i="4"/>
  <c r="G245" i="4"/>
  <c r="G237" i="4"/>
  <c r="G232" i="4"/>
  <c r="G230" i="4"/>
  <c r="G228" i="4"/>
  <c r="G226" i="4"/>
  <c r="G224" i="4"/>
  <c r="G247" i="4"/>
  <c r="G239" i="4"/>
  <c r="E172" i="4"/>
  <c r="G225" i="4"/>
  <c r="G233" i="4"/>
  <c r="G227" i="4"/>
  <c r="G241" i="4"/>
  <c r="E253" i="4"/>
  <c r="E187" i="4"/>
  <c r="E165" i="4"/>
  <c r="E281" i="4" s="1"/>
  <c r="G223" i="4"/>
  <c r="G353" i="4" s="1"/>
  <c r="G231" i="4"/>
  <c r="G363" i="4" s="1"/>
  <c r="G10" i="4"/>
  <c r="G165" i="4" s="1"/>
  <c r="E189" i="4"/>
  <c r="G294" i="4" s="1"/>
  <c r="G351" i="4"/>
  <c r="E261" i="4"/>
  <c r="G229" i="4"/>
  <c r="G249" i="4"/>
  <c r="G313" i="4"/>
  <c r="G321" i="4"/>
  <c r="G329" i="4"/>
  <c r="C172" i="1"/>
  <c r="G88" i="4"/>
  <c r="G172" i="4" s="1"/>
  <c r="G90" i="4"/>
  <c r="G92" i="4"/>
  <c r="G94" i="4"/>
  <c r="G96" i="4"/>
  <c r="G98" i="4"/>
  <c r="G100" i="4"/>
  <c r="G102" i="4"/>
  <c r="G104" i="4"/>
  <c r="G106" i="4"/>
  <c r="G108" i="4"/>
  <c r="G110" i="4"/>
  <c r="G189" i="4" s="1"/>
  <c r="G112" i="4"/>
  <c r="G359" i="4" s="1"/>
  <c r="G114" i="4"/>
  <c r="G116" i="4"/>
  <c r="G118" i="4"/>
  <c r="G120" i="4"/>
  <c r="G253" i="4" s="1"/>
  <c r="G122" i="4"/>
  <c r="G124" i="4"/>
  <c r="G126" i="4"/>
  <c r="G128" i="4"/>
  <c r="G130" i="4"/>
  <c r="G132" i="4"/>
  <c r="G134" i="4"/>
  <c r="G136" i="4"/>
  <c r="G138" i="4"/>
  <c r="G140" i="4"/>
  <c r="G142" i="4"/>
  <c r="G144" i="4"/>
  <c r="G146" i="4"/>
  <c r="G148" i="4"/>
  <c r="G150" i="4"/>
  <c r="G152" i="4"/>
  <c r="G154" i="4"/>
  <c r="G156" i="4"/>
  <c r="G283" i="4" s="1"/>
  <c r="G158" i="4"/>
  <c r="G160" i="4"/>
  <c r="G281" i="4" s="1"/>
  <c r="G319" i="4"/>
  <c r="G327" i="4"/>
  <c r="Q172" i="1"/>
  <c r="G367" i="4" s="1"/>
  <c r="G334" i="4"/>
  <c r="G332" i="4"/>
  <c r="G330" i="4"/>
  <c r="G328" i="4"/>
  <c r="G326" i="4"/>
  <c r="G324" i="4"/>
  <c r="G322" i="4"/>
  <c r="G320" i="4"/>
  <c r="G318" i="4"/>
  <c r="G316" i="4"/>
  <c r="G314" i="4"/>
  <c r="G312" i="4"/>
  <c r="G317" i="4"/>
  <c r="G325" i="4"/>
  <c r="G333" i="4"/>
  <c r="S172" i="1"/>
  <c r="J30" i="15"/>
  <c r="J36" i="15" s="1"/>
  <c r="G30" i="15"/>
  <c r="G373" i="4" l="1"/>
  <c r="G292" i="4"/>
  <c r="E337" i="4"/>
  <c r="G261" i="4"/>
  <c r="G187" i="4"/>
  <c r="G337" i="4" s="1"/>
</calcChain>
</file>

<file path=xl/sharedStrings.xml><?xml version="1.0" encoding="utf-8"?>
<sst xmlns="http://schemas.openxmlformats.org/spreadsheetml/2006/main" count="462" uniqueCount="223">
  <si>
    <t>From&gt;&gt;</t>
  </si>
  <si>
    <t>Internal Audit Department</t>
  </si>
  <si>
    <t>User&gt;&gt;</t>
  </si>
  <si>
    <t>Station and Depot Operations</t>
  </si>
  <si>
    <t>Date of issue&gt;&gt;</t>
  </si>
  <si>
    <t>Objective</t>
  </si>
  <si>
    <r>
      <rPr>
        <sz val="11"/>
        <color theme="1"/>
        <rFont val="Corbel"/>
        <family val="2"/>
      </rPr>
      <t xml:space="preserve">The objective of this template is to aid the Station Managers in balancing and reporting the </t>
    </r>
    <r>
      <rPr>
        <b/>
        <u/>
        <sz val="11"/>
        <color theme="1"/>
        <rFont val="Corbel"/>
        <family val="2"/>
      </rPr>
      <t>Sales/Cash</t>
    </r>
    <r>
      <rPr>
        <sz val="11"/>
        <color theme="1"/>
        <rFont val="Corbel"/>
        <family val="2"/>
      </rPr>
      <t xml:space="preserve"> and </t>
    </r>
    <r>
      <rPr>
        <b/>
        <u/>
        <sz val="11"/>
        <color theme="1"/>
        <rFont val="Corbel"/>
        <family val="2"/>
      </rPr>
      <t>Stock position</t>
    </r>
    <r>
      <rPr>
        <sz val="11"/>
        <color theme="1"/>
        <rFont val="Corbel"/>
        <family val="2"/>
      </rPr>
      <t xml:space="preserve"> of the Station on a monthly basis. It will also assist the Station Manager in carrying out a Self review of the Station activities for the month for the purpose of reporting an accurate position of the Station's lodgement, Expenses, Stock, Product received and Consumptions to the various stakeholders.</t>
    </r>
  </si>
  <si>
    <t>Instruction</t>
  </si>
  <si>
    <r>
      <rPr>
        <sz val="11"/>
        <color theme="1"/>
        <rFont val="Corbel"/>
        <family val="2"/>
      </rPr>
      <t xml:space="preserve">1. This report should be sent to the Internal Audit department not later than 4 working days after the end of the reporting month. </t>
    </r>
    <r>
      <rPr>
        <b/>
        <i/>
        <sz val="11"/>
        <color theme="1"/>
        <rFont val="Corbel"/>
        <family val="2"/>
      </rPr>
      <t>For example, the report for September 2018 should be sent latest by 4th of October 2018.</t>
    </r>
    <r>
      <rPr>
        <sz val="11"/>
        <color theme="1"/>
        <rFont val="Corbel"/>
        <family val="2"/>
      </rPr>
      <t xml:space="preserve">
2. This template is a replica of the Station record (The daily Sales, Expenses, Stock, Lodgment, Product received and Consumption book). Thus, at every point, the data captured herein must agree with what is captured in the Station record.
3.</t>
    </r>
    <r>
      <rPr>
        <b/>
        <i/>
        <u/>
        <sz val="11"/>
        <color theme="1"/>
        <rFont val="Corbel"/>
        <family val="2"/>
      </rPr>
      <t>Sheet 2 (Sales/Cash Reconciliaition)</t>
    </r>
    <r>
      <rPr>
        <sz val="11"/>
        <color theme="1"/>
        <rFont val="Corbel"/>
        <family val="2"/>
      </rPr>
      <t xml:space="preserve"> contains the Sales/Cash reconciliation and must be balanced before sending it for review to the Internal Audit department.
4.At no point should there be any difference between the data captured in this template and what is captured in the Station book. This will be reviewed during audit visit for any discrepancy/inconsistency.
5.</t>
    </r>
    <r>
      <rPr>
        <b/>
        <i/>
        <u/>
        <sz val="11"/>
        <color theme="1"/>
        <rFont val="Corbel"/>
        <family val="2"/>
      </rPr>
      <t>Sheet 3 (Stock Position)</t>
    </r>
    <r>
      <rPr>
        <sz val="11"/>
        <color theme="1"/>
        <rFont val="Corbel"/>
        <family val="2"/>
      </rPr>
      <t xml:space="preserve"> has figures that are linked and protected and as such no data should be keyed-in apart from the respective month and period. The sheet 3 is the result of the stock position of the Station at the end of the month.
6.Some of the rows are protected expecially the ones </t>
    </r>
    <r>
      <rPr>
        <b/>
        <sz val="11"/>
        <color theme="1"/>
        <rFont val="Corbel"/>
        <family val="2"/>
      </rPr>
      <t>highlighted in "Yellow"</t>
    </r>
    <r>
      <rPr>
        <sz val="11"/>
        <color theme="1"/>
        <rFont val="Corbel"/>
        <family val="2"/>
      </rPr>
      <t>..PLEASE do not bother to populate those cells as they have been formularised and protected to prevent any alteration or modification.
7. Sheet 2 and 3 (Highlighted in yellow) shows the result of the Station of the month in terms of Sales/cash and Stock respectively. These sheets must be balanced before sending for review on a monthly basis.</t>
    </r>
  </si>
  <si>
    <t>Audit Contact</t>
  </si>
  <si>
    <r>
      <rPr>
        <sz val="11"/>
        <color theme="1"/>
        <rFont val="Corbel"/>
        <family val="2"/>
      </rPr>
      <t xml:space="preserve">All the sheets must be populated with accurate figure in order to determine the Actual </t>
    </r>
    <r>
      <rPr>
        <b/>
        <u/>
        <sz val="11"/>
        <color theme="1"/>
        <rFont val="Corbel"/>
        <family val="2"/>
      </rPr>
      <t>Cash and Stock Position</t>
    </r>
    <r>
      <rPr>
        <sz val="11"/>
        <color theme="1"/>
        <rFont val="Corbel"/>
        <family val="2"/>
      </rPr>
      <t xml:space="preserve"> of the Station on a monthly basis. This template will be used by the Internal Auditor in carrying out a detailed audit of the Stations activities for the respective months. If you require any clarification on how to navigate the template, kindly reach out to any of the Internal Auditors.
John Oruh---08056799340
Edmond Anifowose--08035127657
Evelyn Chukwulobe--08060109252
</t>
    </r>
  </si>
  <si>
    <t xml:space="preserve"> STATION NAME: </t>
  </si>
  <si>
    <t>LUCKY WAY</t>
  </si>
  <si>
    <t>CASH/SALES RECONCILIATION AS AT 01/03/2026 - 17/03/2026</t>
  </si>
  <si>
    <t>Period of Audit</t>
  </si>
  <si>
    <t>10/07/2023- 16/07/2023</t>
  </si>
  <si>
    <t>PMS Sales for the Period</t>
  </si>
  <si>
    <t>Meter reading</t>
  </si>
  <si>
    <t>Opening (01/03/2026)</t>
  </si>
  <si>
    <t>Closing (17/03/2026)</t>
  </si>
  <si>
    <t xml:space="preserve">   </t>
  </si>
  <si>
    <t>Price</t>
  </si>
  <si>
    <t>Amount</t>
  </si>
  <si>
    <t>PMS 1</t>
  </si>
  <si>
    <t>PMS 2</t>
  </si>
  <si>
    <t>PMS 3</t>
  </si>
  <si>
    <t>PMS 4</t>
  </si>
  <si>
    <t>PMS 5</t>
  </si>
  <si>
    <t>PMS 6</t>
  </si>
  <si>
    <t>PMS 7</t>
  </si>
  <si>
    <t>PMS 8</t>
  </si>
  <si>
    <t>A</t>
  </si>
  <si>
    <t>Total PMS sales for the period</t>
  </si>
  <si>
    <t>B</t>
  </si>
  <si>
    <t>Less Pour back on PMS for the Period</t>
  </si>
  <si>
    <t>C=A-B</t>
  </si>
  <si>
    <t>Net PMS sales for the period</t>
  </si>
  <si>
    <t>Less Consumption on PMS</t>
  </si>
  <si>
    <t>Police</t>
  </si>
  <si>
    <t>Manager Car</t>
  </si>
  <si>
    <t>DSS OFFICIALS</t>
  </si>
  <si>
    <t>Army</t>
  </si>
  <si>
    <t>EDSTMA</t>
  </si>
  <si>
    <t>Weight and Measures</t>
  </si>
  <si>
    <t>Vigilante</t>
  </si>
  <si>
    <t>Security Agents</t>
  </si>
  <si>
    <t>Regional Manager Car</t>
  </si>
  <si>
    <t>Area Manager Car</t>
  </si>
  <si>
    <t>D</t>
  </si>
  <si>
    <t>Total Consumption of PMS for the Period</t>
  </si>
  <si>
    <t>E=C-D</t>
  </si>
  <si>
    <t>Expected Sales of PMS for the period</t>
  </si>
  <si>
    <t>AGO Sales for the period</t>
  </si>
  <si>
    <t>Quantity dispensed</t>
  </si>
  <si>
    <t>AGO 1</t>
  </si>
  <si>
    <t>AGO 2</t>
  </si>
  <si>
    <t>Total AGO  Sales for the period</t>
  </si>
  <si>
    <t xml:space="preserve"> B</t>
  </si>
  <si>
    <t>Less Pourback on AGO for the Period</t>
  </si>
  <si>
    <t>LOGISTICS</t>
  </si>
  <si>
    <t>Weight and measure</t>
  </si>
  <si>
    <t>Pour Back After Pump Repairs</t>
  </si>
  <si>
    <t>Net AGO Sales for the period</t>
  </si>
  <si>
    <t>Less Consumption on AGO</t>
  </si>
  <si>
    <t>Generator</t>
  </si>
  <si>
    <t>MDS Logistics Truck</t>
  </si>
  <si>
    <t>Logistics Truck</t>
  </si>
  <si>
    <t>Total Consumption of AGO for the Period</t>
  </si>
  <si>
    <t>Expected AGO Sales for the period</t>
  </si>
  <si>
    <t>DPK Sales for the period</t>
  </si>
  <si>
    <t>DPK 1</t>
  </si>
  <si>
    <t>DPK 2</t>
  </si>
  <si>
    <t>Total DPK sales for the period</t>
  </si>
  <si>
    <t>Less Pourback on DPK for the Period</t>
  </si>
  <si>
    <t>Net DPK sales for the period</t>
  </si>
  <si>
    <t>Less Consumption on DPK</t>
  </si>
  <si>
    <t>Total Consumption of DPK for the Period</t>
  </si>
  <si>
    <t>Expected DPK Sales for the period</t>
  </si>
  <si>
    <t>SALES/LODGEMENT RECONCIALATION 11/07/2022-17-07-2022</t>
  </si>
  <si>
    <t>ENT  RECONCILATION  10/07/2023</t>
  </si>
  <si>
    <t xml:space="preserve">Expected Sales from Products for the Period </t>
  </si>
  <si>
    <t>Less expenses for the Period(Approved)</t>
  </si>
  <si>
    <t>Net Expected Sales for the Period</t>
  </si>
  <si>
    <t>Total lodgement for the Period</t>
  </si>
  <si>
    <t>Total POS for the Period</t>
  </si>
  <si>
    <t>Opening Balance of Debit/Credit customers</t>
  </si>
  <si>
    <t>Closing Balance of Debit/Credit customers</t>
  </si>
  <si>
    <t>Overage/Shortage</t>
  </si>
  <si>
    <t>AUDIT REPORT FOR : LUCKY WAY</t>
  </si>
  <si>
    <t>STOCK POSITION FOR THE PERIOD (01/03/2026- 17/03/2026)</t>
  </si>
  <si>
    <t>PMS STOCK POSITION</t>
  </si>
  <si>
    <t>Per Manager's Computation</t>
  </si>
  <si>
    <t>OPENING STOCK (01/03/2026)</t>
  </si>
  <si>
    <t xml:space="preserve">SUPPLIES DURING THE PERIOD </t>
  </si>
  <si>
    <t>STOCK AVAILABLE FOR SALE</t>
  </si>
  <si>
    <t>CLOSING STOCK (17/03/2026)</t>
  </si>
  <si>
    <t>QUANTITY SOLD</t>
  </si>
  <si>
    <t xml:space="preserve">QUANTITY DISPENSED </t>
  </si>
  <si>
    <t>OVERAGE/(SHORTAGE)</t>
  </si>
  <si>
    <t>EXPECTED LITRES</t>
  </si>
  <si>
    <t>ACTUAL LITRES RECEIVED</t>
  </si>
  <si>
    <t>OVERAGE/(SHORTAGE) - TRUCK DRIVER</t>
  </si>
  <si>
    <t>AGO STOCK POSITION</t>
  </si>
  <si>
    <t>DPK STOCK POSITION</t>
  </si>
  <si>
    <t xml:space="preserve"> </t>
  </si>
  <si>
    <t>Name of Station</t>
  </si>
  <si>
    <t>Date of Preparation</t>
  </si>
  <si>
    <t>For&gt;&gt;</t>
  </si>
  <si>
    <t>Internal Audit</t>
  </si>
  <si>
    <t>SALES DATE</t>
  </si>
  <si>
    <t>TOTAL SALES</t>
  </si>
  <si>
    <t>CASH SALES</t>
  </si>
  <si>
    <t>CREDIT SALES</t>
  </si>
  <si>
    <t>ANALYSIS OF POS BY BANKS</t>
  </si>
  <si>
    <t>P.O.S</t>
  </si>
  <si>
    <t>EXPENSES</t>
  </si>
  <si>
    <t>EXPECTED LODGEMENT</t>
  </si>
  <si>
    <t>ACTUAL LODGEMENT</t>
  </si>
  <si>
    <t>TELLER NO</t>
  </si>
  <si>
    <t>LODGEMENT DATE</t>
  </si>
  <si>
    <t>AREA MANAGERS COMMENT</t>
  </si>
  <si>
    <t>STANBIC</t>
  </si>
  <si>
    <t xml:space="preserve">STANBIC </t>
  </si>
  <si>
    <t>Total POS</t>
  </si>
  <si>
    <t>TOTAL AMOUNT</t>
  </si>
  <si>
    <t>PMS CONSUMPTION  AT DIFFERENT PRICES</t>
  </si>
  <si>
    <t>Date</t>
  </si>
  <si>
    <t>Rate (N)</t>
  </si>
  <si>
    <t>Managers Car</t>
  </si>
  <si>
    <t>Area Manager's Car</t>
  </si>
  <si>
    <t>Police/Army</t>
  </si>
  <si>
    <t>DPR</t>
  </si>
  <si>
    <t>Others</t>
  </si>
  <si>
    <t>Pour back</t>
  </si>
  <si>
    <t>Total</t>
  </si>
  <si>
    <t>AGO CONSUMPTION AT DIFFERENT PRICES</t>
  </si>
  <si>
    <t xml:space="preserve">Generator </t>
  </si>
  <si>
    <t>POUR BACK</t>
  </si>
  <si>
    <t>Taskforce/Ministry of Environment</t>
  </si>
  <si>
    <t>Weight &amp; Measure/ DPR</t>
  </si>
  <si>
    <t>PUMP ISSUE</t>
  </si>
  <si>
    <t>Logistics Trucks</t>
  </si>
  <si>
    <t>DPK CONSUMPTION AT DIFFERENT PRICES</t>
  </si>
  <si>
    <t>PRODUCT RECEIVED FOR THE MONTH</t>
  </si>
  <si>
    <t xml:space="preserve">LOADING </t>
  </si>
  <si>
    <t>RECEIPT</t>
  </si>
  <si>
    <t>PMS</t>
  </si>
  <si>
    <t>AGO</t>
  </si>
  <si>
    <t>DPK</t>
  </si>
  <si>
    <t>DATE</t>
  </si>
  <si>
    <t>EXPECTED</t>
  </si>
  <si>
    <t>ACTUAL</t>
  </si>
  <si>
    <t>TOTAL</t>
  </si>
  <si>
    <t>EXPENSES FOR THE MONTH</t>
  </si>
  <si>
    <t>S/N</t>
  </si>
  <si>
    <t xml:space="preserve">PURPOSE  OF EXPENSES </t>
  </si>
  <si>
    <t xml:space="preserve"> AMOUNT (=N=)</t>
  </si>
  <si>
    <t>APPROVED BY:</t>
  </si>
  <si>
    <t>Opening Stock</t>
  </si>
  <si>
    <t>Actual Producted Supplied</t>
  </si>
  <si>
    <t>Quantity sold</t>
  </si>
  <si>
    <t>Closing Stock</t>
  </si>
  <si>
    <t>CORPORATE CUSTOMERS STATEMENT FOR THE MONTH</t>
  </si>
  <si>
    <t>CUSTOMER'S NAME</t>
  </si>
  <si>
    <t>OPENING BALANCE</t>
  </si>
  <si>
    <t xml:space="preserve">LODGEMENT DATE </t>
  </si>
  <si>
    <t>BANK</t>
  </si>
  <si>
    <t>AMOUNT LODGED</t>
  </si>
  <si>
    <t>VALUE OF PRODUCT SOLD</t>
  </si>
  <si>
    <t xml:space="preserve">CLOSING BALANCE </t>
  </si>
  <si>
    <t>LUBRICANTS AS AT 17/03/2026 - LUCKY WAY</t>
  </si>
  <si>
    <t>ITEM</t>
  </si>
  <si>
    <t>Litre</t>
  </si>
  <si>
    <t xml:space="preserve">OPENING STOCK </t>
  </si>
  <si>
    <t>PURCHASE</t>
  </si>
  <si>
    <t>SALES (QUANTITY)</t>
  </si>
  <si>
    <t>CLOSING STOCK</t>
  </si>
  <si>
    <t>PRICE (N)</t>
  </si>
  <si>
    <t>AMOUNT</t>
  </si>
  <si>
    <t>RAINOIL SUPREME</t>
  </si>
  <si>
    <t>RAINOIL UNIVERSAL SAE 40</t>
  </si>
  <si>
    <t>MAGNATEC 10W-40</t>
  </si>
  <si>
    <t>INJECTOR CLEANER</t>
  </si>
  <si>
    <t xml:space="preserve">MAGNATEC 5W-30 </t>
  </si>
  <si>
    <t>MAGNATEC 5W-30 A5</t>
  </si>
  <si>
    <t>RADICOOL</t>
  </si>
  <si>
    <t>BRAKE FLUID DOT 4</t>
  </si>
  <si>
    <t>GT X ESSENTIAL 20W-50</t>
  </si>
  <si>
    <t>POWER RACING 40 10W-50</t>
  </si>
  <si>
    <t>MOTOR OIL SAE 40</t>
  </si>
  <si>
    <t>EDGE PROFESSIONAL</t>
  </si>
  <si>
    <t>GT X ESSENTIAL 15W-40</t>
  </si>
  <si>
    <t>POWER MAX HD-40 (RETAIL OIL)</t>
  </si>
  <si>
    <t>ATF DEX II</t>
  </si>
  <si>
    <t>LODGED</t>
  </si>
  <si>
    <t>Prepared By</t>
  </si>
  <si>
    <t>Teller No</t>
  </si>
  <si>
    <t>Zenith Bank</t>
  </si>
  <si>
    <t>Diamond Bank</t>
  </si>
  <si>
    <t>Stanbic Bank</t>
  </si>
  <si>
    <t>GT Bank</t>
  </si>
  <si>
    <t>Providus Bank</t>
  </si>
  <si>
    <t>Access Bank</t>
  </si>
  <si>
    <t>Fidelity Bank</t>
  </si>
  <si>
    <t>First Bank</t>
  </si>
  <si>
    <t>13/6/18</t>
  </si>
  <si>
    <t>14/6/18</t>
  </si>
  <si>
    <t>19/6/18</t>
  </si>
  <si>
    <t>15/6/18</t>
  </si>
  <si>
    <t>16/6/18</t>
  </si>
  <si>
    <t>17/6/18</t>
  </si>
  <si>
    <t>18/6/18</t>
  </si>
  <si>
    <t>20/6/18</t>
  </si>
  <si>
    <t>21/6/18</t>
  </si>
  <si>
    <t>22/6/18</t>
  </si>
  <si>
    <t>25/6/18</t>
  </si>
  <si>
    <t>23/6/18</t>
  </si>
  <si>
    <t>24/6/18</t>
  </si>
  <si>
    <t>26/6/18</t>
  </si>
  <si>
    <t>27/6/18</t>
  </si>
  <si>
    <t>28/6/18</t>
  </si>
  <si>
    <t>29/6/18</t>
  </si>
  <si>
    <t>30/6/18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</si>
</sst>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_-* #,##0_-;\-* #,##0_-;_-* &quot;-&quot;_-;_-@_-"/>
    <numFmt numFmtId="165" formatCode="_(* #,##0_);_(* \(#,##0\);_(* &quot;-&quot;??_);_(@_)"/>
    <numFmt numFmtId="166" formatCode="_-* #,##0_-;\-* #,##0_-;_-* &quot;-&quot;??_-;_-@_-"/>
    <numFmt numFmtId="167" formatCode="_-* #,##0.0_-;\-* #,##0.0_-;_-* &quot;-&quot;??_-;_-@_-"/>
    <numFmt numFmtId="168" formatCode="_-* #,##0.00_-;\-* #,##0.00_-;_-* &quot;-&quot;??_-;_-@_-"/>
  </numFmts>
  <fonts count="34">
    <font>
      <sz val="11"/>
      <color theme="1"/>
      <name val="Calibri"/>
      <family val="2"/>
      <scheme val="minor"/>
    </font>
    <font>
      <sz val="11"/>
      <color theme="1"/>
      <name val="Corbel"/>
      <family val="2"/>
    </font>
    <font>
      <b/>
      <sz val="11"/>
      <color theme="1"/>
      <name val="Corbel"/>
      <family val="2"/>
    </font>
    <font>
      <sz val="11"/>
      <name val="Corbel"/>
      <family val="2"/>
    </font>
    <font>
      <b/>
      <sz val="11"/>
      <color rgb="FFFF0000"/>
      <name val="Corbel"/>
      <family val="2"/>
    </font>
    <font>
      <b/>
      <i/>
      <sz val="11"/>
      <color theme="1"/>
      <name val="Corbel"/>
      <family val="2"/>
    </font>
    <font>
      <b/>
      <sz val="11"/>
      <name val="Corbel"/>
      <family val="2"/>
    </font>
    <font>
      <i/>
      <sz val="11"/>
      <color theme="1"/>
      <name val="Corbel"/>
      <family val="2"/>
    </font>
    <font>
      <b/>
      <i/>
      <sz val="11"/>
      <name val="Corbel"/>
      <family val="2"/>
    </font>
    <font>
      <i/>
      <sz val="11"/>
      <name val="Corbel"/>
      <family val="2"/>
    </font>
    <font>
      <b/>
      <i/>
      <sz val="12"/>
      <name val="Corbel"/>
      <family val="2"/>
    </font>
    <font>
      <b/>
      <u/>
      <sz val="12"/>
      <name val="Corbel"/>
      <family val="2"/>
    </font>
    <font>
      <b/>
      <i/>
      <sz val="14"/>
      <name val="Corbel"/>
      <family val="2"/>
    </font>
    <font>
      <b/>
      <sz val="10"/>
      <name val="Corbel"/>
      <family val="2"/>
    </font>
    <font>
      <b/>
      <sz val="12"/>
      <name val="Corbel"/>
      <family val="2"/>
    </font>
    <font>
      <sz val="12"/>
      <name val="Corbel"/>
      <family val="2"/>
    </font>
    <font>
      <sz val="11"/>
      <color theme="1"/>
      <name val="Calibri"/>
      <charset val="134"/>
      <scheme val="minor"/>
    </font>
    <font>
      <b/>
      <sz val="10"/>
      <color theme="1"/>
      <name val="Corbel"/>
      <family val="2"/>
    </font>
    <font>
      <sz val="10"/>
      <color theme="1"/>
      <name val="Corbel"/>
      <family val="2"/>
    </font>
    <font>
      <b/>
      <sz val="11"/>
      <color rgb="FFFF0000"/>
      <name val="Calibri"/>
      <family val="2"/>
      <scheme val="minor"/>
    </font>
    <font>
      <b/>
      <i/>
      <sz val="10"/>
      <color theme="1"/>
      <name val="Corbel"/>
      <family val="2"/>
    </font>
    <font>
      <i/>
      <sz val="10"/>
      <name val="Corbel"/>
      <family val="2"/>
    </font>
    <font>
      <b/>
      <i/>
      <sz val="10"/>
      <name val="Corbel"/>
      <family val="2"/>
    </font>
    <font>
      <sz val="14"/>
      <color theme="1"/>
      <name val="Calibri"/>
      <family val="2"/>
      <scheme val="minor"/>
    </font>
    <font>
      <b/>
      <sz val="14"/>
      <color theme="1"/>
      <name val="Arial"/>
      <family val="2"/>
    </font>
    <font>
      <b/>
      <sz val="11"/>
      <color theme="1"/>
      <name val="Arial"/>
      <family val="2"/>
    </font>
    <font>
      <sz val="11"/>
      <color theme="1"/>
      <name val="Arial"/>
      <family val="2"/>
    </font>
    <font>
      <b/>
      <sz val="12"/>
      <color theme="1"/>
      <name val="Calibri"/>
      <family val="2"/>
      <scheme val="minor"/>
    </font>
    <font>
      <b/>
      <sz val="11"/>
      <color theme="1"/>
      <name val="Calibri"/>
      <family val="2"/>
      <scheme val="minor"/>
    </font>
    <font>
      <sz val="12"/>
      <color rgb="FFFF0000"/>
      <name val="Calibri"/>
      <family val="2"/>
      <scheme val="minor"/>
    </font>
    <font>
      <u/>
      <sz val="11"/>
      <color theme="10"/>
      <name val="Calibri"/>
      <family val="2"/>
      <scheme val="minor"/>
    </font>
    <font>
      <b/>
      <sz val="14"/>
      <color theme="1"/>
      <name val="Calibri"/>
      <family val="2"/>
      <scheme val="minor"/>
    </font>
    <font>
      <b/>
      <u/>
      <sz val="11"/>
      <color theme="1"/>
      <name val="Corbel"/>
      <family val="2"/>
    </font>
    <font>
      <b/>
      <i/>
      <u/>
      <sz val="11"/>
      <color theme="1"/>
      <name val="Corbel"/>
      <family val="2"/>
    </font>
  </fonts>
  <fills count="5">
    <fill>
      <patternFill patternType="none"/>
    </fill>
    <fill>
      <patternFill patternType="gray125"/>
    </fill>
    <fill>
      <patternFill patternType="solid">
        <fgColor theme="4" tint="0.39994506668294322"/>
        <bgColor indexed="64"/>
      </patternFill>
    </fill>
    <fill>
      <patternFill patternType="solid">
        <fgColor rgb="FFFFFF00"/>
        <bgColor indexed="64"/>
      </patternFill>
    </fill>
    <fill>
      <patternFill patternType="solid">
        <fgColor theme="0"/>
        <bgColor indexed="64"/>
      </patternFill>
    </fill>
  </fills>
  <borders count="63">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style="thin">
        <color auto="1"/>
      </top>
      <bottom style="double">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medium">
        <color auto="1"/>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style="medium">
        <color auto="1"/>
      </bottom>
      <diagonal/>
    </border>
    <border>
      <left style="thin">
        <color auto="1"/>
      </left>
      <right/>
      <top/>
      <bottom/>
      <diagonal/>
    </border>
    <border>
      <left/>
      <right style="thin">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thin">
        <color auto="1"/>
      </top>
      <bottom/>
      <diagonal/>
    </border>
  </borders>
  <cellStyleXfs count="1">
    <xf numFmtId="0" fontId="0" fillId="0" borderId="0"/>
  </cellStyleXfs>
  <cellXfs count="422">
    <xf numFmtId="0" fontId="0" fillId="0" borderId="0" xfId="0"/>
    <xf numFmtId="0" fontId="1" fillId="0" borderId="0" xfId="0" applyFont="1"/>
    <xf numFmtId="0" fontId="2" fillId="0" borderId="0" xfId="0" applyFont="1" applyAlignment="1">
      <alignment vertical="top" wrapText="1"/>
    </xf>
    <xf numFmtId="17" fontId="2" fillId="0" borderId="0" xfId="0" applyNumberFormat="1" applyFont="1" applyAlignment="1">
      <alignment horizontal="left" vertical="top" wrapText="1"/>
    </xf>
    <xf numFmtId="0" fontId="2" fillId="0" borderId="1" xfId="0" applyFont="1" applyBorder="1" applyAlignment="1">
      <alignment horizontal="center" vertical="center"/>
    </xf>
    <xf numFmtId="0" fontId="1" fillId="0" borderId="2" xfId="0" applyFont="1" applyBorder="1" applyAlignment="1">
      <alignment vertical="top" wrapText="1"/>
    </xf>
    <xf numFmtId="0" fontId="2" fillId="0" borderId="0" xfId="0" applyFont="1"/>
    <xf numFmtId="0" fontId="1" fillId="0" borderId="0" xfId="0" applyFont="1" applyProtection="1">
      <protection locked="0"/>
    </xf>
    <xf numFmtId="0" fontId="2" fillId="0" borderId="0" xfId="0" applyFont="1" applyProtection="1">
      <protection locked="0"/>
    </xf>
    <xf numFmtId="0" fontId="1" fillId="2" borderId="0" xfId="0" applyFont="1" applyFill="1" applyProtection="1">
      <protection locked="0"/>
    </xf>
    <xf numFmtId="0" fontId="2" fillId="0" borderId="2" xfId="0" applyFont="1" applyBorder="1" applyProtection="1">
      <protection locked="0"/>
    </xf>
    <xf numFmtId="0" fontId="1" fillId="0" borderId="3" xfId="0" applyFont="1" applyBorder="1" applyProtection="1">
      <protection locked="0"/>
    </xf>
    <xf numFmtId="0" fontId="2" fillId="0" borderId="5" xfId="0" applyFont="1" applyBorder="1" applyAlignment="1" applyProtection="1">
      <alignment horizontal="center"/>
      <protection locked="0"/>
    </xf>
    <xf numFmtId="0" fontId="1" fillId="0" borderId="6" xfId="0" applyFont="1" applyBorder="1" applyProtection="1">
      <protection locked="0"/>
    </xf>
    <xf numFmtId="0" fontId="1" fillId="0" borderId="7" xfId="0" applyFont="1" applyBorder="1" applyProtection="1">
      <protection locked="0"/>
    </xf>
    <xf numFmtId="0" fontId="2" fillId="0" borderId="8" xfId="0" applyFont="1" applyBorder="1" applyAlignment="1" applyProtection="1">
      <alignment horizontal="center"/>
      <protection locked="0"/>
    </xf>
    <xf numFmtId="0" fontId="2" fillId="0" borderId="9" xfId="0" applyFont="1" applyBorder="1" applyAlignment="1" applyProtection="1">
      <alignment horizontal="center"/>
      <protection locked="0"/>
    </xf>
    <xf numFmtId="0" fontId="2" fillId="0" borderId="10" xfId="0" applyFont="1" applyBorder="1" applyAlignment="1" applyProtection="1">
      <alignment horizontal="center"/>
      <protection locked="0"/>
    </xf>
    <xf numFmtId="0" fontId="2" fillId="0" borderId="11" xfId="0" applyFont="1" applyBorder="1" applyProtection="1">
      <protection locked="0"/>
    </xf>
    <xf numFmtId="0" fontId="1" fillId="0" borderId="12" xfId="0" applyFont="1" applyBorder="1" applyAlignment="1" applyProtection="1">
      <alignment horizontal="center"/>
      <protection locked="0"/>
    </xf>
    <xf numFmtId="0" fontId="1" fillId="0" borderId="12" xfId="0" applyFont="1" applyBorder="1" applyProtection="1">
      <protection locked="0"/>
    </xf>
    <xf numFmtId="0" fontId="1" fillId="0" borderId="13" xfId="0" applyFont="1" applyBorder="1" applyProtection="1">
      <protection locked="0"/>
    </xf>
    <xf numFmtId="0" fontId="2" fillId="0" borderId="11" xfId="0" applyFont="1" applyBorder="1" applyAlignment="1" applyProtection="1">
      <alignment horizontal="center"/>
      <protection locked="0"/>
    </xf>
    <xf numFmtId="3" fontId="3" fillId="0" borderId="12" xfId="0" applyNumberFormat="1" applyFont="1" applyBorder="1" applyAlignment="1" applyProtection="1">
      <alignment horizontal="center"/>
      <protection locked="0"/>
    </xf>
    <xf numFmtId="164" fontId="1" fillId="3" borderId="12" xfId="0" applyNumberFormat="1" applyFont="1" applyFill="1" applyBorder="1" applyAlignment="1">
      <alignment horizontal="center"/>
    </xf>
    <xf numFmtId="0" fontId="3" fillId="0" borderId="12" xfId="0" applyFont="1" applyBorder="1" applyAlignment="1" applyProtection="1">
      <alignment horizontal="center"/>
      <protection locked="0"/>
    </xf>
    <xf numFmtId="164" fontId="1" fillId="3" borderId="13" xfId="0" applyNumberFormat="1" applyFont="1" applyFill="1" applyBorder="1" applyAlignment="1">
      <alignment horizontal="center"/>
    </xf>
    <xf numFmtId="1" fontId="1" fillId="0" borderId="0" xfId="0" applyNumberFormat="1" applyFont="1" applyProtection="1">
      <protection locked="0"/>
    </xf>
    <xf numFmtId="164" fontId="1" fillId="0" borderId="12" xfId="0" applyNumberFormat="1" applyFont="1" applyBorder="1" applyAlignment="1">
      <alignment horizontal="center"/>
    </xf>
    <xf numFmtId="164" fontId="1" fillId="0" borderId="13" xfId="0" applyNumberFormat="1" applyFont="1" applyBorder="1" applyAlignment="1">
      <alignment horizontal="center"/>
    </xf>
    <xf numFmtId="0" fontId="4" fillId="3" borderId="11" xfId="0" applyFont="1" applyFill="1" applyBorder="1" applyAlignment="1">
      <alignment horizontal="center"/>
    </xf>
    <xf numFmtId="0" fontId="5" fillId="3" borderId="12" xfId="0" applyFont="1" applyFill="1" applyBorder="1" applyAlignment="1">
      <alignment horizontal="center" wrapText="1"/>
    </xf>
    <xf numFmtId="0" fontId="2" fillId="3" borderId="12" xfId="0" applyFont="1" applyFill="1" applyBorder="1" applyAlignment="1">
      <alignment horizontal="center"/>
    </xf>
    <xf numFmtId="164" fontId="2" fillId="3" borderId="12" xfId="0" applyNumberFormat="1" applyFont="1" applyFill="1" applyBorder="1" applyAlignment="1">
      <alignment horizontal="center"/>
    </xf>
    <xf numFmtId="0" fontId="6" fillId="3" borderId="12" xfId="0" applyFont="1" applyFill="1" applyBorder="1" applyAlignment="1">
      <alignment horizontal="center"/>
    </xf>
    <xf numFmtId="164" fontId="2" fillId="3" borderId="13" xfId="0" applyNumberFormat="1" applyFont="1" applyFill="1" applyBorder="1" applyAlignment="1">
      <alignment horizontal="center"/>
    </xf>
    <xf numFmtId="0" fontId="4" fillId="0" borderId="11" xfId="0" applyFont="1" applyBorder="1" applyProtection="1">
      <protection locked="0"/>
    </xf>
    <xf numFmtId="0" fontId="1" fillId="0" borderId="12" xfId="0" applyFont="1" applyBorder="1" applyAlignment="1" applyProtection="1">
      <alignment horizontal="center" wrapText="1"/>
      <protection locked="0"/>
    </xf>
    <xf numFmtId="0" fontId="1" fillId="0" borderId="13" xfId="0" applyFont="1" applyBorder="1" applyAlignment="1" applyProtection="1">
      <alignment horizontal="center"/>
      <protection locked="0"/>
    </xf>
    <xf numFmtId="164" fontId="1" fillId="0" borderId="0" xfId="0" applyNumberFormat="1" applyFont="1" applyProtection="1">
      <protection locked="0"/>
    </xf>
    <xf numFmtId="0" fontId="4" fillId="0" borderId="11" xfId="0" applyFont="1" applyBorder="1" applyAlignment="1" applyProtection="1">
      <alignment horizontal="center"/>
      <protection locked="0"/>
    </xf>
    <xf numFmtId="0" fontId="5" fillId="0" borderId="12" xfId="0" applyFont="1" applyBorder="1" applyAlignment="1" applyProtection="1">
      <alignment horizontal="left"/>
      <protection locked="0"/>
    </xf>
    <xf numFmtId="165" fontId="3" fillId="0" borderId="12" xfId="0" applyNumberFormat="1" applyFont="1" applyBorder="1" applyAlignment="1" applyProtection="1">
      <alignment horizontal="center"/>
      <protection locked="0"/>
    </xf>
    <xf numFmtId="43" fontId="3" fillId="0" borderId="12" xfId="0" applyNumberFormat="1" applyFont="1" applyBorder="1" applyAlignment="1" applyProtection="1">
      <alignment horizontal="center"/>
      <protection locked="0"/>
    </xf>
    <xf numFmtId="0" fontId="1" fillId="3" borderId="12" xfId="0" applyFont="1" applyFill="1" applyBorder="1" applyAlignment="1">
      <alignment horizontal="center"/>
    </xf>
    <xf numFmtId="165" fontId="6" fillId="3" borderId="12" xfId="0" applyNumberFormat="1" applyFont="1" applyFill="1" applyBorder="1" applyAlignment="1">
      <alignment horizontal="center"/>
    </xf>
    <xf numFmtId="0" fontId="3" fillId="3" borderId="12" xfId="0" applyFont="1" applyFill="1" applyBorder="1" applyAlignment="1">
      <alignment horizontal="center"/>
    </xf>
    <xf numFmtId="165" fontId="6" fillId="3" borderId="13" xfId="0" applyNumberFormat="1" applyFont="1" applyFill="1" applyBorder="1" applyAlignment="1">
      <alignment horizontal="center"/>
    </xf>
    <xf numFmtId="164" fontId="1" fillId="0" borderId="13" xfId="0" applyNumberFormat="1" applyFont="1" applyBorder="1" applyAlignment="1" applyProtection="1">
      <alignment horizontal="center"/>
      <protection locked="0"/>
    </xf>
    <xf numFmtId="0" fontId="5" fillId="0" borderId="12" xfId="0" applyFont="1" applyBorder="1" applyAlignment="1" applyProtection="1">
      <alignment horizontal="center" wrapText="1"/>
      <protection locked="0"/>
    </xf>
    <xf numFmtId="0" fontId="7" fillId="0" borderId="12" xfId="0" applyFont="1" applyBorder="1" applyAlignment="1" applyProtection="1">
      <alignment horizontal="center"/>
      <protection locked="0"/>
    </xf>
    <xf numFmtId="164" fontId="1" fillId="0" borderId="12" xfId="0" applyNumberFormat="1" applyFont="1" applyBorder="1" applyAlignment="1" applyProtection="1">
      <alignment horizontal="right"/>
      <protection locked="0"/>
    </xf>
    <xf numFmtId="0" fontId="4" fillId="3" borderId="11" xfId="0" applyFont="1" applyFill="1" applyBorder="1" applyAlignment="1" applyProtection="1">
      <alignment horizontal="center"/>
      <protection locked="0"/>
    </xf>
    <xf numFmtId="0" fontId="5" fillId="3" borderId="12" xfId="0" applyFont="1" applyFill="1" applyBorder="1" applyAlignment="1" applyProtection="1">
      <alignment horizontal="center"/>
      <protection locked="0"/>
    </xf>
    <xf numFmtId="0" fontId="1" fillId="3" borderId="12" xfId="0" applyFont="1" applyFill="1" applyBorder="1" applyProtection="1">
      <protection locked="0"/>
    </xf>
    <xf numFmtId="164" fontId="2" fillId="3" borderId="12" xfId="0" applyNumberFormat="1" applyFont="1" applyFill="1" applyBorder="1"/>
    <xf numFmtId="164" fontId="2" fillId="3" borderId="13" xfId="0" applyNumberFormat="1" applyFont="1" applyFill="1" applyBorder="1"/>
    <xf numFmtId="0" fontId="5" fillId="3" borderId="12" xfId="0" applyFont="1" applyFill="1" applyBorder="1" applyAlignment="1">
      <alignment horizontal="left" wrapText="1"/>
    </xf>
    <xf numFmtId="0" fontId="1" fillId="3" borderId="12" xfId="0" applyFont="1" applyFill="1" applyBorder="1"/>
    <xf numFmtId="165" fontId="2" fillId="3" borderId="12" xfId="0" applyNumberFormat="1" applyFont="1" applyFill="1" applyBorder="1"/>
    <xf numFmtId="165" fontId="2" fillId="3" borderId="13" xfId="0" applyNumberFormat="1" applyFont="1" applyFill="1" applyBorder="1"/>
    <xf numFmtId="0" fontId="2" fillId="0" borderId="14" xfId="0" applyFont="1" applyBorder="1" applyProtection="1">
      <protection locked="0"/>
    </xf>
    <xf numFmtId="0" fontId="1" fillId="0" borderId="15" xfId="0" applyFont="1" applyBorder="1" applyProtection="1">
      <protection locked="0"/>
    </xf>
    <xf numFmtId="0" fontId="1" fillId="0" borderId="16" xfId="0" applyFont="1" applyBorder="1" applyProtection="1">
      <protection locked="0"/>
    </xf>
    <xf numFmtId="0" fontId="2" fillId="0" borderId="17" xfId="0" applyFont="1" applyBorder="1" applyProtection="1">
      <protection locked="0"/>
    </xf>
    <xf numFmtId="0" fontId="1" fillId="0" borderId="18" xfId="0" applyFont="1" applyBorder="1" applyProtection="1">
      <protection locked="0"/>
    </xf>
    <xf numFmtId="0" fontId="2" fillId="0" borderId="8" xfId="0" applyFont="1" applyBorder="1" applyProtection="1">
      <protection locked="0"/>
    </xf>
    <xf numFmtId="1" fontId="3" fillId="0" borderId="12" xfId="0" applyNumberFormat="1" applyFont="1" applyBorder="1" applyAlignment="1" applyProtection="1">
      <alignment horizontal="center"/>
      <protection locked="0"/>
    </xf>
    <xf numFmtId="164" fontId="1" fillId="0" borderId="12" xfId="0" applyNumberFormat="1" applyFont="1" applyBorder="1" applyAlignment="1" applyProtection="1">
      <alignment horizontal="center"/>
      <protection locked="0"/>
    </xf>
    <xf numFmtId="0" fontId="8" fillId="0" borderId="12" xfId="0" applyFont="1" applyBorder="1" applyAlignment="1" applyProtection="1">
      <alignment horizontal="left" wrapText="1"/>
      <protection locked="0"/>
    </xf>
    <xf numFmtId="0" fontId="8" fillId="3" borderId="12" xfId="0" applyFont="1" applyFill="1" applyBorder="1" applyAlignment="1">
      <alignment horizontal="center"/>
    </xf>
    <xf numFmtId="0" fontId="9" fillId="0" borderId="12" xfId="0" applyFont="1" applyBorder="1" applyAlignment="1" applyProtection="1">
      <alignment horizontal="center"/>
      <protection locked="0"/>
    </xf>
    <xf numFmtId="0" fontId="5" fillId="3" borderId="12" xfId="0" applyFont="1" applyFill="1" applyBorder="1" applyAlignment="1" applyProtection="1">
      <alignment horizontal="left" wrapText="1"/>
      <protection locked="0"/>
    </xf>
    <xf numFmtId="0" fontId="3" fillId="3" borderId="12" xfId="0" applyFont="1" applyFill="1" applyBorder="1" applyAlignment="1" applyProtection="1">
      <alignment horizontal="center"/>
      <protection locked="0"/>
    </xf>
    <xf numFmtId="0" fontId="2" fillId="0" borderId="14" xfId="0" applyFont="1" applyBorder="1" applyAlignment="1" applyProtection="1">
      <alignment horizontal="center"/>
      <protection locked="0"/>
    </xf>
    <xf numFmtId="0" fontId="3" fillId="0" borderId="15" xfId="0" applyFont="1" applyBorder="1" applyAlignment="1" applyProtection="1">
      <alignment horizontal="center"/>
      <protection locked="0"/>
    </xf>
    <xf numFmtId="164" fontId="1" fillId="0" borderId="15" xfId="0" applyNumberFormat="1" applyFont="1" applyBorder="1" applyAlignment="1" applyProtection="1">
      <alignment horizontal="center"/>
      <protection locked="0"/>
    </xf>
    <xf numFmtId="164" fontId="1" fillId="0" borderId="16" xfId="0" applyNumberFormat="1" applyFont="1" applyBorder="1" applyAlignment="1" applyProtection="1">
      <alignment horizontal="center"/>
      <protection locked="0"/>
    </xf>
    <xf numFmtId="0" fontId="1" fillId="0" borderId="6" xfId="0" applyFont="1" applyBorder="1" applyAlignment="1" applyProtection="1">
      <alignment horizontal="center"/>
      <protection locked="0"/>
    </xf>
    <xf numFmtId="0" fontId="1" fillId="0" borderId="7" xfId="0" applyFont="1" applyBorder="1" applyAlignment="1" applyProtection="1">
      <alignment horizontal="center"/>
      <protection locked="0"/>
    </xf>
    <xf numFmtId="0" fontId="4" fillId="0" borderId="14" xfId="0" applyFont="1" applyBorder="1" applyAlignment="1" applyProtection="1">
      <alignment horizontal="center"/>
      <protection locked="0"/>
    </xf>
    <xf numFmtId="0" fontId="2" fillId="0" borderId="19" xfId="0" applyFont="1" applyBorder="1" applyProtection="1">
      <protection locked="0"/>
    </xf>
    <xf numFmtId="0" fontId="1" fillId="0" borderId="20" xfId="0" applyFont="1" applyBorder="1" applyProtection="1">
      <protection locked="0"/>
    </xf>
    <xf numFmtId="0" fontId="1" fillId="0" borderId="21" xfId="0" applyFont="1" applyBorder="1" applyProtection="1">
      <protection locked="0"/>
    </xf>
    <xf numFmtId="0" fontId="2" fillId="0" borderId="22" xfId="0" applyFont="1" applyBorder="1" applyProtection="1">
      <protection locked="0"/>
    </xf>
    <xf numFmtId="0" fontId="2" fillId="0" borderId="23" xfId="0" applyFont="1" applyBorder="1" applyProtection="1">
      <protection locked="0"/>
    </xf>
    <xf numFmtId="14" fontId="1" fillId="0" borderId="23" xfId="0" applyNumberFormat="1" applyFont="1" applyBorder="1" applyProtection="1">
      <protection locked="0"/>
    </xf>
    <xf numFmtId="0" fontId="1" fillId="0" borderId="23" xfId="0" applyFont="1" applyBorder="1" applyProtection="1">
      <protection locked="0"/>
    </xf>
    <xf numFmtId="0" fontId="1" fillId="0" borderId="24" xfId="0" applyFont="1" applyBorder="1" applyProtection="1">
      <protection locked="0"/>
    </xf>
    <xf numFmtId="165" fontId="2" fillId="3" borderId="18" xfId="0" applyNumberFormat="1" applyFont="1" applyFill="1" applyBorder="1"/>
    <xf numFmtId="3" fontId="2" fillId="3" borderId="18" xfId="0" applyNumberFormat="1" applyFont="1" applyFill="1" applyBorder="1"/>
    <xf numFmtId="0" fontId="1" fillId="0" borderId="18" xfId="0" applyFont="1" applyBorder="1"/>
    <xf numFmtId="0" fontId="2" fillId="0" borderId="18" xfId="0" applyFont="1" applyBorder="1"/>
    <xf numFmtId="165" fontId="1" fillId="0" borderId="0" xfId="0" applyNumberFormat="1" applyFont="1" applyProtection="1">
      <protection locked="0"/>
    </xf>
    <xf numFmtId="166" fontId="2" fillId="3" borderId="25" xfId="0" applyNumberFormat="1" applyFont="1" applyFill="1" applyBorder="1"/>
    <xf numFmtId="3" fontId="1" fillId="0" borderId="0" xfId="0" applyNumberFormat="1" applyFont="1" applyProtection="1">
      <protection locked="0"/>
    </xf>
    <xf numFmtId="0" fontId="10" fillId="0" borderId="0" xfId="0" applyFont="1" applyProtection="1">
      <protection locked="0"/>
    </xf>
    <xf numFmtId="0" fontId="10" fillId="0" borderId="0" xfId="0" applyFont="1" applyAlignment="1" applyProtection="1">
      <alignment horizontal="left" vertical="top"/>
      <protection locked="0"/>
    </xf>
    <xf numFmtId="0" fontId="11" fillId="0" borderId="17" xfId="0" applyFont="1" applyBorder="1" applyProtection="1">
      <protection locked="0"/>
    </xf>
    <xf numFmtId="0" fontId="12" fillId="0" borderId="0" xfId="0" applyFont="1" applyAlignment="1" applyProtection="1">
      <alignment horizontal="left" vertical="top"/>
      <protection locked="0"/>
    </xf>
    <xf numFmtId="14" fontId="12" fillId="0" borderId="0" xfId="0" applyNumberFormat="1" applyFont="1" applyAlignment="1" applyProtection="1">
      <alignment horizontal="left" vertical="top"/>
      <protection locked="0"/>
    </xf>
    <xf numFmtId="0" fontId="13" fillId="0" borderId="17" xfId="0" applyFont="1" applyBorder="1" applyAlignment="1" applyProtection="1">
      <alignment horizontal="left" vertical="top"/>
      <protection locked="0"/>
    </xf>
    <xf numFmtId="0" fontId="10" fillId="0" borderId="5" xfId="0" applyFont="1" applyBorder="1" applyAlignment="1" applyProtection="1">
      <alignment horizontal="left" vertical="top"/>
      <protection locked="0"/>
    </xf>
    <xf numFmtId="0" fontId="10" fillId="0" borderId="3" xfId="0" applyFont="1" applyBorder="1" applyAlignment="1" applyProtection="1">
      <alignment horizontal="center" vertical="center" wrapText="1"/>
      <protection locked="0"/>
    </xf>
    <xf numFmtId="0" fontId="14" fillId="3" borderId="26" xfId="0" applyFont="1" applyFill="1" applyBorder="1" applyAlignment="1" applyProtection="1">
      <alignment horizontal="center" vertical="center"/>
      <protection locked="0"/>
    </xf>
    <xf numFmtId="0" fontId="14" fillId="3" borderId="27" xfId="0" applyFont="1" applyFill="1" applyBorder="1" applyAlignment="1" applyProtection="1">
      <alignment horizontal="center" vertical="center" wrapText="1"/>
      <protection locked="0"/>
    </xf>
    <xf numFmtId="0" fontId="14" fillId="0" borderId="11" xfId="0" applyFont="1" applyBorder="1" applyAlignment="1" applyProtection="1">
      <alignment horizontal="left" vertical="top"/>
      <protection locked="0"/>
    </xf>
    <xf numFmtId="166" fontId="15" fillId="0" borderId="13" xfId="0" applyNumberFormat="1" applyFont="1" applyBorder="1" applyAlignment="1">
      <alignment horizontal="right" vertical="top"/>
    </xf>
    <xf numFmtId="0" fontId="15" fillId="0" borderId="13" xfId="0" applyFont="1" applyBorder="1" applyAlignment="1">
      <alignment horizontal="right" vertical="top"/>
    </xf>
    <xf numFmtId="3" fontId="15" fillId="0" borderId="13" xfId="0" applyNumberFormat="1" applyFont="1" applyBorder="1" applyAlignment="1">
      <alignment horizontal="right" vertical="top"/>
    </xf>
    <xf numFmtId="167" fontId="10" fillId="0" borderId="0" xfId="0" applyNumberFormat="1" applyFont="1" applyProtection="1">
      <protection locked="0"/>
    </xf>
    <xf numFmtId="0" fontId="14" fillId="0" borderId="13" xfId="0" applyFont="1" applyBorder="1" applyAlignment="1">
      <alignment horizontal="right" vertical="top"/>
    </xf>
    <xf numFmtId="166" fontId="14" fillId="0" borderId="13" xfId="0" applyNumberFormat="1" applyFont="1" applyBorder="1" applyAlignment="1">
      <alignment horizontal="right" vertical="top"/>
    </xf>
    <xf numFmtId="3" fontId="14" fillId="0" borderId="13" xfId="0" applyNumberFormat="1" applyFont="1" applyBorder="1" applyAlignment="1">
      <alignment horizontal="right" vertical="top"/>
    </xf>
    <xf numFmtId="4" fontId="14" fillId="0" borderId="13" xfId="0" applyNumberFormat="1" applyFont="1" applyBorder="1" applyAlignment="1">
      <alignment horizontal="right" vertical="top"/>
    </xf>
    <xf numFmtId="0" fontId="10" fillId="0" borderId="14" xfId="0" applyFont="1" applyBorder="1" applyAlignment="1" applyProtection="1">
      <alignment horizontal="left" vertical="top"/>
      <protection locked="0"/>
    </xf>
    <xf numFmtId="165" fontId="10" fillId="0" borderId="16" xfId="0" applyNumberFormat="1" applyFont="1" applyBorder="1" applyAlignment="1">
      <alignment horizontal="right" vertical="top"/>
    </xf>
    <xf numFmtId="0" fontId="10" fillId="0" borderId="17" xfId="0" applyFont="1" applyBorder="1" applyAlignment="1" applyProtection="1">
      <alignment horizontal="left" vertical="top"/>
      <protection locked="0"/>
    </xf>
    <xf numFmtId="0" fontId="10" fillId="0" borderId="18" xfId="0" applyFont="1" applyBorder="1" applyAlignment="1">
      <alignment horizontal="left" vertical="top"/>
    </xf>
    <xf numFmtId="4" fontId="10" fillId="0" borderId="18" xfId="0" applyNumberFormat="1" applyFont="1" applyBorder="1" applyAlignment="1">
      <alignment horizontal="left" vertical="top"/>
    </xf>
    <xf numFmtId="0" fontId="14" fillId="0" borderId="17" xfId="0" applyFont="1" applyBorder="1" applyAlignment="1" applyProtection="1">
      <alignment vertical="top"/>
      <protection locked="0"/>
    </xf>
    <xf numFmtId="166" fontId="15" fillId="0" borderId="18" xfId="0" applyNumberFormat="1" applyFont="1" applyBorder="1"/>
    <xf numFmtId="0" fontId="15" fillId="0" borderId="18" xfId="0" applyFont="1" applyBorder="1"/>
    <xf numFmtId="165" fontId="14" fillId="0" borderId="25" xfId="0" applyNumberFormat="1" applyFont="1" applyBorder="1" applyAlignment="1">
      <alignment horizontal="center" vertical="top"/>
    </xf>
    <xf numFmtId="14" fontId="10" fillId="0" borderId="17" xfId="0" applyNumberFormat="1" applyFont="1" applyBorder="1" applyAlignment="1" applyProtection="1">
      <alignment horizontal="left" vertical="top"/>
      <protection locked="0"/>
    </xf>
    <xf numFmtId="3" fontId="10" fillId="0" borderId="18" xfId="0" applyNumberFormat="1" applyFont="1" applyBorder="1" applyAlignment="1">
      <alignment horizontal="center" vertical="top"/>
    </xf>
    <xf numFmtId="0" fontId="10" fillId="0" borderId="17" xfId="0" applyFont="1" applyBorder="1" applyProtection="1">
      <protection locked="0"/>
    </xf>
    <xf numFmtId="0" fontId="10" fillId="0" borderId="18" xfId="0" applyFont="1" applyBorder="1"/>
    <xf numFmtId="0" fontId="10" fillId="0" borderId="3" xfId="0" applyFont="1" applyBorder="1" applyAlignment="1">
      <alignment horizontal="center" vertical="center" wrapText="1"/>
    </xf>
    <xf numFmtId="0" fontId="14" fillId="3" borderId="27" xfId="0" applyFont="1" applyFill="1" applyBorder="1" applyAlignment="1">
      <alignment horizontal="center" vertical="center" wrapText="1"/>
    </xf>
    <xf numFmtId="0" fontId="10" fillId="0" borderId="0" xfId="0" applyFont="1"/>
    <xf numFmtId="0" fontId="10" fillId="0" borderId="22" xfId="0" applyFont="1" applyBorder="1" applyProtection="1">
      <protection locked="0"/>
    </xf>
    <xf numFmtId="0" fontId="10" fillId="0" borderId="24" xfId="0" applyFont="1" applyBorder="1"/>
    <xf numFmtId="0" fontId="16" fillId="0" borderId="0" xfId="0" applyFont="1" applyProtection="1">
      <protection locked="0"/>
    </xf>
    <xf numFmtId="0" fontId="17" fillId="0" borderId="0" xfId="0" applyFont="1" applyProtection="1">
      <protection locked="0"/>
    </xf>
    <xf numFmtId="0" fontId="18" fillId="0" borderId="0" xfId="0" applyFont="1" applyProtection="1">
      <protection locked="0"/>
    </xf>
    <xf numFmtId="166" fontId="18" fillId="0" borderId="0" xfId="0" applyNumberFormat="1" applyFont="1" applyProtection="1">
      <protection locked="0"/>
    </xf>
    <xf numFmtId="0" fontId="17" fillId="0" borderId="0" xfId="0" applyFont="1" applyAlignment="1" applyProtection="1">
      <alignment horizontal="center"/>
      <protection locked="0"/>
    </xf>
    <xf numFmtId="0" fontId="17" fillId="0" borderId="28" xfId="0" applyFont="1" applyBorder="1" applyAlignment="1" applyProtection="1">
      <alignment horizontal="center"/>
      <protection locked="0"/>
    </xf>
    <xf numFmtId="0" fontId="17" fillId="0" borderId="29" xfId="0" applyFont="1" applyBorder="1" applyAlignment="1" applyProtection="1">
      <alignment horizontal="center"/>
      <protection locked="0"/>
    </xf>
    <xf numFmtId="0" fontId="17" fillId="0" borderId="30" xfId="0" applyFont="1" applyBorder="1" applyAlignment="1" applyProtection="1">
      <alignment horizontal="center"/>
      <protection locked="0"/>
    </xf>
    <xf numFmtId="0" fontId="17" fillId="0" borderId="3" xfId="0" applyFont="1" applyBorder="1" applyAlignment="1" applyProtection="1">
      <alignment horizontal="center"/>
      <protection locked="0"/>
    </xf>
    <xf numFmtId="0" fontId="17" fillId="0" borderId="31" xfId="0" applyFont="1" applyBorder="1" applyAlignment="1" applyProtection="1">
      <alignment horizontal="center"/>
      <protection locked="0"/>
    </xf>
    <xf numFmtId="0" fontId="17" fillId="0" borderId="32" xfId="0" applyFont="1" applyBorder="1" applyAlignment="1" applyProtection="1">
      <alignment horizontal="center"/>
      <protection locked="0"/>
    </xf>
    <xf numFmtId="0" fontId="17" fillId="0" borderId="33" xfId="0" applyFont="1" applyBorder="1" applyAlignment="1" applyProtection="1">
      <alignment horizontal="center"/>
      <protection locked="0"/>
    </xf>
    <xf numFmtId="0" fontId="17" fillId="0" borderId="5" xfId="0" applyFont="1" applyBorder="1" applyAlignment="1" applyProtection="1">
      <alignment horizontal="center"/>
      <protection locked="0"/>
    </xf>
    <xf numFmtId="0" fontId="17" fillId="0" borderId="6" xfId="0" applyFont="1" applyBorder="1" applyAlignment="1" applyProtection="1">
      <alignment horizontal="center"/>
      <protection locked="0"/>
    </xf>
    <xf numFmtId="0" fontId="17" fillId="0" borderId="7" xfId="0" applyFont="1" applyBorder="1" applyAlignment="1" applyProtection="1">
      <alignment horizontal="center"/>
      <protection locked="0"/>
    </xf>
    <xf numFmtId="0" fontId="17" fillId="0" borderId="34" xfId="0" applyFont="1" applyBorder="1" applyAlignment="1" applyProtection="1">
      <alignment horizontal="center"/>
      <protection locked="0"/>
    </xf>
    <xf numFmtId="14" fontId="18" fillId="0" borderId="8" xfId="0" applyNumberFormat="1" applyFont="1" applyBorder="1" applyAlignment="1" applyProtection="1">
      <alignment horizontal="center"/>
      <protection locked="0"/>
    </xf>
    <xf numFmtId="166" fontId="18" fillId="3" borderId="9" xfId="0" applyNumberFormat="1" applyFont="1" applyFill="1" applyBorder="1" applyAlignment="1">
      <alignment horizontal="center"/>
    </xf>
    <xf numFmtId="0" fontId="18" fillId="0" borderId="9" xfId="0" applyFont="1" applyBorder="1" applyProtection="1">
      <protection locked="0"/>
    </xf>
    <xf numFmtId="166" fontId="18" fillId="0" borderId="9" xfId="0" applyNumberFormat="1" applyFont="1" applyBorder="1" applyProtection="1">
      <protection locked="0"/>
    </xf>
    <xf numFmtId="168" fontId="18" fillId="0" borderId="9" xfId="0" applyNumberFormat="1" applyFont="1" applyBorder="1" applyProtection="1">
      <protection locked="0"/>
    </xf>
    <xf numFmtId="166" fontId="18" fillId="3" borderId="10" xfId="0" applyNumberFormat="1" applyFont="1" applyFill="1" applyBorder="1" applyAlignment="1">
      <alignment horizontal="right"/>
    </xf>
    <xf numFmtId="166" fontId="18" fillId="3" borderId="9" xfId="0" applyNumberFormat="1" applyFont="1" applyFill="1" applyBorder="1"/>
    <xf numFmtId="166" fontId="18" fillId="0" borderId="9" xfId="0" applyNumberFormat="1" applyFont="1" applyBorder="1" applyAlignment="1" applyProtection="1">
      <alignment horizontal="center"/>
      <protection locked="0"/>
    </xf>
    <xf numFmtId="14" fontId="18" fillId="0" borderId="10" xfId="0" applyNumberFormat="1" applyFont="1" applyBorder="1" applyAlignment="1" applyProtection="1">
      <alignment horizontal="center"/>
      <protection locked="0"/>
    </xf>
    <xf numFmtId="14" fontId="18" fillId="0" borderId="11" xfId="0" applyNumberFormat="1" applyFont="1" applyBorder="1" applyAlignment="1" applyProtection="1">
      <alignment horizontal="center"/>
      <protection locked="0"/>
    </xf>
    <xf numFmtId="0" fontId="18" fillId="0" borderId="12" xfId="0" applyFont="1" applyBorder="1" applyProtection="1">
      <protection locked="0"/>
    </xf>
    <xf numFmtId="166" fontId="18" fillId="0" borderId="12" xfId="0" applyNumberFormat="1" applyFont="1" applyBorder="1" applyProtection="1">
      <protection locked="0"/>
    </xf>
    <xf numFmtId="0" fontId="18" fillId="0" borderId="35" xfId="0" applyFont="1" applyBorder="1" applyProtection="1">
      <protection locked="0"/>
    </xf>
    <xf numFmtId="14" fontId="18" fillId="0" borderId="13" xfId="0" applyNumberFormat="1" applyFont="1" applyBorder="1" applyAlignment="1" applyProtection="1">
      <alignment horizontal="center"/>
      <protection locked="0"/>
    </xf>
    <xf numFmtId="1" fontId="18" fillId="0" borderId="12" xfId="0" applyNumberFormat="1" applyFont="1" applyBorder="1" applyAlignment="1" applyProtection="1">
      <alignment horizontal="center"/>
      <protection locked="0"/>
    </xf>
    <xf numFmtId="166" fontId="18" fillId="0" borderId="36" xfId="0" applyNumberFormat="1" applyFont="1" applyBorder="1" applyProtection="1">
      <protection locked="0"/>
    </xf>
    <xf numFmtId="166" fontId="18" fillId="0" borderId="35" xfId="0" applyNumberFormat="1" applyFont="1" applyBorder="1" applyProtection="1">
      <protection locked="0"/>
    </xf>
    <xf numFmtId="168" fontId="18" fillId="0" borderId="12" xfId="0" applyNumberFormat="1" applyFont="1" applyBorder="1" applyProtection="1">
      <protection locked="0"/>
    </xf>
    <xf numFmtId="168" fontId="18" fillId="0" borderId="35" xfId="0" applyNumberFormat="1" applyFont="1" applyBorder="1" applyProtection="1">
      <protection locked="0"/>
    </xf>
    <xf numFmtId="0" fontId="18" fillId="0" borderId="36" xfId="0" applyFont="1" applyBorder="1" applyProtection="1">
      <protection locked="0"/>
    </xf>
    <xf numFmtId="0" fontId="18" fillId="0" borderId="13" xfId="0" applyFont="1" applyBorder="1" applyAlignment="1" applyProtection="1">
      <alignment horizontal="center"/>
      <protection locked="0"/>
    </xf>
    <xf numFmtId="0" fontId="17" fillId="0" borderId="1" xfId="0" applyFont="1" applyBorder="1" applyProtection="1">
      <protection locked="0"/>
    </xf>
    <xf numFmtId="166" fontId="17" fillId="0" borderId="4" xfId="0" applyNumberFormat="1" applyFont="1" applyBorder="1"/>
    <xf numFmtId="0" fontId="18" fillId="0" borderId="4" xfId="0" applyFont="1" applyBorder="1" applyProtection="1">
      <protection locked="0"/>
    </xf>
    <xf numFmtId="166" fontId="17" fillId="0" borderId="4" xfId="0" applyNumberFormat="1" applyFont="1" applyBorder="1" applyProtection="1">
      <protection locked="0"/>
    </xf>
    <xf numFmtId="168" fontId="17" fillId="0" borderId="4" xfId="0" applyNumberFormat="1" applyFont="1" applyBorder="1" applyProtection="1">
      <protection locked="0"/>
    </xf>
    <xf numFmtId="166" fontId="17" fillId="0" borderId="3" xfId="0" applyNumberFormat="1" applyFont="1" applyBorder="1"/>
    <xf numFmtId="166" fontId="17" fillId="0" borderId="3" xfId="0" applyNumberFormat="1" applyFont="1" applyBorder="1" applyProtection="1">
      <protection locked="0"/>
    </xf>
    <xf numFmtId="168" fontId="17" fillId="0" borderId="3" xfId="0" applyNumberFormat="1" applyFont="1" applyBorder="1" applyProtection="1">
      <protection locked="0"/>
    </xf>
    <xf numFmtId="166" fontId="16" fillId="0" borderId="0" xfId="0" applyNumberFormat="1" applyFont="1" applyProtection="1">
      <protection locked="0"/>
    </xf>
    <xf numFmtId="0" fontId="18" fillId="0" borderId="0" xfId="0" applyFont="1"/>
    <xf numFmtId="0" fontId="17" fillId="0" borderId="0" xfId="0" applyFont="1"/>
    <xf numFmtId="0" fontId="17" fillId="0" borderId="5" xfId="0" applyFont="1" applyBorder="1" applyAlignment="1">
      <alignment horizontal="center"/>
    </xf>
    <xf numFmtId="0" fontId="17" fillId="0" borderId="6" xfId="0" applyFont="1" applyBorder="1" applyAlignment="1">
      <alignment horizontal="center" wrapText="1"/>
    </xf>
    <xf numFmtId="0" fontId="17" fillId="0" borderId="6" xfId="0" applyFont="1" applyBorder="1" applyAlignment="1">
      <alignment horizontal="center"/>
    </xf>
    <xf numFmtId="14" fontId="18" fillId="0" borderId="9" xfId="0" applyNumberFormat="1" applyFont="1" applyBorder="1" applyAlignment="1" applyProtection="1">
      <alignment horizontal="right"/>
      <protection locked="0"/>
    </xf>
    <xf numFmtId="0" fontId="18" fillId="0" borderId="12" xfId="0" applyFont="1" applyBorder="1"/>
    <xf numFmtId="0" fontId="18" fillId="0" borderId="9" xfId="0" applyFont="1" applyBorder="1"/>
    <xf numFmtId="0" fontId="18" fillId="0" borderId="35" xfId="0" applyFont="1" applyBorder="1"/>
    <xf numFmtId="168" fontId="18" fillId="0" borderId="12" xfId="0" applyNumberFormat="1" applyFont="1" applyBorder="1"/>
    <xf numFmtId="168" fontId="18" fillId="0" borderId="37" xfId="0" applyNumberFormat="1" applyFont="1" applyBorder="1"/>
    <xf numFmtId="0" fontId="18" fillId="0" borderId="37" xfId="0" applyFont="1" applyBorder="1"/>
    <xf numFmtId="14" fontId="18" fillId="0" borderId="9" xfId="0" applyNumberFormat="1" applyFont="1" applyBorder="1" applyAlignment="1">
      <alignment horizontal="right"/>
    </xf>
    <xf numFmtId="166" fontId="18" fillId="0" borderId="12" xfId="0" applyNumberFormat="1" applyFont="1" applyBorder="1"/>
    <xf numFmtId="166" fontId="18" fillId="0" borderId="37" xfId="0" applyNumberFormat="1" applyFont="1" applyBorder="1"/>
    <xf numFmtId="164" fontId="18" fillId="0" borderId="34" xfId="0" applyNumberFormat="1" applyFont="1" applyBorder="1"/>
    <xf numFmtId="164" fontId="18" fillId="0" borderId="2" xfId="0" applyNumberFormat="1" applyFont="1" applyBorder="1" applyAlignment="1">
      <alignment horizontal="center"/>
    </xf>
    <xf numFmtId="164" fontId="18" fillId="0" borderId="4" xfId="0" applyNumberFormat="1" applyFont="1" applyBorder="1" applyAlignment="1">
      <alignment horizontal="center"/>
    </xf>
    <xf numFmtId="164" fontId="18" fillId="0" borderId="6" xfId="0" applyNumberFormat="1" applyFont="1" applyBorder="1" applyAlignment="1">
      <alignment horizontal="center"/>
    </xf>
    <xf numFmtId="164" fontId="18" fillId="0" borderId="3" xfId="0" applyNumberFormat="1" applyFont="1" applyBorder="1" applyAlignment="1">
      <alignment horizontal="center"/>
    </xf>
    <xf numFmtId="166" fontId="18" fillId="0" borderId="9" xfId="0" applyNumberFormat="1" applyFont="1" applyBorder="1"/>
    <xf numFmtId="14" fontId="18" fillId="0" borderId="36" xfId="0" applyNumberFormat="1" applyFont="1" applyBorder="1" applyAlignment="1" applyProtection="1">
      <alignment horizontal="right"/>
      <protection locked="0"/>
    </xf>
    <xf numFmtId="0" fontId="18" fillId="0" borderId="38" xfId="0" applyFont="1" applyBorder="1"/>
    <xf numFmtId="166" fontId="18" fillId="0" borderId="38" xfId="0" applyNumberFormat="1" applyFont="1" applyBorder="1"/>
    <xf numFmtId="14" fontId="18" fillId="0" borderId="36" xfId="0" applyNumberFormat="1" applyFont="1" applyBorder="1" applyAlignment="1">
      <alignment horizontal="right"/>
    </xf>
    <xf numFmtId="164" fontId="18" fillId="0" borderId="38" xfId="0" applyNumberFormat="1" applyFont="1" applyBorder="1"/>
    <xf numFmtId="168" fontId="18" fillId="0" borderId="38" xfId="0" applyNumberFormat="1" applyFont="1" applyBorder="1"/>
    <xf numFmtId="168" fontId="18" fillId="0" borderId="9" xfId="0" applyNumberFormat="1" applyFont="1" applyBorder="1"/>
    <xf numFmtId="0" fontId="18" fillId="0" borderId="39" xfId="0" applyFont="1" applyBorder="1"/>
    <xf numFmtId="0" fontId="18" fillId="0" borderId="37" xfId="0" applyFont="1" applyBorder="1" applyAlignment="1">
      <alignment horizontal="center"/>
    </xf>
    <xf numFmtId="0" fontId="18" fillId="0" borderId="12" xfId="0" applyFont="1" applyBorder="1" applyAlignment="1">
      <alignment horizontal="center"/>
    </xf>
    <xf numFmtId="0" fontId="18" fillId="0" borderId="36" xfId="0" applyFont="1" applyBorder="1" applyAlignment="1">
      <alignment horizontal="right"/>
    </xf>
    <xf numFmtId="0" fontId="17" fillId="0" borderId="1" xfId="0" applyFont="1" applyBorder="1"/>
    <xf numFmtId="164" fontId="18" fillId="0" borderId="2" xfId="0" applyNumberFormat="1" applyFont="1" applyBorder="1"/>
    <xf numFmtId="0" fontId="17" fillId="0" borderId="6" xfId="0" applyFont="1" applyBorder="1" applyAlignment="1">
      <alignment wrapText="1"/>
    </xf>
    <xf numFmtId="0" fontId="17" fillId="0" borderId="6" xfId="0" applyFont="1" applyBorder="1"/>
    <xf numFmtId="0" fontId="17" fillId="0" borderId="6" xfId="0" applyFont="1" applyBorder="1" applyAlignment="1">
      <alignment horizontal="left"/>
    </xf>
    <xf numFmtId="3" fontId="18" fillId="0" borderId="9" xfId="0" applyNumberFormat="1" applyFont="1" applyBorder="1" applyAlignment="1">
      <alignment horizontal="right"/>
    </xf>
    <xf numFmtId="0" fontId="18" fillId="0" borderId="40" xfId="0" applyFont="1" applyBorder="1"/>
    <xf numFmtId="168" fontId="18" fillId="0" borderId="40" xfId="0" applyNumberFormat="1" applyFont="1" applyBorder="1"/>
    <xf numFmtId="164" fontId="18" fillId="0" borderId="4" xfId="0" applyNumberFormat="1" applyFont="1" applyBorder="1"/>
    <xf numFmtId="164" fontId="18" fillId="0" borderId="1" xfId="0" applyNumberFormat="1" applyFont="1" applyBorder="1"/>
    <xf numFmtId="164" fontId="18" fillId="0" borderId="3" xfId="0" applyNumberFormat="1" applyFont="1" applyBorder="1"/>
    <xf numFmtId="0" fontId="2" fillId="0" borderId="2" xfId="0" applyFont="1" applyBorder="1" applyAlignment="1">
      <alignment horizontal="center"/>
    </xf>
    <xf numFmtId="0" fontId="2" fillId="0" borderId="31" xfId="0" applyFont="1" applyBorder="1" applyAlignment="1">
      <alignment horizontal="center"/>
    </xf>
    <xf numFmtId="0" fontId="2" fillId="3" borderId="20" xfId="0" applyFont="1" applyFill="1" applyBorder="1"/>
    <xf numFmtId="0" fontId="2" fillId="3" borderId="31" xfId="0" applyFont="1" applyFill="1" applyBorder="1"/>
    <xf numFmtId="0" fontId="2" fillId="0" borderId="44" xfId="0" applyFont="1" applyBorder="1" applyAlignment="1">
      <alignment horizontal="center"/>
    </xf>
    <xf numFmtId="0" fontId="2" fillId="0" borderId="22" xfId="0" applyFont="1" applyBorder="1" applyAlignment="1">
      <alignment horizontal="center"/>
    </xf>
    <xf numFmtId="0" fontId="2" fillId="0" borderId="23" xfId="0" applyFont="1" applyBorder="1" applyAlignment="1">
      <alignment horizontal="center"/>
    </xf>
    <xf numFmtId="0" fontId="2" fillId="0" borderId="24" xfId="0" applyFont="1" applyBorder="1" applyAlignment="1">
      <alignment horizontal="center"/>
    </xf>
    <xf numFmtId="0" fontId="2" fillId="3" borderId="23" xfId="0" applyFont="1" applyFill="1" applyBorder="1" applyAlignment="1">
      <alignment horizontal="center"/>
    </xf>
    <xf numFmtId="0" fontId="2" fillId="3" borderId="44" xfId="0" applyFont="1" applyFill="1" applyBorder="1" applyAlignment="1">
      <alignment horizontal="center"/>
    </xf>
    <xf numFmtId="14" fontId="18" fillId="0" borderId="45" xfId="0" applyNumberFormat="1" applyFont="1" applyBorder="1" applyAlignment="1">
      <alignment horizontal="center"/>
    </xf>
    <xf numFmtId="166" fontId="1" fillId="0" borderId="9" xfId="0" applyNumberFormat="1" applyFont="1" applyBorder="1"/>
    <xf numFmtId="166" fontId="1" fillId="0" borderId="46" xfId="0" applyNumberFormat="1" applyFont="1" applyBorder="1"/>
    <xf numFmtId="166" fontId="2" fillId="0" borderId="46" xfId="0" applyNumberFormat="1" applyFont="1" applyBorder="1"/>
    <xf numFmtId="166" fontId="2" fillId="3" borderId="9" xfId="0" applyNumberFormat="1" applyFont="1" applyFill="1" applyBorder="1"/>
    <xf numFmtId="166" fontId="2" fillId="0" borderId="9" xfId="0" applyNumberFormat="1" applyFont="1" applyBorder="1"/>
    <xf numFmtId="166" fontId="2" fillId="0" borderId="39" xfId="0" applyNumberFormat="1" applyFont="1" applyBorder="1"/>
    <xf numFmtId="168" fontId="18" fillId="0" borderId="10" xfId="0" applyNumberFormat="1" applyFont="1" applyBorder="1" applyProtection="1">
      <protection locked="0"/>
    </xf>
    <xf numFmtId="166" fontId="2" fillId="0" borderId="10" xfId="0" applyNumberFormat="1" applyFont="1" applyBorder="1"/>
    <xf numFmtId="168" fontId="1" fillId="0" borderId="47" xfId="0" applyNumberFormat="1" applyFont="1" applyBorder="1"/>
    <xf numFmtId="168" fontId="1" fillId="3" borderId="12" xfId="0" applyNumberFormat="1" applyFont="1" applyFill="1" applyBorder="1"/>
    <xf numFmtId="166" fontId="1" fillId="0" borderId="12" xfId="0" applyNumberFormat="1" applyFont="1" applyBorder="1"/>
    <xf numFmtId="168" fontId="1" fillId="0" borderId="37" xfId="0" applyNumberFormat="1" applyFont="1" applyBorder="1"/>
    <xf numFmtId="166" fontId="1" fillId="3" borderId="12" xfId="0" applyNumberFormat="1" applyFont="1" applyFill="1" applyBorder="1"/>
    <xf numFmtId="168" fontId="1" fillId="0" borderId="12" xfId="0" applyNumberFormat="1" applyFont="1" applyBorder="1"/>
    <xf numFmtId="168" fontId="1" fillId="0" borderId="13" xfId="0" applyNumberFormat="1" applyFont="1" applyBorder="1"/>
    <xf numFmtId="14" fontId="18" fillId="0" borderId="48" xfId="0" applyNumberFormat="1" applyFont="1" applyBorder="1" applyAlignment="1">
      <alignment horizontal="center"/>
    </xf>
    <xf numFmtId="166" fontId="1" fillId="0" borderId="47" xfId="0" applyNumberFormat="1" applyFont="1" applyBorder="1"/>
    <xf numFmtId="166" fontId="1" fillId="0" borderId="13" xfId="0" applyNumberFormat="1" applyFont="1" applyBorder="1"/>
    <xf numFmtId="14" fontId="18" fillId="0" borderId="12" xfId="0" applyNumberFormat="1" applyFont="1" applyBorder="1" applyAlignment="1">
      <alignment horizontal="center"/>
    </xf>
    <xf numFmtId="166" fontId="1" fillId="0" borderId="37" xfId="0" applyNumberFormat="1" applyFont="1" applyBorder="1"/>
    <xf numFmtId="0" fontId="1" fillId="0" borderId="13" xfId="0" applyFont="1" applyBorder="1"/>
    <xf numFmtId="0" fontId="1" fillId="0" borderId="12" xfId="0" applyFont="1" applyBorder="1"/>
    <xf numFmtId="0" fontId="18" fillId="0" borderId="48" xfId="0" applyFont="1" applyBorder="1" applyAlignment="1">
      <alignment horizontal="center"/>
    </xf>
    <xf numFmtId="0" fontId="18" fillId="0" borderId="49" xfId="0" applyFont="1" applyBorder="1" applyAlignment="1">
      <alignment horizontal="center"/>
    </xf>
    <xf numFmtId="0" fontId="18" fillId="0" borderId="15" xfId="0" applyFont="1" applyBorder="1" applyAlignment="1">
      <alignment horizontal="center"/>
    </xf>
    <xf numFmtId="166" fontId="1" fillId="0" borderId="40" xfId="0" applyNumberFormat="1" applyFont="1" applyBorder="1"/>
    <xf numFmtId="168" fontId="1" fillId="0" borderId="50" xfId="0" applyNumberFormat="1" applyFont="1" applyBorder="1"/>
    <xf numFmtId="168" fontId="1" fillId="0" borderId="40" xfId="0" applyNumberFormat="1" applyFont="1" applyBorder="1"/>
    <xf numFmtId="168" fontId="1" fillId="3" borderId="40" xfId="0" applyNumberFormat="1" applyFont="1" applyFill="1" applyBorder="1"/>
    <xf numFmtId="168" fontId="1" fillId="0" borderId="51" xfId="0" applyNumberFormat="1" applyFont="1" applyBorder="1"/>
    <xf numFmtId="168" fontId="1" fillId="0" borderId="52" xfId="0" applyNumberFormat="1" applyFont="1" applyBorder="1"/>
    <xf numFmtId="0" fontId="17" fillId="0" borderId="4" xfId="0" applyFont="1" applyBorder="1"/>
    <xf numFmtId="166" fontId="2" fillId="0" borderId="6" xfId="0" applyNumberFormat="1" applyFont="1" applyBorder="1"/>
    <xf numFmtId="168" fontId="2" fillId="0" borderId="4" xfId="0" applyNumberFormat="1" applyFont="1" applyBorder="1"/>
    <xf numFmtId="168" fontId="2" fillId="3" borderId="4" xfId="0" applyNumberFormat="1" applyFont="1" applyFill="1" applyBorder="1"/>
    <xf numFmtId="166" fontId="2" fillId="0" borderId="4" xfId="0" applyNumberFormat="1" applyFont="1" applyBorder="1"/>
    <xf numFmtId="166" fontId="2" fillId="3" borderId="4" xfId="0" applyNumberFormat="1" applyFont="1" applyFill="1" applyBorder="1"/>
    <xf numFmtId="166" fontId="2" fillId="0" borderId="3" xfId="0" applyNumberFormat="1" applyFont="1" applyBorder="1"/>
    <xf numFmtId="0" fontId="20" fillId="0" borderId="0" xfId="0" applyFont="1" applyAlignment="1">
      <alignment horizontal="left"/>
    </xf>
    <xf numFmtId="0" fontId="20" fillId="0" borderId="0" xfId="0" applyFont="1"/>
    <xf numFmtId="0" fontId="20" fillId="0" borderId="0" xfId="0" applyFont="1" applyAlignment="1">
      <alignment horizont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wrapText="1"/>
    </xf>
    <xf numFmtId="0" fontId="13" fillId="0" borderId="2" xfId="0" applyFont="1" applyBorder="1" applyAlignment="1">
      <alignment horizontal="center"/>
    </xf>
    <xf numFmtId="0" fontId="18" fillId="0" borderId="9" xfId="0" applyFont="1" applyBorder="1" applyAlignment="1">
      <alignment horizontal="center"/>
    </xf>
    <xf numFmtId="14" fontId="18" fillId="0" borderId="9" xfId="0" applyNumberFormat="1" applyFont="1" applyBorder="1"/>
    <xf numFmtId="0" fontId="21" fillId="0" borderId="9" xfId="0" applyFont="1" applyBorder="1" applyAlignment="1">
      <alignment horizontal="left" vertical="center"/>
    </xf>
    <xf numFmtId="165" fontId="21" fillId="0" borderId="9" xfId="0" applyNumberFormat="1" applyFont="1" applyBorder="1"/>
    <xf numFmtId="14" fontId="18" fillId="0" borderId="12" xfId="0" applyNumberFormat="1" applyFont="1" applyBorder="1"/>
    <xf numFmtId="0" fontId="21" fillId="0" borderId="12" xfId="0" applyFont="1" applyBorder="1" applyAlignment="1">
      <alignment horizontal="left" vertical="center"/>
    </xf>
    <xf numFmtId="165" fontId="21" fillId="0" borderId="12" xfId="0" applyNumberFormat="1" applyFont="1" applyBorder="1"/>
    <xf numFmtId="43" fontId="21" fillId="0" borderId="12" xfId="0" applyNumberFormat="1" applyFont="1" applyBorder="1"/>
    <xf numFmtId="43" fontId="22" fillId="0" borderId="12" xfId="0" applyNumberFormat="1" applyFont="1" applyBorder="1"/>
    <xf numFmtId="0" fontId="18" fillId="0" borderId="22" xfId="0" applyFont="1" applyBorder="1"/>
    <xf numFmtId="0" fontId="17" fillId="0" borderId="23" xfId="0" applyFont="1" applyBorder="1"/>
    <xf numFmtId="0" fontId="18" fillId="0" borderId="24" xfId="0" applyFont="1" applyBorder="1"/>
    <xf numFmtId="165" fontId="17" fillId="0" borderId="22" xfId="0" applyNumberFormat="1" applyFont="1" applyBorder="1"/>
    <xf numFmtId="166" fontId="1" fillId="0" borderId="9" xfId="0" applyNumberFormat="1" applyFont="1" applyBorder="1" applyAlignment="1" applyProtection="1">
      <alignment horizontal="center"/>
      <protection locked="0"/>
    </xf>
    <xf numFmtId="168" fontId="18" fillId="0" borderId="36" xfId="0" applyNumberFormat="1" applyFont="1" applyBorder="1" applyAlignment="1" applyProtection="1">
      <alignment horizontal="center"/>
      <protection locked="0"/>
    </xf>
    <xf numFmtId="166" fontId="1" fillId="3" borderId="9" xfId="0" applyNumberFormat="1" applyFont="1" applyFill="1" applyBorder="1"/>
    <xf numFmtId="166" fontId="1" fillId="0" borderId="12" xfId="0" applyNumberFormat="1" applyFont="1" applyBorder="1" applyAlignment="1" applyProtection="1">
      <alignment horizontal="center"/>
      <protection locked="0"/>
    </xf>
    <xf numFmtId="168" fontId="18" fillId="0" borderId="35" xfId="0" applyNumberFormat="1" applyFont="1" applyBorder="1" applyAlignment="1" applyProtection="1">
      <alignment horizontal="center"/>
      <protection locked="0"/>
    </xf>
    <xf numFmtId="166" fontId="1" fillId="0" borderId="35" xfId="0" applyNumberFormat="1" applyFont="1" applyBorder="1" applyAlignment="1" applyProtection="1">
      <alignment horizontal="center"/>
      <protection locked="0"/>
    </xf>
    <xf numFmtId="166" fontId="18" fillId="0" borderId="35" xfId="0" applyNumberFormat="1" applyFont="1" applyBorder="1" applyAlignment="1" applyProtection="1">
      <alignment horizontal="center"/>
      <protection locked="0"/>
    </xf>
    <xf numFmtId="166" fontId="18" fillId="0" borderId="53" xfId="0" applyNumberFormat="1" applyFont="1" applyBorder="1" applyAlignment="1" applyProtection="1">
      <alignment horizontal="center"/>
      <protection locked="0"/>
    </xf>
    <xf numFmtId="166" fontId="1" fillId="3" borderId="15" xfId="0" applyNumberFormat="1" applyFont="1" applyFill="1" applyBorder="1"/>
    <xf numFmtId="0" fontId="1" fillId="3" borderId="0" xfId="0" applyFont="1" applyFill="1" applyAlignment="1">
      <alignment horizontal="center"/>
    </xf>
    <xf numFmtId="0" fontId="16" fillId="0" borderId="0" xfId="0" applyFont="1" applyAlignment="1" applyProtection="1">
      <alignment horizontal="center"/>
      <protection locked="0"/>
    </xf>
    <xf numFmtId="165" fontId="16" fillId="0" borderId="0" xfId="0" applyNumberFormat="1" applyFont="1" applyProtection="1">
      <protection locked="0"/>
    </xf>
    <xf numFmtId="0" fontId="23" fillId="0" borderId="0" xfId="0" applyFont="1" applyAlignment="1" applyProtection="1">
      <alignment wrapText="1"/>
      <protection locked="0"/>
    </xf>
    <xf numFmtId="0" fontId="16" fillId="0" borderId="0" xfId="0" applyFont="1" applyAlignment="1" applyProtection="1">
      <alignment wrapText="1"/>
      <protection locked="0"/>
    </xf>
    <xf numFmtId="0" fontId="25" fillId="0" borderId="5" xfId="0" applyFont="1" applyBorder="1" applyAlignment="1" applyProtection="1">
      <alignment horizontal="center" vertical="center" wrapText="1"/>
      <protection locked="0"/>
    </xf>
    <xf numFmtId="0" fontId="25" fillId="0" borderId="6" xfId="0" applyFont="1" applyBorder="1" applyAlignment="1" applyProtection="1">
      <alignment horizontal="center" wrapText="1"/>
      <protection locked="0"/>
    </xf>
    <xf numFmtId="0" fontId="25" fillId="0" borderId="34" xfId="0" applyFont="1" applyBorder="1" applyAlignment="1" applyProtection="1">
      <alignment wrapText="1"/>
      <protection locked="0"/>
    </xf>
    <xf numFmtId="0" fontId="25" fillId="0" borderId="2" xfId="0" applyFont="1" applyBorder="1" applyAlignment="1" applyProtection="1">
      <alignment wrapText="1"/>
      <protection locked="0"/>
    </xf>
    <xf numFmtId="0" fontId="25" fillId="0" borderId="55" xfId="0" applyFont="1" applyBorder="1" applyAlignment="1" applyProtection="1">
      <alignment horizontal="center" wrapText="1"/>
      <protection locked="0"/>
    </xf>
    <xf numFmtId="165" fontId="25" fillId="0" borderId="7" xfId="0" applyNumberFormat="1" applyFont="1" applyBorder="1" applyAlignment="1" applyProtection="1">
      <alignment horizontal="center" wrapText="1"/>
      <protection locked="0"/>
    </xf>
    <xf numFmtId="165" fontId="25" fillId="0" borderId="2" xfId="0" applyNumberFormat="1" applyFont="1" applyBorder="1" applyAlignment="1" applyProtection="1">
      <alignment horizontal="center" wrapText="1"/>
      <protection locked="0"/>
    </xf>
    <xf numFmtId="166" fontId="25" fillId="0" borderId="2" xfId="0" applyNumberFormat="1" applyFont="1" applyBorder="1" applyAlignment="1" applyProtection="1">
      <alignment horizontal="center" wrapText="1"/>
      <protection locked="0"/>
    </xf>
    <xf numFmtId="166" fontId="25" fillId="0" borderId="2" xfId="0" applyNumberFormat="1" applyFont="1" applyBorder="1" applyAlignment="1" applyProtection="1">
      <alignment horizontal="center" vertical="center" wrapText="1"/>
      <protection locked="0"/>
    </xf>
    <xf numFmtId="0" fontId="26" fillId="0" borderId="8" xfId="0" applyFont="1" applyBorder="1" applyAlignment="1" applyProtection="1">
      <alignment horizontal="center"/>
      <protection locked="0"/>
    </xf>
    <xf numFmtId="43" fontId="26" fillId="0" borderId="9" xfId="0" applyNumberFormat="1" applyFont="1" applyBorder="1" applyProtection="1">
      <protection locked="0"/>
    </xf>
    <xf numFmtId="165" fontId="26" fillId="0" borderId="36" xfId="0" applyNumberFormat="1" applyFont="1" applyBorder="1" applyProtection="1">
      <protection locked="0"/>
    </xf>
    <xf numFmtId="43" fontId="26" fillId="0" borderId="56" xfId="0" applyNumberFormat="1" applyFont="1" applyBorder="1" applyProtection="1">
      <protection locked="0"/>
    </xf>
    <xf numFmtId="14" fontId="26" fillId="0" borderId="37" xfId="0" applyNumberFormat="1" applyFont="1" applyBorder="1" applyAlignment="1" applyProtection="1">
      <alignment horizontal="center"/>
      <protection locked="0"/>
    </xf>
    <xf numFmtId="4" fontId="16" fillId="4" borderId="0" xfId="0" applyNumberFormat="1" applyFont="1" applyFill="1" applyProtection="1">
      <protection locked="0"/>
    </xf>
    <xf numFmtId="165" fontId="26" fillId="0" borderId="13" xfId="0" applyNumberFormat="1" applyFont="1" applyBorder="1" applyProtection="1">
      <protection locked="0"/>
    </xf>
    <xf numFmtId="43" fontId="26" fillId="0" borderId="57" xfId="0" applyNumberFormat="1" applyFont="1" applyBorder="1" applyProtection="1">
      <protection locked="0"/>
    </xf>
    <xf numFmtId="166" fontId="16" fillId="0" borderId="39" xfId="0" applyNumberFormat="1" applyFont="1" applyBorder="1" applyProtection="1">
      <protection locked="0"/>
    </xf>
    <xf numFmtId="166" fontId="26" fillId="3" borderId="58" xfId="0" applyNumberFormat="1" applyFont="1" applyFill="1" applyBorder="1"/>
    <xf numFmtId="0" fontId="26" fillId="0" borderId="11" xfId="0" applyFont="1" applyBorder="1" applyAlignment="1" applyProtection="1">
      <alignment horizontal="center"/>
      <protection locked="0"/>
    </xf>
    <xf numFmtId="43" fontId="26" fillId="0" borderId="12" xfId="0" applyNumberFormat="1" applyFont="1" applyBorder="1" applyProtection="1">
      <protection locked="0"/>
    </xf>
    <xf numFmtId="43" fontId="26" fillId="0" borderId="35" xfId="0" applyNumberFormat="1" applyFont="1" applyBorder="1" applyProtection="1">
      <protection locked="0"/>
    </xf>
    <xf numFmtId="43" fontId="26" fillId="0" borderId="59" xfId="0" applyNumberFormat="1" applyFont="1" applyBorder="1" applyProtection="1">
      <protection locked="0"/>
    </xf>
    <xf numFmtId="0" fontId="26" fillId="0" borderId="37" xfId="0" applyFont="1" applyBorder="1" applyAlignment="1" applyProtection="1">
      <alignment horizontal="center"/>
      <protection locked="0"/>
    </xf>
    <xf numFmtId="166" fontId="16" fillId="0" borderId="37" xfId="0" applyNumberFormat="1" applyFont="1" applyBorder="1" applyProtection="1">
      <protection locked="0"/>
    </xf>
    <xf numFmtId="165" fontId="26" fillId="0" borderId="35" xfId="0" applyNumberFormat="1" applyFont="1" applyBorder="1" applyProtection="1">
      <protection locked="0"/>
    </xf>
    <xf numFmtId="43" fontId="26" fillId="4" borderId="35" xfId="0" applyNumberFormat="1" applyFont="1" applyFill="1" applyBorder="1" applyProtection="1">
      <protection locked="0"/>
    </xf>
    <xf numFmtId="165" fontId="26" fillId="4" borderId="13" xfId="0" applyNumberFormat="1" applyFont="1" applyFill="1" applyBorder="1" applyProtection="1">
      <protection locked="0"/>
    </xf>
    <xf numFmtId="4" fontId="26" fillId="0" borderId="11" xfId="0" applyNumberFormat="1" applyFont="1" applyBorder="1" applyAlignment="1" applyProtection="1">
      <alignment horizontal="center"/>
      <protection locked="0"/>
    </xf>
    <xf numFmtId="43" fontId="26" fillId="0" borderId="11" xfId="0" applyNumberFormat="1" applyFont="1" applyBorder="1" applyAlignment="1" applyProtection="1">
      <alignment horizontal="center"/>
      <protection locked="0"/>
    </xf>
    <xf numFmtId="0" fontId="26" fillId="0" borderId="60" xfId="0" applyFont="1" applyBorder="1" applyAlignment="1" applyProtection="1">
      <alignment horizontal="center"/>
      <protection locked="0"/>
    </xf>
    <xf numFmtId="43" fontId="26" fillId="0" borderId="40" xfId="0" applyNumberFormat="1" applyFont="1" applyBorder="1" applyProtection="1">
      <protection locked="0"/>
    </xf>
    <xf numFmtId="165" fontId="26" fillId="0" borderId="61" xfId="0" applyNumberFormat="1" applyFont="1" applyBorder="1" applyProtection="1">
      <protection locked="0"/>
    </xf>
    <xf numFmtId="43" fontId="26" fillId="0" borderId="62" xfId="0" applyNumberFormat="1" applyFont="1" applyBorder="1" applyProtection="1">
      <protection locked="0"/>
    </xf>
    <xf numFmtId="0" fontId="26" fillId="0" borderId="51" xfId="0" applyFont="1" applyBorder="1" applyAlignment="1" applyProtection="1">
      <alignment horizontal="center"/>
      <protection locked="0"/>
    </xf>
    <xf numFmtId="43" fontId="26" fillId="0" borderId="61" xfId="0" applyNumberFormat="1" applyFont="1" applyBorder="1" applyProtection="1">
      <protection locked="0"/>
    </xf>
    <xf numFmtId="165" fontId="26" fillId="0" borderId="52" xfId="0" applyNumberFormat="1" applyFont="1" applyBorder="1" applyProtection="1">
      <protection locked="0"/>
    </xf>
    <xf numFmtId="166" fontId="16" fillId="0" borderId="51" xfId="0" applyNumberFormat="1" applyFont="1" applyBorder="1" applyProtection="1">
      <protection locked="0"/>
    </xf>
    <xf numFmtId="0" fontId="25" fillId="0" borderId="5" xfId="0" applyFont="1" applyBorder="1" applyAlignment="1" applyProtection="1">
      <alignment horizontal="center"/>
      <protection locked="0"/>
    </xf>
    <xf numFmtId="43" fontId="25" fillId="0" borderId="6" xfId="0" applyNumberFormat="1" applyFont="1" applyBorder="1" applyProtection="1">
      <protection locked="0"/>
    </xf>
    <xf numFmtId="165" fontId="25" fillId="3" borderId="34" xfId="0" applyNumberFormat="1" applyFont="1" applyFill="1" applyBorder="1"/>
    <xf numFmtId="43" fontId="25" fillId="3" borderId="2" xfId="0" applyNumberFormat="1" applyFont="1" applyFill="1" applyBorder="1"/>
    <xf numFmtId="0" fontId="25" fillId="3" borderId="55" xfId="0" applyFont="1" applyFill="1" applyBorder="1" applyAlignment="1">
      <alignment horizontal="center"/>
    </xf>
    <xf numFmtId="43" fontId="25" fillId="3" borderId="34" xfId="0" applyNumberFormat="1" applyFont="1" applyFill="1" applyBorder="1"/>
    <xf numFmtId="166" fontId="25" fillId="3" borderId="34" xfId="0" applyNumberFormat="1" applyFont="1" applyFill="1" applyBorder="1"/>
    <xf numFmtId="166" fontId="25" fillId="3" borderId="3" xfId="0" applyNumberFormat="1" applyFont="1" applyFill="1" applyBorder="1"/>
    <xf numFmtId="168" fontId="16" fillId="0" borderId="0" xfId="0" applyNumberFormat="1" applyFont="1" applyProtection="1">
      <protection locked="0"/>
    </xf>
    <xf numFmtId="0" fontId="28" fillId="0" borderId="8" xfId="0" applyFont="1" applyBorder="1" applyAlignment="1" applyProtection="1">
      <alignment horizontal="center" wrapText="1"/>
      <protection locked="0"/>
    </xf>
    <xf numFmtId="0" fontId="28" fillId="0" borderId="9" xfId="0" applyFont="1" applyBorder="1" applyAlignment="1" applyProtection="1">
      <alignment horizontal="center" wrapText="1"/>
      <protection locked="0"/>
    </xf>
    <xf numFmtId="0" fontId="28" fillId="3" borderId="9" xfId="0" applyFont="1" applyFill="1" applyBorder="1" applyAlignment="1">
      <alignment horizontal="center" wrapText="1"/>
    </xf>
    <xf numFmtId="168" fontId="28" fillId="3" borderId="10" xfId="0" applyNumberFormat="1" applyFont="1" applyFill="1" applyBorder="1" applyAlignment="1">
      <alignment horizontal="center" wrapText="1"/>
    </xf>
    <xf numFmtId="0" fontId="28" fillId="0" borderId="2" xfId="0" applyFont="1" applyBorder="1" applyAlignment="1" applyProtection="1">
      <alignment horizontal="center" wrapText="1"/>
      <protection locked="0"/>
    </xf>
    <xf numFmtId="0" fontId="16" fillId="0" borderId="11" xfId="0" applyFont="1" applyBorder="1" applyProtection="1">
      <protection locked="0"/>
    </xf>
    <xf numFmtId="0" fontId="28" fillId="0" borderId="12" xfId="0" applyFont="1" applyBorder="1" applyProtection="1">
      <protection locked="0"/>
    </xf>
    <xf numFmtId="0" fontId="16" fillId="0" borderId="12" xfId="0" applyFont="1" applyBorder="1" applyProtection="1">
      <protection locked="0"/>
    </xf>
    <xf numFmtId="0" fontId="16" fillId="3" borderId="12" xfId="0" applyFont="1" applyFill="1" applyBorder="1"/>
    <xf numFmtId="165" fontId="16" fillId="0" borderId="12" xfId="0" applyNumberFormat="1" applyFont="1" applyBorder="1" applyProtection="1">
      <protection locked="0"/>
    </xf>
    <xf numFmtId="168" fontId="16" fillId="3" borderId="13" xfId="0" applyNumberFormat="1" applyFont="1" applyFill="1" applyBorder="1"/>
    <xf numFmtId="0" fontId="16" fillId="0" borderId="14" xfId="0" applyFont="1" applyBorder="1" applyProtection="1">
      <protection locked="0"/>
    </xf>
    <xf numFmtId="0" fontId="16" fillId="0" borderId="15" xfId="0" applyFont="1" applyBorder="1" applyProtection="1">
      <protection locked="0"/>
    </xf>
    <xf numFmtId="0" fontId="16" fillId="0" borderId="5" xfId="0" applyFont="1" applyBorder="1" applyProtection="1">
      <protection locked="0"/>
    </xf>
    <xf numFmtId="0" fontId="16" fillId="0" borderId="6" xfId="0" applyFont="1" applyBorder="1" applyProtection="1">
      <protection locked="0"/>
    </xf>
    <xf numFmtId="0" fontId="16" fillId="0" borderId="6" xfId="0" applyFont="1" applyBorder="1"/>
    <xf numFmtId="0" fontId="29" fillId="0" borderId="6" xfId="0" applyFont="1" applyBorder="1" applyProtection="1">
      <protection locked="0"/>
    </xf>
    <xf numFmtId="0" fontId="28" fillId="0" borderId="2" xfId="0" applyFont="1" applyBorder="1" applyProtection="1">
      <protection locked="0"/>
    </xf>
    <xf numFmtId="43" fontId="28" fillId="3" borderId="21" xfId="0" applyNumberFormat="1" applyFont="1" applyFill="1" applyBorder="1"/>
    <xf numFmtId="0" fontId="28" fillId="0" borderId="1" xfId="0" applyFont="1" applyBorder="1" applyProtection="1">
      <protection locked="0"/>
    </xf>
    <xf numFmtId="168" fontId="28" fillId="0" borderId="12" xfId="0" applyNumberFormat="1" applyFont="1" applyBorder="1" applyProtection="1">
      <protection locked="0"/>
    </xf>
    <xf numFmtId="14" fontId="16" fillId="0" borderId="0" xfId="0" applyNumberFormat="1" applyFont="1" applyProtection="1">
      <protection locked="0"/>
    </xf>
    <xf numFmtId="0" fontId="29" fillId="0" borderId="0" xfId="0" applyFont="1" applyProtection="1">
      <protection locked="0"/>
    </xf>
    <xf numFmtId="0" fontId="30" fillId="0" borderId="0" xfId="0" applyFont="1" applyProtection="1">
      <protection locked="0"/>
    </xf>
    <xf numFmtId="43" fontId="31" fillId="3" borderId="12" xfId="0" applyNumberFormat="1" applyFont="1" applyFill="1" applyBorder="1"/>
    <xf numFmtId="166" fontId="18" fillId="0" borderId="10" xfId="0" applyNumberFormat="1" applyFont="1" applyBorder="1" applyAlignment="1" applyProtection="1">
      <alignment horizontal="right"/>
      <protection locked="0"/>
    </xf>
    <xf numFmtId="1" fontId="18" fillId="0" borderId="9" xfId="0" applyNumberFormat="1" applyFont="1" applyBorder="1" applyAlignment="1" applyProtection="1">
      <alignment horizontal="center"/>
      <protection locked="0"/>
    </xf>
    <xf numFmtId="166" fontId="18" fillId="3" borderId="12" xfId="0" applyNumberFormat="1" applyFont="1" applyFill="1" applyBorder="1" applyAlignment="1">
      <alignment horizontal="center"/>
    </xf>
    <xf numFmtId="168" fontId="18" fillId="0" borderId="13" xfId="0" applyNumberFormat="1" applyFont="1" applyBorder="1" applyAlignment="1" applyProtection="1">
      <alignment horizontal="right"/>
      <protection locked="0"/>
    </xf>
    <xf numFmtId="166" fontId="18" fillId="3" borderId="12" xfId="0" applyNumberFormat="1" applyFont="1" applyFill="1" applyBorder="1"/>
    <xf numFmtId="0" fontId="18" fillId="0" borderId="13" xfId="0" applyFont="1" applyBorder="1" applyAlignment="1" applyProtection="1">
      <alignment horizontal="right"/>
      <protection locked="0"/>
    </xf>
    <xf numFmtId="166" fontId="18" fillId="0" borderId="13" xfId="0" applyNumberFormat="1" applyFont="1" applyBorder="1" applyAlignment="1" applyProtection="1">
      <alignment horizontal="right"/>
      <protection locked="0"/>
    </xf>
    <xf numFmtId="0" fontId="18" fillId="0" borderId="11" xfId="0" applyFont="1" applyBorder="1" applyAlignment="1" applyProtection="1">
      <alignment horizontal="center"/>
      <protection locked="0"/>
    </xf>
    <xf numFmtId="168" fontId="18" fillId="3" borderId="12" xfId="0" applyNumberFormat="1" applyFont="1" applyFill="1" applyBorder="1"/>
    <xf numFmtId="0" fontId="18" fillId="0" borderId="60" xfId="0" applyFont="1" applyBorder="1" applyAlignment="1" applyProtection="1">
      <alignment horizontal="center"/>
      <protection locked="0"/>
    </xf>
    <xf numFmtId="168" fontId="18" fillId="3" borderId="40" xfId="0" applyNumberFormat="1" applyFont="1" applyFill="1" applyBorder="1" applyAlignment="1">
      <alignment horizontal="center"/>
    </xf>
    <xf numFmtId="0" fontId="18" fillId="0" borderId="40" xfId="0" applyFont="1" applyBorder="1" applyProtection="1">
      <protection locked="0"/>
    </xf>
    <xf numFmtId="166" fontId="18" fillId="0" borderId="40" xfId="0" applyNumberFormat="1" applyFont="1" applyBorder="1" applyProtection="1">
      <protection locked="0"/>
    </xf>
    <xf numFmtId="168" fontId="18" fillId="0" borderId="29" xfId="0" applyNumberFormat="1" applyFont="1" applyBorder="1" applyProtection="1">
      <protection locked="0"/>
    </xf>
    <xf numFmtId="0" fontId="18" fillId="0" borderId="61" xfId="0" applyFont="1" applyBorder="1" applyProtection="1">
      <protection locked="0"/>
    </xf>
    <xf numFmtId="166" fontId="18" fillId="0" borderId="52" xfId="0" applyNumberFormat="1" applyFont="1" applyBorder="1" applyAlignment="1" applyProtection="1">
      <alignment horizontal="center"/>
      <protection locked="0"/>
    </xf>
    <xf numFmtId="168" fontId="18" fillId="3" borderId="40" xfId="0" applyNumberFormat="1" applyFont="1" applyFill="1" applyBorder="1"/>
    <xf numFmtId="168" fontId="18" fillId="0" borderId="40" xfId="0" applyNumberFormat="1" applyFont="1" applyBorder="1" applyProtection="1">
      <protection locked="0"/>
    </xf>
    <xf numFmtId="1" fontId="18" fillId="0" borderId="40" xfId="0" applyNumberFormat="1" applyFont="1" applyBorder="1" applyAlignment="1" applyProtection="1">
      <alignment horizontal="center"/>
      <protection locked="0"/>
    </xf>
    <xf numFmtId="0" fontId="18" fillId="0" borderId="52" xfId="0" applyFont="1" applyBorder="1" applyAlignment="1" applyProtection="1">
      <alignment horizontal="center"/>
      <protection locked="0"/>
    </xf>
    <xf numFmtId="168" fontId="17" fillId="0" borderId="3" xfId="0" applyNumberFormat="1" applyFont="1" applyBorder="1"/>
    <xf numFmtId="166" fontId="16" fillId="0" borderId="0" xfId="0" applyNumberFormat="1" applyFont="1"/>
    <xf numFmtId="0" fontId="2" fillId="0" borderId="1" xfId="0" applyFont="1" applyBorder="1" applyAlignment="1" applyProtection="1">
      <alignment horizontal="center"/>
      <protection locked="0"/>
    </xf>
    <xf numFmtId="0" fontId="2" fillId="0" borderId="3" xfId="0" applyFont="1" applyBorder="1" applyAlignment="1" applyProtection="1">
      <alignment horizontal="center"/>
      <protection locked="0"/>
    </xf>
    <xf numFmtId="0" fontId="2" fillId="0" borderId="4" xfId="0" applyFont="1" applyBorder="1" applyAlignment="1" applyProtection="1">
      <alignment horizontal="center"/>
      <protection locked="0"/>
    </xf>
    <xf numFmtId="0" fontId="2" fillId="0" borderId="6" xfId="0" applyFont="1" applyBorder="1" applyAlignment="1" applyProtection="1">
      <alignment horizontal="center"/>
      <protection locked="0"/>
    </xf>
    <xf numFmtId="0" fontId="17" fillId="0" borderId="4" xfId="0" applyFont="1" applyBorder="1" applyAlignment="1" applyProtection="1">
      <alignment horizontal="center"/>
      <protection locked="0"/>
    </xf>
    <xf numFmtId="0" fontId="17" fillId="0" borderId="3" xfId="0" applyFont="1" applyBorder="1" applyAlignment="1" applyProtection="1">
      <alignment horizontal="center"/>
      <protection locked="0"/>
    </xf>
    <xf numFmtId="0" fontId="19" fillId="0" borderId="17" xfId="0" applyFont="1" applyBorder="1" applyAlignment="1" applyProtection="1">
      <alignment horizontal="center"/>
      <protection locked="0"/>
    </xf>
    <xf numFmtId="0" fontId="19" fillId="0" borderId="0" xfId="0" applyFont="1" applyAlignment="1" applyProtection="1">
      <alignment horizontal="center"/>
      <protection locked="0"/>
    </xf>
    <xf numFmtId="0" fontId="2" fillId="0" borderId="1" xfId="0" applyFont="1" applyBorder="1" applyAlignment="1">
      <alignment horizontal="center"/>
    </xf>
    <xf numFmtId="0" fontId="2" fillId="0" borderId="4" xfId="0" applyFont="1" applyBorder="1" applyAlignment="1">
      <alignment horizontal="center"/>
    </xf>
    <xf numFmtId="0" fontId="2" fillId="0" borderId="3" xfId="0" applyFont="1" applyBorder="1" applyAlignment="1">
      <alignment horizontal="center"/>
    </xf>
    <xf numFmtId="0" fontId="2" fillId="0" borderId="41" xfId="0" applyFont="1" applyBorder="1" applyAlignment="1">
      <alignment horizontal="center"/>
    </xf>
    <xf numFmtId="0" fontId="2" fillId="0" borderId="42" xfId="0" applyFont="1" applyBorder="1" applyAlignment="1">
      <alignment horizontal="center"/>
    </xf>
    <xf numFmtId="0" fontId="2" fillId="0" borderId="43" xfId="0" applyFont="1" applyBorder="1" applyAlignment="1">
      <alignment horizontal="center"/>
    </xf>
    <xf numFmtId="0" fontId="2" fillId="0" borderId="19" xfId="0" applyFont="1" applyBorder="1" applyAlignment="1">
      <alignment horizontal="center"/>
    </xf>
    <xf numFmtId="0" fontId="2" fillId="0" borderId="20" xfId="0" applyFont="1" applyBorder="1" applyAlignment="1">
      <alignment horizontal="center"/>
    </xf>
    <xf numFmtId="0" fontId="2" fillId="0" borderId="21" xfId="0" applyFont="1" applyBorder="1" applyAlignment="1">
      <alignment horizontal="center"/>
    </xf>
    <xf numFmtId="0" fontId="24" fillId="0" borderId="54" xfId="0" applyFont="1" applyBorder="1" applyAlignment="1" applyProtection="1">
      <alignment horizontal="center" wrapText="1"/>
      <protection locked="0"/>
    </xf>
    <xf numFmtId="0" fontId="24" fillId="0" borderId="0" xfId="0" applyFont="1" applyAlignment="1" applyProtection="1">
      <alignment horizontal="center" wrapText="1"/>
      <protection locked="0"/>
    </xf>
    <xf numFmtId="0" fontId="27" fillId="0" borderId="1" xfId="0" applyFont="1" applyBorder="1" applyAlignment="1" applyProtection="1">
      <alignment horizontal="center"/>
      <protection locked="0"/>
    </xf>
    <xf numFmtId="0" fontId="27" fillId="0" borderId="4" xfId="0" applyFont="1" applyBorder="1" applyAlignment="1" applyProtection="1">
      <alignment horizontal="center"/>
      <protection locked="0"/>
    </xf>
    <xf numFmtId="0" fontId="27" fillId="0" borderId="3" xfId="0" applyFont="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4573984</xdr:colOff>
      <xdr:row>0</xdr:row>
      <xdr:rowOff>148828</xdr:rowOff>
    </xdr:from>
    <xdr:to>
      <xdr:col>3</xdr:col>
      <xdr:colOff>116680</xdr:colOff>
      <xdr:row>3</xdr:row>
      <xdr:rowOff>78581</xdr:rowOff>
    </xdr:to>
    <xdr:pic>
      <xdr:nvPicPr>
        <xdr:cNvPr id="2" name="Picture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824725</xdr:colOff>
      <xdr:row>0</xdr:row>
      <xdr:rowOff>139391</xdr:rowOff>
    </xdr:from>
    <xdr:to>
      <xdr:col>7</xdr:col>
      <xdr:colOff>375432</xdr:colOff>
      <xdr:row>3</xdr:row>
      <xdr:rowOff>53206</xdr:rowOff>
    </xdr:to>
    <xdr:pic>
      <xdr:nvPicPr>
        <xdr:cNvPr id="2" name="Picture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678656</xdr:colOff>
      <xdr:row>1</xdr:row>
      <xdr:rowOff>47625</xdr:rowOff>
    </xdr:from>
    <xdr:to>
      <xdr:col>4</xdr:col>
      <xdr:colOff>329840</xdr:colOff>
      <xdr:row>3</xdr:row>
      <xdr:rowOff>65983</xdr:rowOff>
    </xdr:to>
    <xdr:pic>
      <xdr:nvPicPr>
        <xdr:cNvPr id="2" name="Picture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8</xdr:col>
      <xdr:colOff>567028</xdr:colOff>
      <xdr:row>3</xdr:row>
      <xdr:rowOff>109327</xdr:rowOff>
    </xdr:to>
    <xdr:pic>
      <xdr:nvPicPr>
        <xdr:cNvPr id="2" name="Picture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0"/>
  <sheetViews>
    <sheetView showGridLines="0" view="pageBreakPreview" zoomScale="86" zoomScaleNormal="100" workbookViewId="0">
      <pane ySplit="4" topLeftCell="A5" activePane="bottomLeft" state="frozen"/>
      <selection pane="bottomLeft" activeCell="C21" sqref="C21"/>
    </sheetView>
  </sheetViews>
  <sheetFormatPr defaultColWidth="9.28515625" defaultRowHeight="15"/>
  <cols>
    <col min="1" max="1" width="10.5703125" style="1" customWidth="1"/>
    <col min="2" max="2" width="18.5703125" style="1" customWidth="1"/>
    <col min="3" max="3" width="92.7109375" style="1" customWidth="1"/>
    <col min="4" max="4" width="8" style="1" customWidth="1"/>
    <col min="5" max="5" width="9.28515625" style="1" customWidth="1"/>
    <col min="6" max="16384" width="9.28515625" style="1"/>
  </cols>
  <sheetData>
    <row r="2" spans="2:3">
      <c r="B2" s="2" t="s">
        <v>0</v>
      </c>
      <c r="C2" s="2" t="s">
        <v>1</v>
      </c>
    </row>
    <row r="3" spans="2:3">
      <c r="B3" s="2" t="s">
        <v>2</v>
      </c>
      <c r="C3" s="2" t="s">
        <v>3</v>
      </c>
    </row>
    <row r="4" spans="2:3" ht="18.75" customHeight="1">
      <c r="B4" s="2" t="s">
        <v>4</v>
      </c>
      <c r="C4" s="3">
        <v>43831</v>
      </c>
    </row>
    <row r="6" spans="2:3" ht="76.5" customHeight="1">
      <c r="B6" s="4" t="s">
        <v>5</v>
      </c>
      <c r="C6" s="5" t="s">
        <v>6</v>
      </c>
    </row>
    <row r="7" spans="2:3">
      <c r="B7" s="6"/>
    </row>
    <row r="8" spans="2:3" ht="282.75" customHeight="1">
      <c r="B8" s="4" t="s">
        <v>7</v>
      </c>
      <c r="C8" s="5" t="s">
        <v>8</v>
      </c>
    </row>
    <row r="10" spans="2:3" ht="150.75" customHeight="1">
      <c r="B10" s="4" t="s">
        <v>9</v>
      </c>
      <c r="C10" s="5" t="s">
        <v>10</v>
      </c>
    </row>
  </sheetData>
  <pageMargins left="0.7" right="0.7" top="0.75" bottom="0.75" header="0.3" footer="0.3"/>
  <pageSetup paperSize="9" scale="64" orientation="portrait" useFirstPageNumber="1"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3:L377"/>
  <sheetViews>
    <sheetView showGridLines="0" tabSelected="1" zoomScaleNormal="100" zoomScaleSheetLayoutView="100" workbookViewId="0">
      <pane ySplit="8" topLeftCell="A362" activePane="bottomLeft" state="frozen"/>
      <selection pane="bottomLeft" activeCell="E372" sqref="E372"/>
    </sheetView>
  </sheetViews>
  <sheetFormatPr defaultColWidth="9.28515625" defaultRowHeight="15"/>
  <cols>
    <col min="1" max="1" width="9.28515625" style="7" customWidth="1"/>
    <col min="2" max="2" width="15.7109375" style="8" customWidth="1"/>
    <col min="3" max="3" width="38" style="7" customWidth="1"/>
    <col min="4" max="4" width="22.5703125" style="7" customWidth="1"/>
    <col min="5" max="5" width="26.5703125" style="7" customWidth="1"/>
    <col min="6" max="6" width="15.7109375" style="7" customWidth="1"/>
    <col min="7" max="7" width="16.7109375" style="7" customWidth="1"/>
    <col min="8" max="8" width="9.5703125" style="7" customWidth="1"/>
    <col min="9" max="9" width="9.28515625" style="7" customWidth="1"/>
    <col min="10" max="10" width="12.28515625" style="7" customWidth="1"/>
    <col min="11" max="11" width="9.28515625" style="7" customWidth="1"/>
    <col min="12" max="12" width="11.28515625" style="7" customWidth="1"/>
    <col min="13" max="13" width="9.28515625" style="7" customWidth="1"/>
    <col min="14" max="16384" width="9.28515625" style="7"/>
  </cols>
  <sheetData>
    <row r="3" spans="2:7" ht="15.75" customHeight="1">
      <c r="B3" s="8" t="s">
        <v>11</v>
      </c>
      <c r="C3" s="9" t="s">
        <v>12</v>
      </c>
      <c r="D3" s="400" t="s">
        <v>13</v>
      </c>
      <c r="E3" s="401"/>
      <c r="F3" s="8"/>
    </row>
    <row r="5" spans="2:7">
      <c r="B5" s="10" t="s">
        <v>14</v>
      </c>
      <c r="C5" s="402" t="s">
        <v>15</v>
      </c>
      <c r="D5" s="402"/>
      <c r="E5" s="402"/>
      <c r="F5" s="402"/>
      <c r="G5" s="11"/>
    </row>
    <row r="7" spans="2:7">
      <c r="B7" s="12">
        <v>1</v>
      </c>
      <c r="C7" s="403" t="s">
        <v>16</v>
      </c>
      <c r="D7" s="403"/>
      <c r="E7" s="13"/>
      <c r="F7" s="13"/>
      <c r="G7" s="14"/>
    </row>
    <row r="8" spans="2:7">
      <c r="B8" s="15" t="s">
        <v>17</v>
      </c>
      <c r="C8" s="16" t="s">
        <v>18</v>
      </c>
      <c r="D8" s="16" t="s">
        <v>19</v>
      </c>
      <c r="E8" s="16" t="s">
        <v>20</v>
      </c>
      <c r="F8" s="16" t="s">
        <v>21</v>
      </c>
      <c r="G8" s="17" t="s">
        <v>22</v>
      </c>
    </row>
    <row r="9" spans="2:7" ht="12.75" customHeight="1">
      <c r="B9" s="18"/>
      <c r="C9" s="19"/>
      <c r="D9" s="19"/>
      <c r="E9" s="20"/>
      <c r="F9" s="20"/>
      <c r="G9" s="21"/>
    </row>
    <row r="10" spans="2:7">
      <c r="B10" s="22" t="s">
        <v>23</v>
      </c>
      <c r="C10" s="23">
        <v>945281</v>
      </c>
      <c r="D10" s="23">
        <v>945479</v>
      </c>
      <c r="E10" s="24">
        <f t="shared" ref="E10:E41" si="0">D10-C10</f>
        <v>198</v>
      </c>
      <c r="F10" s="25">
        <v>850</v>
      </c>
      <c r="G10" s="26">
        <f t="shared" ref="G10:G41" si="1">E10*F10</f>
        <v>168300</v>
      </c>
    </row>
    <row r="11" spans="2:7">
      <c r="B11" s="22" t="s">
        <v>24</v>
      </c>
      <c r="C11" s="23">
        <v>913277</v>
      </c>
      <c r="D11" s="23">
        <v>913278</v>
      </c>
      <c r="E11" s="24">
        <f t="shared" si="0"/>
        <v>1</v>
      </c>
      <c r="F11" s="25">
        <v>850</v>
      </c>
      <c r="G11" s="26">
        <f t="shared" si="1"/>
        <v>850</v>
      </c>
    </row>
    <row r="12" spans="2:7">
      <c r="B12" s="22" t="s">
        <v>25</v>
      </c>
      <c r="C12" s="23">
        <v>1361945</v>
      </c>
      <c r="D12" s="23">
        <v>1365359</v>
      </c>
      <c r="E12" s="24">
        <f t="shared" si="0"/>
        <v>3414</v>
      </c>
      <c r="F12" s="25">
        <v>850</v>
      </c>
      <c r="G12" s="26">
        <f t="shared" si="1"/>
        <v>2901900</v>
      </c>
    </row>
    <row r="13" spans="2:7">
      <c r="B13" s="22" t="s">
        <v>26</v>
      </c>
      <c r="C13" s="23">
        <v>1149584</v>
      </c>
      <c r="D13" s="23">
        <v>1149584</v>
      </c>
      <c r="E13" s="24">
        <f t="shared" si="0"/>
        <v>0</v>
      </c>
      <c r="F13" s="25">
        <v>850</v>
      </c>
      <c r="G13" s="26">
        <f t="shared" si="1"/>
        <v>0</v>
      </c>
    </row>
    <row r="14" spans="2:7">
      <c r="B14" s="22" t="s">
        <v>27</v>
      </c>
      <c r="C14" s="23">
        <v>1213393</v>
      </c>
      <c r="D14" s="23">
        <v>1214846</v>
      </c>
      <c r="E14" s="24">
        <f t="shared" si="0"/>
        <v>1453</v>
      </c>
      <c r="F14" s="25">
        <v>850</v>
      </c>
      <c r="G14" s="26">
        <f t="shared" si="1"/>
        <v>1235050</v>
      </c>
    </row>
    <row r="15" spans="2:7">
      <c r="B15" s="22" t="s">
        <v>28</v>
      </c>
      <c r="C15" s="23">
        <v>1040351</v>
      </c>
      <c r="D15" s="23">
        <v>1041765</v>
      </c>
      <c r="E15" s="24">
        <f t="shared" si="0"/>
        <v>1414</v>
      </c>
      <c r="F15" s="25">
        <v>850</v>
      </c>
      <c r="G15" s="26">
        <f t="shared" si="1"/>
        <v>1201900</v>
      </c>
    </row>
    <row r="16" spans="2:7">
      <c r="B16" s="22" t="s">
        <v>29</v>
      </c>
      <c r="C16" s="23">
        <v>1012522</v>
      </c>
      <c r="D16" s="23">
        <v>1012522</v>
      </c>
      <c r="E16" s="24">
        <f t="shared" si="0"/>
        <v>0</v>
      </c>
      <c r="F16" s="25">
        <v>850</v>
      </c>
      <c r="G16" s="26">
        <f t="shared" si="1"/>
        <v>0</v>
      </c>
    </row>
    <row r="17" spans="2:11">
      <c r="B17" s="22" t="s">
        <v>30</v>
      </c>
      <c r="C17" s="23">
        <v>1145146</v>
      </c>
      <c r="D17" s="23">
        <v>1148333</v>
      </c>
      <c r="E17" s="24">
        <f t="shared" si="0"/>
        <v>3187</v>
      </c>
      <c r="F17" s="25">
        <v>850</v>
      </c>
      <c r="G17" s="26">
        <f t="shared" si="1"/>
        <v>2708950</v>
      </c>
      <c r="J17" s="27"/>
    </row>
    <row r="18" spans="2:11">
      <c r="B18" s="22"/>
      <c r="C18" s="25"/>
      <c r="D18" s="25"/>
      <c r="E18" s="24">
        <f t="shared" si="0"/>
        <v>0</v>
      </c>
      <c r="F18" s="25"/>
      <c r="G18" s="26">
        <f t="shared" si="1"/>
        <v>0</v>
      </c>
    </row>
    <row r="19" spans="2:11">
      <c r="B19" s="22" t="s">
        <v>23</v>
      </c>
      <c r="C19" s="25">
        <v>945479</v>
      </c>
      <c r="D19" s="25">
        <v>947628</v>
      </c>
      <c r="E19" s="24">
        <f t="shared" si="0"/>
        <v>2149</v>
      </c>
      <c r="F19" s="25">
        <v>950</v>
      </c>
      <c r="G19" s="26">
        <f t="shared" si="1"/>
        <v>2041550</v>
      </c>
    </row>
    <row r="20" spans="2:11">
      <c r="B20" s="22" t="s">
        <v>24</v>
      </c>
      <c r="C20" s="23">
        <v>913278</v>
      </c>
      <c r="D20" s="23">
        <v>913374</v>
      </c>
      <c r="E20" s="24">
        <f t="shared" si="0"/>
        <v>96</v>
      </c>
      <c r="F20" s="25">
        <v>950</v>
      </c>
      <c r="G20" s="26">
        <f t="shared" si="1"/>
        <v>91200</v>
      </c>
    </row>
    <row r="21" spans="2:11">
      <c r="B21" s="22" t="s">
        <v>25</v>
      </c>
      <c r="C21" s="23">
        <v>1365359</v>
      </c>
      <c r="D21" s="23">
        <v>1370607</v>
      </c>
      <c r="E21" s="24">
        <f t="shared" si="0"/>
        <v>5248</v>
      </c>
      <c r="F21" s="25">
        <v>950</v>
      </c>
      <c r="G21" s="26">
        <f t="shared" si="1"/>
        <v>4985600</v>
      </c>
    </row>
    <row r="22" spans="2:11">
      <c r="B22" s="22" t="s">
        <v>26</v>
      </c>
      <c r="C22" s="23">
        <v>1149584</v>
      </c>
      <c r="D22" s="23">
        <v>1151178</v>
      </c>
      <c r="E22" s="24">
        <f t="shared" si="0"/>
        <v>1594</v>
      </c>
      <c r="F22" s="25">
        <v>950</v>
      </c>
      <c r="G22" s="26">
        <f t="shared" si="1"/>
        <v>1514300</v>
      </c>
    </row>
    <row r="23" spans="2:11">
      <c r="B23" s="22" t="s">
        <v>27</v>
      </c>
      <c r="C23" s="23">
        <v>1214846</v>
      </c>
      <c r="D23" s="23">
        <v>1215271</v>
      </c>
      <c r="E23" s="24">
        <f t="shared" si="0"/>
        <v>425</v>
      </c>
      <c r="F23" s="25">
        <v>950</v>
      </c>
      <c r="G23" s="26">
        <f t="shared" si="1"/>
        <v>403750</v>
      </c>
    </row>
    <row r="24" spans="2:11">
      <c r="B24" s="22" t="s">
        <v>28</v>
      </c>
      <c r="C24" s="23">
        <v>1041765</v>
      </c>
      <c r="D24" s="23">
        <v>1044332</v>
      </c>
      <c r="E24" s="24">
        <f t="shared" si="0"/>
        <v>2567</v>
      </c>
      <c r="F24" s="25">
        <v>950</v>
      </c>
      <c r="G24" s="26">
        <f t="shared" si="1"/>
        <v>2438650</v>
      </c>
    </row>
    <row r="25" spans="2:11">
      <c r="B25" s="22" t="s">
        <v>29</v>
      </c>
      <c r="C25" s="23">
        <v>1012522</v>
      </c>
      <c r="D25" s="23">
        <v>1012522</v>
      </c>
      <c r="E25" s="24">
        <f t="shared" si="0"/>
        <v>0</v>
      </c>
      <c r="F25" s="25">
        <v>950</v>
      </c>
      <c r="G25" s="26">
        <f t="shared" si="1"/>
        <v>0</v>
      </c>
    </row>
    <row r="26" spans="2:11">
      <c r="B26" s="22" t="s">
        <v>30</v>
      </c>
      <c r="C26" s="23">
        <v>1148333</v>
      </c>
      <c r="D26" s="23">
        <v>1153635</v>
      </c>
      <c r="E26" s="24">
        <f t="shared" si="0"/>
        <v>5302</v>
      </c>
      <c r="F26" s="25">
        <v>950</v>
      </c>
      <c r="G26" s="26">
        <f t="shared" si="1"/>
        <v>5036900</v>
      </c>
    </row>
    <row r="27" spans="2:11">
      <c r="B27" s="22"/>
      <c r="C27" s="23"/>
      <c r="D27" s="23"/>
      <c r="E27" s="24">
        <f t="shared" si="0"/>
        <v>0</v>
      </c>
      <c r="F27" s="25"/>
      <c r="G27" s="26">
        <f t="shared" si="1"/>
        <v>0</v>
      </c>
    </row>
    <row r="28" spans="2:11">
      <c r="B28" s="22" t="s">
        <v>23</v>
      </c>
      <c r="C28" s="25">
        <v>947628</v>
      </c>
      <c r="D28" s="25">
        <v>947748</v>
      </c>
      <c r="E28" s="24">
        <f t="shared" si="0"/>
        <v>120</v>
      </c>
      <c r="F28" s="25">
        <v>1025</v>
      </c>
      <c r="G28" s="26">
        <f t="shared" si="1"/>
        <v>123000</v>
      </c>
    </row>
    <row r="29" spans="2:11">
      <c r="B29" s="22" t="s">
        <v>24</v>
      </c>
      <c r="C29" s="25">
        <v>913374</v>
      </c>
      <c r="D29" s="25">
        <v>913374</v>
      </c>
      <c r="E29" s="24">
        <f t="shared" si="0"/>
        <v>0</v>
      </c>
      <c r="F29" s="25">
        <v>1025</v>
      </c>
      <c r="G29" s="26">
        <f t="shared" si="1"/>
        <v>0</v>
      </c>
    </row>
    <row r="30" spans="2:11">
      <c r="B30" s="22" t="s">
        <v>25</v>
      </c>
      <c r="C30" s="23">
        <v>1370607</v>
      </c>
      <c r="D30" s="23">
        <v>1371332</v>
      </c>
      <c r="E30" s="24">
        <f t="shared" si="0"/>
        <v>725</v>
      </c>
      <c r="F30" s="25">
        <v>1025</v>
      </c>
      <c r="G30" s="26">
        <f t="shared" si="1"/>
        <v>743125</v>
      </c>
    </row>
    <row r="31" spans="2:11">
      <c r="B31" s="22" t="s">
        <v>26</v>
      </c>
      <c r="C31" s="23">
        <v>1151178</v>
      </c>
      <c r="D31" s="23">
        <v>1151178</v>
      </c>
      <c r="E31" s="24">
        <f t="shared" si="0"/>
        <v>0</v>
      </c>
      <c r="F31" s="25">
        <v>1025</v>
      </c>
      <c r="G31" s="26">
        <f t="shared" si="1"/>
        <v>0</v>
      </c>
    </row>
    <row r="32" spans="2:11">
      <c r="B32" s="22" t="s">
        <v>27</v>
      </c>
      <c r="C32" s="23">
        <v>1215271</v>
      </c>
      <c r="D32" s="23">
        <v>1215271</v>
      </c>
      <c r="E32" s="24">
        <f t="shared" si="0"/>
        <v>0</v>
      </c>
      <c r="F32" s="25">
        <v>1025</v>
      </c>
      <c r="G32" s="26">
        <f t="shared" si="1"/>
        <v>0</v>
      </c>
      <c r="J32" s="27"/>
      <c r="K32" s="27"/>
    </row>
    <row r="33" spans="2:11">
      <c r="B33" s="22" t="s">
        <v>28</v>
      </c>
      <c r="C33" s="23">
        <v>1044332</v>
      </c>
      <c r="D33" s="23">
        <v>1044332</v>
      </c>
      <c r="E33" s="24">
        <f t="shared" si="0"/>
        <v>0</v>
      </c>
      <c r="F33" s="25">
        <v>1025</v>
      </c>
      <c r="G33" s="26">
        <f t="shared" si="1"/>
        <v>0</v>
      </c>
    </row>
    <row r="34" spans="2:11">
      <c r="B34" s="22" t="s">
        <v>29</v>
      </c>
      <c r="C34" s="23">
        <v>1012522</v>
      </c>
      <c r="D34" s="23">
        <v>1012522</v>
      </c>
      <c r="E34" s="24">
        <f t="shared" si="0"/>
        <v>0</v>
      </c>
      <c r="F34" s="25">
        <v>1025</v>
      </c>
      <c r="G34" s="26">
        <f t="shared" si="1"/>
        <v>0</v>
      </c>
    </row>
    <row r="35" spans="2:11">
      <c r="B35" s="22" t="s">
        <v>30</v>
      </c>
      <c r="C35" s="23">
        <v>1153635</v>
      </c>
      <c r="D35" s="23">
        <v>1154445</v>
      </c>
      <c r="E35" s="24">
        <f t="shared" si="0"/>
        <v>810</v>
      </c>
      <c r="F35" s="25">
        <v>1025</v>
      </c>
      <c r="G35" s="26">
        <f t="shared" si="1"/>
        <v>830250</v>
      </c>
      <c r="K35" s="27"/>
    </row>
    <row r="36" spans="2:11">
      <c r="B36" s="22"/>
      <c r="C36" s="23"/>
      <c r="D36" s="23"/>
      <c r="E36" s="24">
        <f t="shared" si="0"/>
        <v>0</v>
      </c>
      <c r="F36" s="25"/>
      <c r="G36" s="26">
        <f t="shared" si="1"/>
        <v>0</v>
      </c>
    </row>
    <row r="37" spans="2:11">
      <c r="B37" s="22" t="s">
        <v>23</v>
      </c>
      <c r="C37" s="23">
        <v>947748</v>
      </c>
      <c r="D37" s="23">
        <v>948707</v>
      </c>
      <c r="E37" s="24">
        <f t="shared" si="0"/>
        <v>959</v>
      </c>
      <c r="F37" s="25">
        <v>1050</v>
      </c>
      <c r="G37" s="26">
        <f t="shared" si="1"/>
        <v>1006950</v>
      </c>
    </row>
    <row r="38" spans="2:11">
      <c r="B38" s="22" t="s">
        <v>24</v>
      </c>
      <c r="C38" s="25">
        <v>913374</v>
      </c>
      <c r="D38" s="25">
        <v>913374</v>
      </c>
      <c r="E38" s="24">
        <f t="shared" si="0"/>
        <v>0</v>
      </c>
      <c r="F38" s="25">
        <v>1050</v>
      </c>
      <c r="G38" s="26">
        <f t="shared" si="1"/>
        <v>0</v>
      </c>
    </row>
    <row r="39" spans="2:11">
      <c r="B39" s="22" t="s">
        <v>25</v>
      </c>
      <c r="C39" s="25">
        <v>1371332</v>
      </c>
      <c r="D39" s="25">
        <v>1372215</v>
      </c>
      <c r="E39" s="24">
        <f t="shared" si="0"/>
        <v>883</v>
      </c>
      <c r="F39" s="25">
        <v>1050</v>
      </c>
      <c r="G39" s="26">
        <f t="shared" si="1"/>
        <v>927150</v>
      </c>
    </row>
    <row r="40" spans="2:11">
      <c r="B40" s="22" t="s">
        <v>26</v>
      </c>
      <c r="C40" s="25">
        <v>1151178</v>
      </c>
      <c r="D40" s="25">
        <v>1151178</v>
      </c>
      <c r="E40" s="24">
        <f t="shared" si="0"/>
        <v>0</v>
      </c>
      <c r="F40" s="25">
        <v>1050</v>
      </c>
      <c r="G40" s="26">
        <f t="shared" si="1"/>
        <v>0</v>
      </c>
    </row>
    <row r="41" spans="2:11">
      <c r="B41" s="22" t="s">
        <v>27</v>
      </c>
      <c r="C41" s="25">
        <v>1215271</v>
      </c>
      <c r="D41" s="25">
        <v>1215271</v>
      </c>
      <c r="E41" s="24">
        <f t="shared" si="0"/>
        <v>0</v>
      </c>
      <c r="F41" s="25">
        <v>1050</v>
      </c>
      <c r="G41" s="26">
        <f t="shared" si="1"/>
        <v>0</v>
      </c>
    </row>
    <row r="42" spans="2:11">
      <c r="B42" s="22" t="s">
        <v>28</v>
      </c>
      <c r="C42" s="25">
        <v>1044332</v>
      </c>
      <c r="D42" s="25">
        <v>1044332</v>
      </c>
      <c r="E42" s="24">
        <f t="shared" ref="E42:E73" si="2">D42-C42</f>
        <v>0</v>
      </c>
      <c r="F42" s="25">
        <v>1050</v>
      </c>
      <c r="G42" s="26">
        <f t="shared" ref="G42:G73" si="3">E42*F42</f>
        <v>0</v>
      </c>
    </row>
    <row r="43" spans="2:11">
      <c r="B43" s="22" t="s">
        <v>29</v>
      </c>
      <c r="C43" s="25">
        <v>1012522</v>
      </c>
      <c r="D43" s="25">
        <v>1012523</v>
      </c>
      <c r="E43" s="24">
        <f t="shared" si="2"/>
        <v>1</v>
      </c>
      <c r="F43" s="25">
        <v>1050</v>
      </c>
      <c r="G43" s="26">
        <f t="shared" si="3"/>
        <v>1050</v>
      </c>
    </row>
    <row r="44" spans="2:11">
      <c r="B44" s="22" t="s">
        <v>30</v>
      </c>
      <c r="C44" s="25">
        <v>1154445</v>
      </c>
      <c r="D44" s="25">
        <v>1155521</v>
      </c>
      <c r="E44" s="24">
        <f t="shared" si="2"/>
        <v>1076</v>
      </c>
      <c r="F44" s="25">
        <v>1050</v>
      </c>
      <c r="G44" s="26">
        <f t="shared" si="3"/>
        <v>1129800</v>
      </c>
    </row>
    <row r="45" spans="2:11">
      <c r="B45" s="22"/>
      <c r="C45" s="25"/>
      <c r="D45" s="25"/>
      <c r="E45" s="24">
        <f t="shared" si="2"/>
        <v>0</v>
      </c>
      <c r="F45" s="25"/>
      <c r="G45" s="26">
        <f t="shared" si="3"/>
        <v>0</v>
      </c>
    </row>
    <row r="46" spans="2:11">
      <c r="B46" s="22" t="s">
        <v>23</v>
      </c>
      <c r="C46" s="25">
        <v>948707</v>
      </c>
      <c r="D46" s="25">
        <v>951114</v>
      </c>
      <c r="E46" s="24">
        <f t="shared" si="2"/>
        <v>2407</v>
      </c>
      <c r="F46" s="25">
        <v>1082</v>
      </c>
      <c r="G46" s="26">
        <f t="shared" si="3"/>
        <v>2604374</v>
      </c>
    </row>
    <row r="47" spans="2:11">
      <c r="B47" s="22" t="s">
        <v>24</v>
      </c>
      <c r="C47" s="25">
        <v>913374</v>
      </c>
      <c r="D47" s="25">
        <v>913374</v>
      </c>
      <c r="E47" s="24">
        <f t="shared" si="2"/>
        <v>0</v>
      </c>
      <c r="F47" s="25">
        <v>1082</v>
      </c>
      <c r="G47" s="26">
        <f t="shared" si="3"/>
        <v>0</v>
      </c>
    </row>
    <row r="48" spans="2:11">
      <c r="B48" s="22" t="s">
        <v>25</v>
      </c>
      <c r="C48" s="25">
        <v>1372215</v>
      </c>
      <c r="D48" s="25">
        <v>1374128</v>
      </c>
      <c r="E48" s="24">
        <f t="shared" si="2"/>
        <v>1913</v>
      </c>
      <c r="F48" s="25">
        <v>1082</v>
      </c>
      <c r="G48" s="26">
        <f t="shared" si="3"/>
        <v>2069866</v>
      </c>
    </row>
    <row r="49" spans="2:7">
      <c r="B49" s="22" t="s">
        <v>26</v>
      </c>
      <c r="C49" s="25">
        <v>1151178</v>
      </c>
      <c r="D49" s="25">
        <v>1151178</v>
      </c>
      <c r="E49" s="24">
        <f t="shared" si="2"/>
        <v>0</v>
      </c>
      <c r="F49" s="25">
        <v>1082</v>
      </c>
      <c r="G49" s="26">
        <f t="shared" si="3"/>
        <v>0</v>
      </c>
    </row>
    <row r="50" spans="2:7">
      <c r="B50" s="22" t="s">
        <v>27</v>
      </c>
      <c r="C50" s="25">
        <v>1215271</v>
      </c>
      <c r="D50" s="25">
        <v>1215271</v>
      </c>
      <c r="E50" s="24">
        <f t="shared" si="2"/>
        <v>0</v>
      </c>
      <c r="F50" s="25">
        <v>1082</v>
      </c>
      <c r="G50" s="26">
        <f t="shared" si="3"/>
        <v>0</v>
      </c>
    </row>
    <row r="51" spans="2:7">
      <c r="B51" s="22" t="s">
        <v>28</v>
      </c>
      <c r="C51" s="25">
        <v>1044332</v>
      </c>
      <c r="D51" s="25">
        <v>1044332</v>
      </c>
      <c r="E51" s="24">
        <f t="shared" si="2"/>
        <v>0</v>
      </c>
      <c r="F51" s="25">
        <v>1082</v>
      </c>
      <c r="G51" s="26">
        <f t="shared" si="3"/>
        <v>0</v>
      </c>
    </row>
    <row r="52" spans="2:7">
      <c r="B52" s="22" t="s">
        <v>29</v>
      </c>
      <c r="C52" s="25">
        <v>1012523</v>
      </c>
      <c r="D52" s="25">
        <v>1012567</v>
      </c>
      <c r="E52" s="24">
        <f t="shared" si="2"/>
        <v>44</v>
      </c>
      <c r="F52" s="25">
        <v>1082</v>
      </c>
      <c r="G52" s="26">
        <f t="shared" si="3"/>
        <v>47608</v>
      </c>
    </row>
    <row r="53" spans="2:7">
      <c r="B53" s="22" t="s">
        <v>30</v>
      </c>
      <c r="C53" s="25">
        <v>1155521</v>
      </c>
      <c r="D53" s="25">
        <v>1157743</v>
      </c>
      <c r="E53" s="24">
        <f t="shared" si="2"/>
        <v>2222</v>
      </c>
      <c r="F53" s="25">
        <v>1082</v>
      </c>
      <c r="G53" s="26">
        <f t="shared" si="3"/>
        <v>2404204</v>
      </c>
    </row>
    <row r="54" spans="2:7">
      <c r="B54" s="22"/>
      <c r="C54" s="25"/>
      <c r="D54" s="25"/>
      <c r="E54" s="24">
        <f t="shared" si="2"/>
        <v>0</v>
      </c>
      <c r="F54" s="25"/>
      <c r="G54" s="26">
        <f t="shared" si="3"/>
        <v>0</v>
      </c>
    </row>
    <row r="55" spans="2:7">
      <c r="B55" s="22" t="s">
        <v>23</v>
      </c>
      <c r="C55" s="25">
        <v>951114</v>
      </c>
      <c r="D55" s="25">
        <v>951806</v>
      </c>
      <c r="E55" s="24">
        <f t="shared" si="2"/>
        <v>692</v>
      </c>
      <c r="F55" s="25">
        <v>1240</v>
      </c>
      <c r="G55" s="26">
        <f t="shared" si="3"/>
        <v>858080</v>
      </c>
    </row>
    <row r="56" spans="2:7">
      <c r="B56" s="22" t="s">
        <v>24</v>
      </c>
      <c r="C56" s="25">
        <v>913374</v>
      </c>
      <c r="D56" s="25">
        <v>913553</v>
      </c>
      <c r="E56" s="24">
        <f t="shared" si="2"/>
        <v>179</v>
      </c>
      <c r="F56" s="25">
        <v>1240</v>
      </c>
      <c r="G56" s="26">
        <f t="shared" si="3"/>
        <v>221960</v>
      </c>
    </row>
    <row r="57" spans="2:7">
      <c r="B57" s="22" t="s">
        <v>25</v>
      </c>
      <c r="C57" s="25">
        <v>1374128</v>
      </c>
      <c r="D57" s="25">
        <v>1374786</v>
      </c>
      <c r="E57" s="24">
        <f t="shared" si="2"/>
        <v>658</v>
      </c>
      <c r="F57" s="25">
        <v>1240</v>
      </c>
      <c r="G57" s="26">
        <f t="shared" si="3"/>
        <v>815920</v>
      </c>
    </row>
    <row r="58" spans="2:7">
      <c r="B58" s="22" t="s">
        <v>26</v>
      </c>
      <c r="C58" s="25">
        <v>1151178</v>
      </c>
      <c r="D58" s="25">
        <v>1151178</v>
      </c>
      <c r="E58" s="24">
        <f t="shared" si="2"/>
        <v>0</v>
      </c>
      <c r="F58" s="25">
        <v>1240</v>
      </c>
      <c r="G58" s="26">
        <f t="shared" si="3"/>
        <v>0</v>
      </c>
    </row>
    <row r="59" spans="2:7">
      <c r="B59" s="22" t="s">
        <v>27</v>
      </c>
      <c r="C59" s="25">
        <v>1215271</v>
      </c>
      <c r="D59" s="25">
        <v>1215271</v>
      </c>
      <c r="E59" s="24">
        <f t="shared" si="2"/>
        <v>0</v>
      </c>
      <c r="F59" s="25">
        <v>1240</v>
      </c>
      <c r="G59" s="26">
        <f t="shared" si="3"/>
        <v>0</v>
      </c>
    </row>
    <row r="60" spans="2:7">
      <c r="B60" s="22" t="s">
        <v>28</v>
      </c>
      <c r="C60" s="25">
        <v>1044332</v>
      </c>
      <c r="D60" s="25">
        <v>1044332</v>
      </c>
      <c r="E60" s="24">
        <f t="shared" si="2"/>
        <v>0</v>
      </c>
      <c r="F60" s="25">
        <v>1240</v>
      </c>
      <c r="G60" s="26">
        <f t="shared" si="3"/>
        <v>0</v>
      </c>
    </row>
    <row r="61" spans="2:7">
      <c r="B61" s="22" t="s">
        <v>29</v>
      </c>
      <c r="C61" s="25">
        <v>1012567</v>
      </c>
      <c r="D61" s="25">
        <v>1012655</v>
      </c>
      <c r="E61" s="24">
        <f t="shared" si="2"/>
        <v>88</v>
      </c>
      <c r="F61" s="25">
        <v>1240</v>
      </c>
      <c r="G61" s="26">
        <f t="shared" si="3"/>
        <v>109120</v>
      </c>
    </row>
    <row r="62" spans="2:7">
      <c r="B62" s="22" t="s">
        <v>30</v>
      </c>
      <c r="C62" s="25">
        <v>1157743</v>
      </c>
      <c r="D62" s="25">
        <v>1158890</v>
      </c>
      <c r="E62" s="24">
        <f t="shared" si="2"/>
        <v>1147</v>
      </c>
      <c r="F62" s="25">
        <v>1240</v>
      </c>
      <c r="G62" s="26">
        <f t="shared" si="3"/>
        <v>1422280</v>
      </c>
    </row>
    <row r="63" spans="2:7">
      <c r="B63" s="22"/>
      <c r="C63" s="25"/>
      <c r="D63" s="25"/>
      <c r="E63" s="24">
        <f t="shared" si="2"/>
        <v>0</v>
      </c>
      <c r="F63" s="25"/>
      <c r="G63" s="26">
        <f t="shared" si="3"/>
        <v>0</v>
      </c>
    </row>
    <row r="64" spans="2:7">
      <c r="B64" s="22" t="s">
        <v>23</v>
      </c>
      <c r="C64" s="25">
        <v>951806</v>
      </c>
      <c r="D64" s="25">
        <v>953410</v>
      </c>
      <c r="E64" s="24">
        <f t="shared" si="2"/>
        <v>1604</v>
      </c>
      <c r="F64" s="25">
        <v>1300</v>
      </c>
      <c r="G64" s="26">
        <f t="shared" si="3"/>
        <v>2085200</v>
      </c>
    </row>
    <row r="65" spans="2:7">
      <c r="B65" s="22" t="s">
        <v>24</v>
      </c>
      <c r="C65" s="25">
        <v>913553</v>
      </c>
      <c r="D65" s="25">
        <v>913553</v>
      </c>
      <c r="E65" s="24">
        <f t="shared" si="2"/>
        <v>0</v>
      </c>
      <c r="F65" s="25">
        <v>1300</v>
      </c>
      <c r="G65" s="26">
        <f t="shared" si="3"/>
        <v>0</v>
      </c>
    </row>
    <row r="66" spans="2:7">
      <c r="B66" s="22" t="s">
        <v>25</v>
      </c>
      <c r="C66" s="25">
        <v>1374786</v>
      </c>
      <c r="D66" s="25">
        <v>1376667</v>
      </c>
      <c r="E66" s="24">
        <f t="shared" si="2"/>
        <v>1881</v>
      </c>
      <c r="F66" s="25">
        <v>1300</v>
      </c>
      <c r="G66" s="26">
        <f t="shared" si="3"/>
        <v>2445300</v>
      </c>
    </row>
    <row r="67" spans="2:7">
      <c r="B67" s="22" t="s">
        <v>26</v>
      </c>
      <c r="C67" s="25">
        <v>1151178</v>
      </c>
      <c r="D67" s="25">
        <v>1151178</v>
      </c>
      <c r="E67" s="24">
        <f t="shared" si="2"/>
        <v>0</v>
      </c>
      <c r="F67" s="25">
        <v>1300</v>
      </c>
      <c r="G67" s="26">
        <f t="shared" si="3"/>
        <v>0</v>
      </c>
    </row>
    <row r="68" spans="2:7">
      <c r="B68" s="22" t="s">
        <v>27</v>
      </c>
      <c r="C68" s="25">
        <v>1215271</v>
      </c>
      <c r="D68" s="25">
        <v>1215271</v>
      </c>
      <c r="E68" s="24">
        <f t="shared" si="2"/>
        <v>0</v>
      </c>
      <c r="F68" s="25">
        <v>1300</v>
      </c>
      <c r="G68" s="26">
        <f t="shared" si="3"/>
        <v>0</v>
      </c>
    </row>
    <row r="69" spans="2:7">
      <c r="B69" s="22" t="s">
        <v>28</v>
      </c>
      <c r="C69" s="25">
        <v>1044332</v>
      </c>
      <c r="D69" s="25">
        <v>1044332</v>
      </c>
      <c r="E69" s="24">
        <f t="shared" si="2"/>
        <v>0</v>
      </c>
      <c r="F69" s="25">
        <v>1300</v>
      </c>
      <c r="G69" s="26">
        <f t="shared" si="3"/>
        <v>0</v>
      </c>
    </row>
    <row r="70" spans="2:7">
      <c r="B70" s="22" t="s">
        <v>29</v>
      </c>
      <c r="C70" s="25">
        <v>1012655</v>
      </c>
      <c r="D70" s="25">
        <v>1012655</v>
      </c>
      <c r="E70" s="24">
        <f t="shared" si="2"/>
        <v>0</v>
      </c>
      <c r="F70" s="25">
        <v>1300</v>
      </c>
      <c r="G70" s="26">
        <f t="shared" si="3"/>
        <v>0</v>
      </c>
    </row>
    <row r="71" spans="2:7">
      <c r="B71" s="22" t="s">
        <v>30</v>
      </c>
      <c r="C71" s="25">
        <v>1158890</v>
      </c>
      <c r="D71" s="25">
        <v>1160469</v>
      </c>
      <c r="E71" s="24">
        <f t="shared" si="2"/>
        <v>1579</v>
      </c>
      <c r="F71" s="25">
        <v>1300</v>
      </c>
      <c r="G71" s="26">
        <f t="shared" si="3"/>
        <v>2052700</v>
      </c>
    </row>
    <row r="72" spans="2:7">
      <c r="B72" s="22"/>
      <c r="C72" s="25"/>
      <c r="D72" s="25"/>
      <c r="E72" s="24">
        <f t="shared" si="2"/>
        <v>0</v>
      </c>
      <c r="F72" s="25"/>
      <c r="G72" s="26">
        <f t="shared" si="3"/>
        <v>0</v>
      </c>
    </row>
    <row r="73" spans="2:7">
      <c r="B73" s="22" t="s">
        <v>23</v>
      </c>
      <c r="C73" s="25">
        <v>953410</v>
      </c>
      <c r="D73" s="25">
        <v>957344</v>
      </c>
      <c r="E73" s="24">
        <f t="shared" si="2"/>
        <v>3934</v>
      </c>
      <c r="F73" s="25">
        <v>1200</v>
      </c>
      <c r="G73" s="26">
        <f t="shared" si="3"/>
        <v>4720800</v>
      </c>
    </row>
    <row r="74" spans="2:7">
      <c r="B74" s="22" t="s">
        <v>24</v>
      </c>
      <c r="C74" s="25">
        <v>913553</v>
      </c>
      <c r="D74" s="25">
        <v>913553</v>
      </c>
      <c r="E74" s="24">
        <f t="shared" ref="E74:E105" si="4">D74-C74</f>
        <v>0</v>
      </c>
      <c r="F74" s="25">
        <v>1200</v>
      </c>
      <c r="G74" s="26">
        <f t="shared" ref="G74:G105" si="5">E74*F74</f>
        <v>0</v>
      </c>
    </row>
    <row r="75" spans="2:7">
      <c r="B75" s="22" t="s">
        <v>25</v>
      </c>
      <c r="C75" s="25">
        <v>1376667</v>
      </c>
      <c r="D75" s="25">
        <v>1380042</v>
      </c>
      <c r="E75" s="24">
        <f t="shared" si="4"/>
        <v>3375</v>
      </c>
      <c r="F75" s="25">
        <v>1200</v>
      </c>
      <c r="G75" s="26">
        <f t="shared" si="5"/>
        <v>4050000</v>
      </c>
    </row>
    <row r="76" spans="2:7">
      <c r="B76" s="22" t="s">
        <v>26</v>
      </c>
      <c r="C76" s="25">
        <v>1151178</v>
      </c>
      <c r="D76" s="25">
        <v>1151655</v>
      </c>
      <c r="E76" s="24">
        <f t="shared" si="4"/>
        <v>477</v>
      </c>
      <c r="F76" s="25">
        <v>1200</v>
      </c>
      <c r="G76" s="26">
        <f t="shared" si="5"/>
        <v>572400</v>
      </c>
    </row>
    <row r="77" spans="2:7">
      <c r="B77" s="22" t="s">
        <v>27</v>
      </c>
      <c r="C77" s="25">
        <v>1215271</v>
      </c>
      <c r="D77" s="25">
        <v>1215271</v>
      </c>
      <c r="E77" s="24">
        <f t="shared" si="4"/>
        <v>0</v>
      </c>
      <c r="F77" s="25">
        <v>1200</v>
      </c>
      <c r="G77" s="26">
        <f t="shared" si="5"/>
        <v>0</v>
      </c>
    </row>
    <row r="78" spans="2:7">
      <c r="B78" s="22" t="s">
        <v>28</v>
      </c>
      <c r="C78" s="25">
        <v>1044332</v>
      </c>
      <c r="D78" s="25">
        <v>1044332</v>
      </c>
      <c r="E78" s="24">
        <f t="shared" si="4"/>
        <v>0</v>
      </c>
      <c r="F78" s="25">
        <v>1200</v>
      </c>
      <c r="G78" s="26">
        <f t="shared" si="5"/>
        <v>0</v>
      </c>
    </row>
    <row r="79" spans="2:7">
      <c r="B79" s="22" t="s">
        <v>29</v>
      </c>
      <c r="C79" s="25">
        <v>1012655</v>
      </c>
      <c r="D79" s="25">
        <v>1012655</v>
      </c>
      <c r="E79" s="24">
        <f t="shared" si="4"/>
        <v>0</v>
      </c>
      <c r="F79" s="25">
        <v>1200</v>
      </c>
      <c r="G79" s="26">
        <f t="shared" si="5"/>
        <v>0</v>
      </c>
    </row>
    <row r="80" spans="2:7">
      <c r="B80" s="22" t="s">
        <v>30</v>
      </c>
      <c r="C80" s="25">
        <v>1160469</v>
      </c>
      <c r="D80" s="25">
        <v>1164809</v>
      </c>
      <c r="E80" s="24">
        <f t="shared" si="4"/>
        <v>4340</v>
      </c>
      <c r="F80" s="25">
        <v>1200</v>
      </c>
      <c r="G80" s="26">
        <f t="shared" si="5"/>
        <v>5208000</v>
      </c>
    </row>
    <row r="81" spans="2:7">
      <c r="B81" s="22"/>
      <c r="C81" s="25"/>
      <c r="D81" s="25"/>
      <c r="E81" s="24">
        <f t="shared" si="4"/>
        <v>0</v>
      </c>
      <c r="F81" s="25"/>
      <c r="G81" s="26">
        <f t="shared" si="5"/>
        <v>0</v>
      </c>
    </row>
    <row r="82" spans="2:7">
      <c r="B82" s="22" t="s">
        <v>23</v>
      </c>
      <c r="C82" s="25">
        <v>957344</v>
      </c>
      <c r="D82" s="25">
        <v>960398</v>
      </c>
      <c r="E82" s="24">
        <f t="shared" si="4"/>
        <v>3054</v>
      </c>
      <c r="F82" s="25">
        <v>1300</v>
      </c>
      <c r="G82" s="26">
        <f t="shared" si="5"/>
        <v>3970200</v>
      </c>
    </row>
    <row r="83" spans="2:7">
      <c r="B83" s="22" t="s">
        <v>24</v>
      </c>
      <c r="C83" s="25">
        <v>913553</v>
      </c>
      <c r="D83" s="25">
        <v>914073</v>
      </c>
      <c r="E83" s="24">
        <f t="shared" si="4"/>
        <v>520</v>
      </c>
      <c r="F83" s="25">
        <v>1300</v>
      </c>
      <c r="G83" s="26">
        <f t="shared" si="5"/>
        <v>676000</v>
      </c>
    </row>
    <row r="84" spans="2:7">
      <c r="B84" s="22" t="s">
        <v>25</v>
      </c>
      <c r="C84" s="25">
        <v>1380042</v>
      </c>
      <c r="D84" s="25">
        <v>1382321</v>
      </c>
      <c r="E84" s="24">
        <f t="shared" si="4"/>
        <v>2279</v>
      </c>
      <c r="F84" s="25">
        <v>1300</v>
      </c>
      <c r="G84" s="26">
        <f t="shared" si="5"/>
        <v>2962700</v>
      </c>
    </row>
    <row r="85" spans="2:7">
      <c r="B85" s="22" t="s">
        <v>26</v>
      </c>
      <c r="C85" s="25">
        <v>1151655</v>
      </c>
      <c r="D85" s="25">
        <v>1152527</v>
      </c>
      <c r="E85" s="24">
        <f t="shared" si="4"/>
        <v>872</v>
      </c>
      <c r="F85" s="25">
        <v>1300</v>
      </c>
      <c r="G85" s="26">
        <f t="shared" si="5"/>
        <v>1133600</v>
      </c>
    </row>
    <row r="86" spans="2:7">
      <c r="B86" s="22" t="s">
        <v>27</v>
      </c>
      <c r="C86" s="25">
        <v>1215271</v>
      </c>
      <c r="D86" s="25">
        <v>1215271</v>
      </c>
      <c r="E86" s="24">
        <f>D85-C85</f>
        <v>872</v>
      </c>
      <c r="F86" s="25">
        <v>1300</v>
      </c>
      <c r="G86" s="26">
        <f>E85*F85</f>
        <v>1133600</v>
      </c>
    </row>
    <row r="87" spans="2:7">
      <c r="B87" s="22" t="s">
        <v>28</v>
      </c>
      <c r="C87" s="25">
        <v>1044332</v>
      </c>
      <c r="D87" s="25">
        <v>1044332</v>
      </c>
      <c r="E87" s="24">
        <f>D85-C85</f>
        <v>872</v>
      </c>
      <c r="F87" s="25">
        <v>1300</v>
      </c>
      <c r="G87" s="26">
        <f>E85*F85</f>
        <v>1133600</v>
      </c>
    </row>
    <row r="88" spans="2:7">
      <c r="B88" s="22" t="s">
        <v>29</v>
      </c>
      <c r="C88" s="25">
        <v>1012655</v>
      </c>
      <c r="D88" s="25">
        <v>1012690</v>
      </c>
      <c r="E88" s="24">
        <f>D85-C85</f>
        <v>872</v>
      </c>
      <c r="F88" s="25">
        <v>1300</v>
      </c>
      <c r="G88" s="26">
        <f>E85*F85</f>
        <v>1133600</v>
      </c>
    </row>
    <row r="89" spans="2:7">
      <c r="B89" s="22" t="s">
        <v>30</v>
      </c>
      <c r="C89" s="25">
        <v>1164809</v>
      </c>
      <c r="D89" s="25">
        <v>1168342</v>
      </c>
      <c r="E89" s="24">
        <f>D85-C85</f>
        <v>872</v>
      </c>
      <c r="F89" s="25">
        <v>1300</v>
      </c>
      <c r="G89" s="26">
        <f>E85*F85</f>
        <v>1133600</v>
      </c>
    </row>
    <row r="90" spans="2:7">
      <c r="B90" s="22"/>
      <c r="C90" s="25"/>
      <c r="D90" s="25"/>
      <c r="E90" s="24">
        <f>D85-C85</f>
        <v>872</v>
      </c>
      <c r="F90" s="25"/>
      <c r="G90" s="26">
        <f>E85*F85</f>
        <v>1133600</v>
      </c>
    </row>
    <row r="91" spans="2:7">
      <c r="B91" s="22"/>
      <c r="C91" s="25"/>
      <c r="D91" s="25"/>
      <c r="E91" s="24">
        <f>D85-C85</f>
        <v>872</v>
      </c>
      <c r="F91" s="25"/>
      <c r="G91" s="26">
        <f>E85*F85</f>
        <v>1133600</v>
      </c>
    </row>
    <row r="92" spans="2:7">
      <c r="B92" s="22"/>
      <c r="C92" s="25"/>
      <c r="D92" s="25"/>
      <c r="E92" s="24">
        <f>D85-C85</f>
        <v>872</v>
      </c>
      <c r="F92" s="25"/>
      <c r="G92" s="26">
        <f>E85*F85</f>
        <v>1133600</v>
      </c>
    </row>
    <row r="93" spans="2:7">
      <c r="B93" s="22"/>
      <c r="C93" s="25"/>
      <c r="D93" s="25"/>
      <c r="E93" s="24">
        <f>D85-C85</f>
        <v>872</v>
      </c>
      <c r="F93" s="25"/>
      <c r="G93" s="26">
        <f>E85*F85</f>
        <v>1133600</v>
      </c>
    </row>
    <row r="94" spans="2:7">
      <c r="B94" s="22"/>
      <c r="C94" s="25"/>
      <c r="D94" s="25"/>
      <c r="E94" s="24">
        <f>D85-C85</f>
        <v>872</v>
      </c>
      <c r="F94" s="25"/>
      <c r="G94" s="26">
        <f>E85*F85</f>
        <v>1133600</v>
      </c>
    </row>
    <row r="95" spans="2:7">
      <c r="B95" s="22"/>
      <c r="C95" s="25"/>
      <c r="D95" s="25"/>
      <c r="E95" s="24">
        <f>D85-C85</f>
        <v>872</v>
      </c>
      <c r="F95" s="25"/>
      <c r="G95" s="26">
        <f>E85*F85</f>
        <v>1133600</v>
      </c>
    </row>
    <row r="96" spans="2:7">
      <c r="B96" s="22"/>
      <c r="C96" s="25"/>
      <c r="D96" s="25"/>
      <c r="E96" s="24">
        <f>D85-C85</f>
        <v>872</v>
      </c>
      <c r="F96" s="25"/>
      <c r="G96" s="26">
        <f>E85*F85</f>
        <v>1133600</v>
      </c>
    </row>
    <row r="97" spans="2:7">
      <c r="B97" s="22"/>
      <c r="C97" s="25"/>
      <c r="D97" s="25"/>
      <c r="E97" s="24">
        <f>D85-C85</f>
        <v>872</v>
      </c>
      <c r="F97" s="25"/>
      <c r="G97" s="26">
        <f>E85*F85</f>
        <v>1133600</v>
      </c>
    </row>
    <row r="98" spans="2:7">
      <c r="B98" s="22"/>
      <c r="C98" s="25"/>
      <c r="D98" s="25"/>
      <c r="E98" s="24">
        <f>D85-C85</f>
        <v>872</v>
      </c>
      <c r="F98" s="25"/>
      <c r="G98" s="26">
        <f>E85*F85</f>
        <v>1133600</v>
      </c>
    </row>
    <row r="99" spans="2:7">
      <c r="B99" s="22"/>
      <c r="C99" s="25"/>
      <c r="D99" s="25"/>
      <c r="E99" s="24">
        <f>D85-C85</f>
        <v>872</v>
      </c>
      <c r="F99" s="25"/>
      <c r="G99" s="26">
        <f>E85*F85</f>
        <v>1133600</v>
      </c>
    </row>
    <row r="100" spans="2:7">
      <c r="B100" s="22"/>
      <c r="C100" s="25"/>
      <c r="D100" s="25"/>
      <c r="E100" s="24">
        <f>D85-C85</f>
        <v>872</v>
      </c>
      <c r="F100" s="25"/>
      <c r="G100" s="26">
        <f>E85*F85</f>
        <v>1133600</v>
      </c>
    </row>
    <row r="101" spans="2:7">
      <c r="B101" s="22"/>
      <c r="C101" s="25"/>
      <c r="D101" s="25"/>
      <c r="E101" s="24">
        <f>D85-C85</f>
        <v>872</v>
      </c>
      <c r="F101" s="25"/>
      <c r="G101" s="26">
        <f>E85*F85</f>
        <v>1133600</v>
      </c>
    </row>
    <row r="102" spans="2:7">
      <c r="B102" s="22"/>
      <c r="C102" s="25"/>
      <c r="D102" s="25"/>
      <c r="E102" s="24">
        <f>D85-C85</f>
        <v>872</v>
      </c>
      <c r="F102" s="25"/>
      <c r="G102" s="26">
        <f>E85*F85</f>
        <v>1133600</v>
      </c>
    </row>
    <row r="103" spans="2:7">
      <c r="B103" s="22"/>
      <c r="C103" s="25"/>
      <c r="D103" s="25"/>
      <c r="E103" s="24">
        <f>D85-C85</f>
        <v>872</v>
      </c>
      <c r="F103" s="25"/>
      <c r="G103" s="26">
        <f>E85*F85</f>
        <v>1133600</v>
      </c>
    </row>
    <row r="104" spans="2:7">
      <c r="B104" s="22"/>
      <c r="C104" s="25"/>
      <c r="D104" s="25"/>
      <c r="E104" s="24">
        <f>D85-C85</f>
        <v>872</v>
      </c>
      <c r="F104" s="25"/>
      <c r="G104" s="26">
        <f>E85*F85</f>
        <v>1133600</v>
      </c>
    </row>
    <row r="105" spans="2:7">
      <c r="B105" s="22"/>
      <c r="C105" s="25"/>
      <c r="D105" s="25"/>
      <c r="E105" s="24">
        <f>D85-C85</f>
        <v>872</v>
      </c>
      <c r="F105" s="25"/>
      <c r="G105" s="26">
        <f>E85*F85</f>
        <v>1133600</v>
      </c>
    </row>
    <row r="106" spans="2:7">
      <c r="B106" s="22"/>
      <c r="C106" s="25"/>
      <c r="D106" s="25"/>
      <c r="E106" s="24">
        <f>D85-C85</f>
        <v>872</v>
      </c>
      <c r="F106" s="25"/>
      <c r="G106" s="26">
        <f>E85*F85</f>
        <v>1133600</v>
      </c>
    </row>
    <row r="107" spans="2:7">
      <c r="B107" s="22"/>
      <c r="C107" s="25"/>
      <c r="D107" s="25"/>
      <c r="E107" s="24">
        <f>D85-C85</f>
        <v>872</v>
      </c>
      <c r="F107" s="25"/>
      <c r="G107" s="26">
        <f>E85*F85</f>
        <v>1133600</v>
      </c>
    </row>
    <row r="108" spans="2:7">
      <c r="B108" s="22"/>
      <c r="C108" s="25"/>
      <c r="D108" s="25"/>
      <c r="E108" s="24">
        <f>D85-C85</f>
        <v>872</v>
      </c>
      <c r="F108" s="25"/>
      <c r="G108" s="26">
        <f>E85*F85</f>
        <v>1133600</v>
      </c>
    </row>
    <row r="109" spans="2:7">
      <c r="B109" s="22"/>
      <c r="C109" s="25"/>
      <c r="D109" s="25"/>
      <c r="E109" s="24">
        <f>D85-C85</f>
        <v>872</v>
      </c>
      <c r="F109" s="25"/>
      <c r="G109" s="26">
        <f>E85*F85</f>
        <v>1133600</v>
      </c>
    </row>
    <row r="110" spans="2:7">
      <c r="B110" s="22"/>
      <c r="C110" s="25"/>
      <c r="D110" s="25"/>
      <c r="E110" s="24">
        <f>D85-C85</f>
        <v>872</v>
      </c>
      <c r="F110" s="25"/>
      <c r="G110" s="26">
        <f>E85*F85</f>
        <v>1133600</v>
      </c>
    </row>
    <row r="111" spans="2:7">
      <c r="B111" s="22"/>
      <c r="C111" s="25"/>
      <c r="D111" s="25"/>
      <c r="E111" s="24">
        <f>D85-C85</f>
        <v>872</v>
      </c>
      <c r="F111" s="25"/>
      <c r="G111" s="26">
        <f>E85*F85</f>
        <v>1133600</v>
      </c>
    </row>
    <row r="112" spans="2:7">
      <c r="B112" s="22"/>
      <c r="C112" s="25"/>
      <c r="D112" s="25"/>
      <c r="E112" s="24">
        <f>D85-C85</f>
        <v>872</v>
      </c>
      <c r="F112" s="25"/>
      <c r="G112" s="26">
        <f>E85*F85</f>
        <v>1133600</v>
      </c>
    </row>
    <row r="113" spans="2:7">
      <c r="B113" s="22"/>
      <c r="C113" s="25"/>
      <c r="D113" s="25"/>
      <c r="E113" s="24">
        <f>D85-C85</f>
        <v>872</v>
      </c>
      <c r="F113" s="25"/>
      <c r="G113" s="26">
        <f>E85*F85</f>
        <v>1133600</v>
      </c>
    </row>
    <row r="114" spans="2:7">
      <c r="B114" s="22"/>
      <c r="C114" s="25"/>
      <c r="D114" s="25"/>
      <c r="E114" s="24">
        <f>D85-C85</f>
        <v>872</v>
      </c>
      <c r="F114" s="25"/>
      <c r="G114" s="26">
        <f>E85*F85</f>
        <v>1133600</v>
      </c>
    </row>
    <row r="115" spans="2:7">
      <c r="B115" s="22"/>
      <c r="C115" s="25"/>
      <c r="D115" s="25"/>
      <c r="E115" s="24">
        <f>D85-C85</f>
        <v>872</v>
      </c>
      <c r="F115" s="25"/>
      <c r="G115" s="26">
        <f>E85*F85</f>
        <v>1133600</v>
      </c>
    </row>
    <row r="116" spans="2:7">
      <c r="B116" s="22"/>
      <c r="C116" s="25"/>
      <c r="D116" s="25"/>
      <c r="E116" s="24">
        <f>D85-C85</f>
        <v>872</v>
      </c>
      <c r="F116" s="25"/>
      <c r="G116" s="26">
        <f>E85*F85</f>
        <v>1133600</v>
      </c>
    </row>
    <row r="117" spans="2:7">
      <c r="B117" s="22"/>
      <c r="C117" s="25"/>
      <c r="D117" s="25"/>
      <c r="E117" s="24">
        <f>D85-C85</f>
        <v>872</v>
      </c>
      <c r="F117" s="25"/>
      <c r="G117" s="26">
        <f>E85*F85</f>
        <v>1133600</v>
      </c>
    </row>
    <row r="118" spans="2:7">
      <c r="B118" s="22"/>
      <c r="C118" s="25"/>
      <c r="D118" s="25"/>
      <c r="E118" s="24">
        <f>D85-C85</f>
        <v>872</v>
      </c>
      <c r="F118" s="25"/>
      <c r="G118" s="26">
        <f>E85*F85</f>
        <v>1133600</v>
      </c>
    </row>
    <row r="119" spans="2:7">
      <c r="B119" s="22"/>
      <c r="C119" s="25"/>
      <c r="D119" s="25"/>
      <c r="E119" s="24">
        <f>D85-C85</f>
        <v>872</v>
      </c>
      <c r="F119" s="25"/>
      <c r="G119" s="26">
        <f>E85*F85</f>
        <v>1133600</v>
      </c>
    </row>
    <row r="120" spans="2:7">
      <c r="B120" s="22"/>
      <c r="C120" s="25"/>
      <c r="D120" s="25"/>
      <c r="E120" s="24">
        <f>D85-C85</f>
        <v>872</v>
      </c>
      <c r="F120" s="25"/>
      <c r="G120" s="26">
        <f>E85*F85</f>
        <v>1133600</v>
      </c>
    </row>
    <row r="121" spans="2:7">
      <c r="B121" s="22"/>
      <c r="C121" s="25"/>
      <c r="D121" s="25"/>
      <c r="E121" s="24">
        <f>D85-C85</f>
        <v>872</v>
      </c>
      <c r="F121" s="25"/>
      <c r="G121" s="26">
        <f>E85*F85</f>
        <v>1133600</v>
      </c>
    </row>
    <row r="122" spans="2:7">
      <c r="B122" s="22"/>
      <c r="C122" s="25"/>
      <c r="D122" s="25"/>
      <c r="E122" s="24">
        <f>D85-C85</f>
        <v>872</v>
      </c>
      <c r="F122" s="25"/>
      <c r="G122" s="26">
        <f>E85*F85</f>
        <v>1133600</v>
      </c>
    </row>
    <row r="123" spans="2:7">
      <c r="B123" s="22"/>
      <c r="C123" s="25"/>
      <c r="D123" s="25"/>
      <c r="E123" s="24">
        <f>D85-C85</f>
        <v>872</v>
      </c>
      <c r="F123" s="25"/>
      <c r="G123" s="26">
        <f>E85*F85</f>
        <v>1133600</v>
      </c>
    </row>
    <row r="124" spans="2:7">
      <c r="B124" s="22"/>
      <c r="C124" s="25"/>
      <c r="D124" s="25"/>
      <c r="E124" s="24">
        <f>D85-C85</f>
        <v>872</v>
      </c>
      <c r="F124" s="25"/>
      <c r="G124" s="26">
        <f>E85*F85</f>
        <v>1133600</v>
      </c>
    </row>
    <row r="125" spans="2:7">
      <c r="B125" s="22"/>
      <c r="C125" s="25"/>
      <c r="D125" s="25"/>
      <c r="E125" s="24">
        <f>D85-C85</f>
        <v>872</v>
      </c>
      <c r="F125" s="25"/>
      <c r="G125" s="26">
        <f>E85*F85</f>
        <v>1133600</v>
      </c>
    </row>
    <row r="126" spans="2:7">
      <c r="B126" s="22"/>
      <c r="C126" s="25"/>
      <c r="D126" s="25"/>
      <c r="E126" s="24">
        <f>D85-C85</f>
        <v>872</v>
      </c>
      <c r="F126" s="25"/>
      <c r="G126" s="26">
        <f>E85*F85</f>
        <v>1133600</v>
      </c>
    </row>
    <row r="127" spans="2:7">
      <c r="B127" s="22"/>
      <c r="C127" s="25"/>
      <c r="D127" s="25"/>
      <c r="E127" s="24">
        <f>D85-C85</f>
        <v>872</v>
      </c>
      <c r="F127" s="25"/>
      <c r="G127" s="26">
        <f>E85*F85</f>
        <v>1133600</v>
      </c>
    </row>
    <row r="128" spans="2:7">
      <c r="B128" s="22"/>
      <c r="C128" s="25"/>
      <c r="D128" s="25"/>
      <c r="E128" s="24">
        <f>D85-C85</f>
        <v>872</v>
      </c>
      <c r="F128" s="25"/>
      <c r="G128" s="26">
        <f>E85*F85</f>
        <v>1133600</v>
      </c>
    </row>
    <row r="129" spans="2:7">
      <c r="B129" s="22"/>
      <c r="C129" s="25"/>
      <c r="D129" s="25"/>
      <c r="E129" s="24">
        <f>D85-C85</f>
        <v>872</v>
      </c>
      <c r="F129" s="25"/>
      <c r="G129" s="26">
        <f>E85*F85</f>
        <v>1133600</v>
      </c>
    </row>
    <row r="130" spans="2:7">
      <c r="B130" s="22"/>
      <c r="C130" s="25"/>
      <c r="D130" s="25"/>
      <c r="E130" s="24">
        <f>D85-C85</f>
        <v>872</v>
      </c>
      <c r="F130" s="25"/>
      <c r="G130" s="26">
        <f>E85*F85</f>
        <v>1133600</v>
      </c>
    </row>
    <row r="131" spans="2:7">
      <c r="B131" s="22"/>
      <c r="C131" s="25"/>
      <c r="D131" s="25"/>
      <c r="E131" s="24">
        <f>D85-C85</f>
        <v>872</v>
      </c>
      <c r="F131" s="25"/>
      <c r="G131" s="26">
        <f>E85*F85</f>
        <v>1133600</v>
      </c>
    </row>
    <row r="132" spans="2:7">
      <c r="B132" s="22"/>
      <c r="C132" s="25"/>
      <c r="D132" s="25"/>
      <c r="E132" s="24">
        <f>D85-C85</f>
        <v>872</v>
      </c>
      <c r="F132" s="25"/>
      <c r="G132" s="26">
        <f>E85*F85</f>
        <v>1133600</v>
      </c>
    </row>
    <row r="133" spans="2:7">
      <c r="B133" s="22"/>
      <c r="C133" s="25"/>
      <c r="D133" s="25"/>
      <c r="E133" s="24">
        <f>D85-C85</f>
        <v>872</v>
      </c>
      <c r="F133" s="25"/>
      <c r="G133" s="26">
        <f>E85*F85</f>
        <v>1133600</v>
      </c>
    </row>
    <row r="134" spans="2:7">
      <c r="B134" s="22"/>
      <c r="C134" s="25"/>
      <c r="D134" s="25"/>
      <c r="E134" s="24">
        <f>D85-C85</f>
        <v>872</v>
      </c>
      <c r="F134" s="25"/>
      <c r="G134" s="26">
        <f>E85*F85</f>
        <v>1133600</v>
      </c>
    </row>
    <row r="135" spans="2:7">
      <c r="B135" s="22"/>
      <c r="C135" s="25"/>
      <c r="D135" s="25"/>
      <c r="E135" s="24">
        <f>D85-C85</f>
        <v>872</v>
      </c>
      <c r="F135" s="25"/>
      <c r="G135" s="26">
        <f>E85*F85</f>
        <v>1133600</v>
      </c>
    </row>
    <row r="136" spans="2:7">
      <c r="B136" s="22"/>
      <c r="C136" s="25"/>
      <c r="D136" s="25"/>
      <c r="E136" s="24">
        <f>D85-C85</f>
        <v>872</v>
      </c>
      <c r="F136" s="25"/>
      <c r="G136" s="26">
        <f>E85*F85</f>
        <v>1133600</v>
      </c>
    </row>
    <row r="137" spans="2:7">
      <c r="B137" s="22"/>
      <c r="C137" s="25"/>
      <c r="D137" s="25"/>
      <c r="E137" s="24">
        <f>D85-C85</f>
        <v>872</v>
      </c>
      <c r="F137" s="25"/>
      <c r="G137" s="26">
        <f>E85*F85</f>
        <v>1133600</v>
      </c>
    </row>
    <row r="138" spans="2:7">
      <c r="B138" s="22"/>
      <c r="C138" s="25"/>
      <c r="D138" s="25"/>
      <c r="E138" s="24">
        <f>D85-C85</f>
        <v>872</v>
      </c>
      <c r="F138" s="25"/>
      <c r="G138" s="26">
        <f>E85*F85</f>
        <v>1133600</v>
      </c>
    </row>
    <row r="139" spans="2:7">
      <c r="B139" s="22"/>
      <c r="C139" s="25"/>
      <c r="D139" s="25"/>
      <c r="E139" s="24">
        <f>D85-C85</f>
        <v>872</v>
      </c>
      <c r="F139" s="25"/>
      <c r="G139" s="26">
        <f>E85*F85</f>
        <v>1133600</v>
      </c>
    </row>
    <row r="140" spans="2:7">
      <c r="B140" s="22"/>
      <c r="C140" s="25"/>
      <c r="D140" s="25"/>
      <c r="E140" s="24">
        <f>D85-C85</f>
        <v>872</v>
      </c>
      <c r="F140" s="25"/>
      <c r="G140" s="26">
        <f>E85*F85</f>
        <v>1133600</v>
      </c>
    </row>
    <row r="141" spans="2:7">
      <c r="B141" s="22"/>
      <c r="C141" s="25"/>
      <c r="D141" s="25"/>
      <c r="E141" s="24">
        <f>D85-C85</f>
        <v>872</v>
      </c>
      <c r="F141" s="25"/>
      <c r="G141" s="26">
        <f>E85*F85</f>
        <v>1133600</v>
      </c>
    </row>
    <row r="142" spans="2:7">
      <c r="B142" s="22"/>
      <c r="C142" s="25"/>
      <c r="D142" s="25"/>
      <c r="E142" s="24">
        <f>D85-C85</f>
        <v>872</v>
      </c>
      <c r="F142" s="25"/>
      <c r="G142" s="26">
        <f>E85*F85</f>
        <v>1133600</v>
      </c>
    </row>
    <row r="143" spans="2:7">
      <c r="B143" s="22"/>
      <c r="C143" s="25"/>
      <c r="D143" s="25"/>
      <c r="E143" s="24">
        <f>D85-C85</f>
        <v>872</v>
      </c>
      <c r="F143" s="25"/>
      <c r="G143" s="26">
        <f>E85*F85</f>
        <v>1133600</v>
      </c>
    </row>
    <row r="144" spans="2:7">
      <c r="B144" s="22"/>
      <c r="C144" s="25"/>
      <c r="D144" s="25"/>
      <c r="E144" s="24">
        <f>D85-C85</f>
        <v>872</v>
      </c>
      <c r="F144" s="25"/>
      <c r="G144" s="26">
        <f>E85*F85</f>
        <v>1133600</v>
      </c>
    </row>
    <row r="145" spans="2:7">
      <c r="B145" s="22"/>
      <c r="C145" s="25"/>
      <c r="D145" s="25"/>
      <c r="E145" s="24">
        <f>D85-C85</f>
        <v>872</v>
      </c>
      <c r="F145" s="25"/>
      <c r="G145" s="26">
        <f>E85*F85</f>
        <v>1133600</v>
      </c>
    </row>
    <row r="146" spans="2:7">
      <c r="B146" s="22"/>
      <c r="C146" s="25"/>
      <c r="D146" s="25"/>
      <c r="E146" s="24">
        <f>D85-C85</f>
        <v>872</v>
      </c>
      <c r="F146" s="25"/>
      <c r="G146" s="26">
        <f>E85*F85</f>
        <v>1133600</v>
      </c>
    </row>
    <row r="147" spans="2:7">
      <c r="B147" s="22"/>
      <c r="C147" s="25"/>
      <c r="D147" s="25"/>
      <c r="E147" s="24">
        <f>D85-C85</f>
        <v>872</v>
      </c>
      <c r="F147" s="25"/>
      <c r="G147" s="26">
        <f>E85*F85</f>
        <v>1133600</v>
      </c>
    </row>
    <row r="148" spans="2:7">
      <c r="B148" s="22"/>
      <c r="C148" s="25"/>
      <c r="D148" s="25"/>
      <c r="E148" s="24">
        <f>D85-C85</f>
        <v>872</v>
      </c>
      <c r="F148" s="25"/>
      <c r="G148" s="26">
        <f>E85*F85</f>
        <v>1133600</v>
      </c>
    </row>
    <row r="149" spans="2:7">
      <c r="B149" s="22"/>
      <c r="C149" s="25"/>
      <c r="D149" s="25"/>
      <c r="E149" s="24">
        <f>D85-C85</f>
        <v>872</v>
      </c>
      <c r="F149" s="25"/>
      <c r="G149" s="26">
        <f>E85*F85</f>
        <v>1133600</v>
      </c>
    </row>
    <row r="150" spans="2:7">
      <c r="B150" s="22"/>
      <c r="C150" s="25"/>
      <c r="D150" s="25"/>
      <c r="E150" s="24">
        <f>D85-C85</f>
        <v>872</v>
      </c>
      <c r="F150" s="25"/>
      <c r="G150" s="26">
        <f>E85*F85</f>
        <v>1133600</v>
      </c>
    </row>
    <row r="151" spans="2:7">
      <c r="B151" s="22"/>
      <c r="C151" s="25"/>
      <c r="D151" s="25"/>
      <c r="E151" s="24">
        <f>D85-C85</f>
        <v>872</v>
      </c>
      <c r="F151" s="25"/>
      <c r="G151" s="26">
        <f>E85*F85</f>
        <v>1133600</v>
      </c>
    </row>
    <row r="152" spans="2:7">
      <c r="B152" s="22"/>
      <c r="C152" s="25"/>
      <c r="D152" s="25"/>
      <c r="E152" s="24">
        <f>D85-C85</f>
        <v>872</v>
      </c>
      <c r="F152" s="25"/>
      <c r="G152" s="26">
        <f>E85*F85</f>
        <v>1133600</v>
      </c>
    </row>
    <row r="153" spans="2:7">
      <c r="B153" s="22"/>
      <c r="C153" s="25"/>
      <c r="D153" s="25"/>
      <c r="E153" s="24">
        <f>D85-C85</f>
        <v>872</v>
      </c>
      <c r="F153" s="25"/>
      <c r="G153" s="26">
        <f>E85*F85</f>
        <v>1133600</v>
      </c>
    </row>
    <row r="154" spans="2:7">
      <c r="B154" s="22"/>
      <c r="C154" s="25"/>
      <c r="D154" s="25"/>
      <c r="E154" s="24">
        <f>D85-C85</f>
        <v>872</v>
      </c>
      <c r="F154" s="25"/>
      <c r="G154" s="26">
        <f>E85*F85</f>
        <v>1133600</v>
      </c>
    </row>
    <row r="155" spans="2:7">
      <c r="B155" s="22"/>
      <c r="C155" s="25"/>
      <c r="D155" s="25"/>
      <c r="E155" s="24">
        <f>D85-C85</f>
        <v>872</v>
      </c>
      <c r="F155" s="25"/>
      <c r="G155" s="26">
        <f>E85*F85</f>
        <v>1133600</v>
      </c>
    </row>
    <row r="156" spans="2:7">
      <c r="B156" s="22"/>
      <c r="C156" s="25"/>
      <c r="D156" s="25"/>
      <c r="E156" s="24">
        <f>D85-C85</f>
        <v>872</v>
      </c>
      <c r="F156" s="25"/>
      <c r="G156" s="26">
        <f>E85*F85</f>
        <v>1133600</v>
      </c>
    </row>
    <row r="157" spans="2:7">
      <c r="B157" s="22"/>
      <c r="C157" s="25"/>
      <c r="D157" s="25"/>
      <c r="E157" s="24">
        <f>D85-C85</f>
        <v>872</v>
      </c>
      <c r="F157" s="25"/>
      <c r="G157" s="26">
        <f>E85*F85</f>
        <v>1133600</v>
      </c>
    </row>
    <row r="158" spans="2:7">
      <c r="B158" s="22"/>
      <c r="C158" s="25"/>
      <c r="D158" s="25"/>
      <c r="E158" s="24">
        <f>D85-C85</f>
        <v>872</v>
      </c>
      <c r="F158" s="25"/>
      <c r="G158" s="26">
        <f>E85*F85</f>
        <v>1133600</v>
      </c>
    </row>
    <row r="159" spans="2:7">
      <c r="B159" s="22"/>
      <c r="C159" s="25"/>
      <c r="D159" s="25"/>
      <c r="E159" s="24">
        <f>D85-C85</f>
        <v>872</v>
      </c>
      <c r="F159" s="25"/>
      <c r="G159" s="26">
        <f>E85*F85</f>
        <v>1133600</v>
      </c>
    </row>
    <row r="160" spans="2:7">
      <c r="B160" s="22"/>
      <c r="C160" s="25"/>
      <c r="D160" s="25"/>
      <c r="E160" s="24">
        <f>D85-C85</f>
        <v>872</v>
      </c>
      <c r="F160" s="25"/>
      <c r="G160" s="26">
        <f>E85*F85</f>
        <v>1133600</v>
      </c>
    </row>
    <row r="161" spans="2:10">
      <c r="B161" s="22"/>
      <c r="C161" s="25"/>
      <c r="D161" s="25"/>
      <c r="E161" s="24">
        <f>D85-C85</f>
        <v>872</v>
      </c>
      <c r="F161" s="25"/>
      <c r="G161" s="26">
        <f>E85*F85</f>
        <v>1133600</v>
      </c>
    </row>
    <row r="162" spans="2:10">
      <c r="B162" s="22"/>
      <c r="C162" s="25"/>
      <c r="D162" s="25"/>
      <c r="E162" s="24">
        <f>D85-C85</f>
        <v>872</v>
      </c>
      <c r="F162" s="25"/>
      <c r="G162" s="26">
        <f>E85*F85</f>
        <v>1133600</v>
      </c>
    </row>
    <row r="163" spans="2:10">
      <c r="B163" s="22"/>
      <c r="C163" s="25"/>
      <c r="D163" s="25"/>
      <c r="E163" s="24">
        <f>D86-C86</f>
        <v>0</v>
      </c>
      <c r="F163" s="25"/>
      <c r="G163" s="26">
        <f>E86*F86</f>
        <v>1133600</v>
      </c>
    </row>
    <row r="164" spans="2:10">
      <c r="B164" s="22"/>
      <c r="C164" s="25"/>
      <c r="D164" s="25"/>
      <c r="E164" s="28"/>
      <c r="F164" s="25"/>
      <c r="G164" s="29"/>
    </row>
    <row r="165" spans="2:10" ht="15.75" customHeight="1">
      <c r="B165" s="30" t="s">
        <v>31</v>
      </c>
      <c r="C165" s="31" t="s">
        <v>32</v>
      </c>
      <c r="D165" s="32"/>
      <c r="E165" s="33">
        <f>SUM(E10:E86)</f>
        <v>65759</v>
      </c>
      <c r="F165" s="34"/>
      <c r="G165" s="35">
        <f>SUM(G10:G86)</f>
        <v>71054137</v>
      </c>
    </row>
    <row r="166" spans="2:10">
      <c r="B166" s="36"/>
      <c r="C166" s="37"/>
      <c r="D166" s="19"/>
      <c r="E166" s="19"/>
      <c r="F166" s="19"/>
      <c r="G166" s="38"/>
      <c r="J166" s="39"/>
    </row>
    <row r="167" spans="2:10" ht="30" customHeight="1">
      <c r="B167" s="40" t="s">
        <v>33</v>
      </c>
      <c r="C167" s="41" t="s">
        <v>34</v>
      </c>
      <c r="D167" s="19"/>
      <c r="E167" s="42"/>
      <c r="F167" s="25"/>
      <c r="G167" s="26"/>
    </row>
    <row r="168" spans="2:10" ht="14.25" customHeight="1">
      <c r="B168" s="40"/>
      <c r="C168" s="41"/>
      <c r="D168" s="19"/>
      <c r="E168" s="42"/>
      <c r="F168" s="25"/>
      <c r="G168" s="26"/>
    </row>
    <row r="169" spans="2:10" ht="18" customHeight="1">
      <c r="B169" s="36"/>
      <c r="C169" s="37"/>
      <c r="D169" s="19"/>
      <c r="E169" s="43"/>
      <c r="F169" s="25"/>
      <c r="G169" s="26"/>
      <c r="J169" s="39"/>
    </row>
    <row r="170" spans="2:10" ht="18" customHeight="1">
      <c r="B170" s="36"/>
      <c r="C170" s="37"/>
      <c r="D170" s="19"/>
      <c r="E170" s="43"/>
      <c r="F170" s="25"/>
      <c r="G170" s="26"/>
    </row>
    <row r="171" spans="2:10" ht="18" customHeight="1">
      <c r="B171" s="36"/>
      <c r="C171" s="37"/>
      <c r="D171" s="19"/>
      <c r="E171" s="43"/>
      <c r="F171" s="25"/>
      <c r="G171" s="29"/>
    </row>
    <row r="172" spans="2:10">
      <c r="B172" s="30" t="s">
        <v>35</v>
      </c>
      <c r="C172" s="31" t="s">
        <v>36</v>
      </c>
      <c r="D172" s="44"/>
      <c r="E172" s="45">
        <f>E88-SUM(E90:E94)</f>
        <v>-3488</v>
      </c>
      <c r="F172" s="46"/>
      <c r="G172" s="47">
        <f>G88-SUM(G90:G94)</f>
        <v>-4534400</v>
      </c>
    </row>
    <row r="173" spans="2:10">
      <c r="B173" s="36"/>
      <c r="C173" s="37"/>
      <c r="D173" s="19"/>
      <c r="E173" s="43"/>
      <c r="F173" s="25"/>
      <c r="G173" s="48"/>
    </row>
    <row r="174" spans="2:10">
      <c r="B174" s="36"/>
      <c r="C174" s="49" t="s">
        <v>37</v>
      </c>
      <c r="D174" s="19"/>
      <c r="E174" s="43"/>
      <c r="F174" s="25"/>
      <c r="G174" s="48"/>
    </row>
    <row r="175" spans="2:10">
      <c r="B175" s="36"/>
      <c r="C175" s="50" t="s">
        <v>38</v>
      </c>
      <c r="D175" s="19"/>
      <c r="E175" s="51"/>
      <c r="F175" s="19"/>
      <c r="G175" s="26"/>
    </row>
    <row r="176" spans="2:10">
      <c r="B176" s="36"/>
      <c r="C176" s="50" t="s">
        <v>39</v>
      </c>
      <c r="D176" s="20"/>
      <c r="E176" s="51">
        <v>150</v>
      </c>
      <c r="F176" s="19">
        <v>1300</v>
      </c>
      <c r="G176" s="26">
        <v>172500</v>
      </c>
    </row>
    <row r="177" spans="2:7">
      <c r="B177" s="36"/>
      <c r="C177" s="50" t="s">
        <v>39</v>
      </c>
      <c r="D177" s="20"/>
      <c r="E177" s="51">
        <v>150</v>
      </c>
      <c r="F177" s="19">
        <v>1300</v>
      </c>
      <c r="G177" s="26">
        <v>172500</v>
      </c>
    </row>
    <row r="178" spans="2:7">
      <c r="B178" s="36"/>
      <c r="C178" s="50" t="s">
        <v>40</v>
      </c>
      <c r="D178" s="20"/>
      <c r="E178" s="51"/>
      <c r="F178" s="19"/>
      <c r="G178" s="26"/>
    </row>
    <row r="179" spans="2:7">
      <c r="B179" s="36"/>
      <c r="C179" s="50" t="s">
        <v>41</v>
      </c>
      <c r="D179" s="20"/>
      <c r="E179" s="51"/>
      <c r="F179" s="19"/>
      <c r="G179" s="26"/>
    </row>
    <row r="180" spans="2:7">
      <c r="B180" s="36"/>
      <c r="C180" s="50" t="s">
        <v>42</v>
      </c>
      <c r="D180" s="20"/>
      <c r="E180" s="51"/>
      <c r="F180" s="19"/>
      <c r="G180" s="26"/>
    </row>
    <row r="181" spans="2:7">
      <c r="B181" s="36"/>
      <c r="C181" s="50" t="s">
        <v>43</v>
      </c>
      <c r="D181" s="20"/>
      <c r="E181" s="51"/>
      <c r="F181" s="19"/>
      <c r="G181" s="26"/>
    </row>
    <row r="182" spans="2:7">
      <c r="B182" s="36"/>
      <c r="C182" s="50" t="s">
        <v>44</v>
      </c>
      <c r="D182" s="20"/>
      <c r="E182" s="51"/>
      <c r="F182" s="19"/>
      <c r="G182" s="26"/>
    </row>
    <row r="183" spans="2:7">
      <c r="B183" s="36"/>
      <c r="C183" s="50" t="s">
        <v>45</v>
      </c>
      <c r="D183" s="20"/>
      <c r="E183" s="51"/>
      <c r="F183" s="19"/>
      <c r="G183" s="26"/>
    </row>
    <row r="184" spans="2:7">
      <c r="B184" s="36"/>
      <c r="C184" s="50" t="s">
        <v>45</v>
      </c>
      <c r="D184" s="20"/>
      <c r="E184" s="51"/>
      <c r="F184" s="19"/>
      <c r="G184" s="26"/>
    </row>
    <row r="185" spans="2:7">
      <c r="B185" s="36"/>
      <c r="C185" s="50" t="s">
        <v>46</v>
      </c>
      <c r="D185" s="20"/>
      <c r="E185" s="51"/>
      <c r="F185" s="19"/>
      <c r="G185" s="26"/>
    </row>
    <row r="186" spans="2:7">
      <c r="B186" s="36"/>
      <c r="C186" s="50" t="s">
        <v>47</v>
      </c>
      <c r="D186" s="20"/>
      <c r="E186" s="51"/>
      <c r="F186" s="19"/>
      <c r="G186" s="48"/>
    </row>
    <row r="187" spans="2:7">
      <c r="B187" s="52" t="s">
        <v>48</v>
      </c>
      <c r="C187" s="53" t="s">
        <v>49</v>
      </c>
      <c r="D187" s="54"/>
      <c r="E187" s="55">
        <f>SUM(E98:E109)</f>
        <v>10464</v>
      </c>
      <c r="F187" s="54"/>
      <c r="G187" s="56">
        <f>SUM(G98:G109)</f>
        <v>13603200</v>
      </c>
    </row>
    <row r="188" spans="2:7">
      <c r="B188" s="36"/>
      <c r="C188" s="20"/>
      <c r="D188" s="20"/>
      <c r="E188" s="20"/>
      <c r="F188" s="20"/>
      <c r="G188" s="21"/>
    </row>
    <row r="189" spans="2:7" ht="15" customHeight="1">
      <c r="B189" s="30" t="s">
        <v>50</v>
      </c>
      <c r="C189" s="57" t="s">
        <v>51</v>
      </c>
      <c r="D189" s="58"/>
      <c r="E189" s="59">
        <f>E95-E110</f>
        <v>0</v>
      </c>
      <c r="F189" s="58"/>
      <c r="G189" s="60">
        <f>G95-G110</f>
        <v>0</v>
      </c>
    </row>
    <row r="190" spans="2:7">
      <c r="B190" s="61"/>
      <c r="C190" s="62"/>
      <c r="D190" s="62"/>
      <c r="E190" s="62"/>
      <c r="F190" s="62"/>
      <c r="G190" s="63"/>
    </row>
    <row r="191" spans="2:7">
      <c r="B191" s="64"/>
      <c r="G191" s="65"/>
    </row>
    <row r="192" spans="2:7">
      <c r="B192" s="64"/>
      <c r="G192" s="65"/>
    </row>
    <row r="193" spans="2:11">
      <c r="B193" s="12">
        <v>2</v>
      </c>
      <c r="C193" s="403" t="s">
        <v>52</v>
      </c>
      <c r="D193" s="403"/>
      <c r="E193" s="13"/>
      <c r="F193" s="13"/>
      <c r="G193" s="14"/>
    </row>
    <row r="194" spans="2:11">
      <c r="B194" s="66" t="s">
        <v>17</v>
      </c>
      <c r="C194" s="16" t="s">
        <v>18</v>
      </c>
      <c r="D194" s="16" t="s">
        <v>19</v>
      </c>
      <c r="E194" s="16" t="s">
        <v>53</v>
      </c>
      <c r="F194" s="16" t="s">
        <v>21</v>
      </c>
      <c r="G194" s="17" t="s">
        <v>22</v>
      </c>
    </row>
    <row r="195" spans="2:11">
      <c r="B195" s="18"/>
      <c r="C195" s="19"/>
      <c r="D195" s="19"/>
      <c r="E195" s="20"/>
      <c r="F195" s="20"/>
      <c r="G195" s="21"/>
    </row>
    <row r="196" spans="2:11">
      <c r="B196" s="22" t="s">
        <v>54</v>
      </c>
      <c r="C196" s="67">
        <v>305625</v>
      </c>
      <c r="D196" s="67">
        <v>306057</v>
      </c>
      <c r="E196" s="24">
        <f t="shared" ref="E196:E223" si="6">D119-C119</f>
        <v>0</v>
      </c>
      <c r="F196" s="25">
        <v>990</v>
      </c>
      <c r="G196" s="26">
        <f t="shared" ref="G196:G223" si="7">E119*F119</f>
        <v>0</v>
      </c>
    </row>
    <row r="197" spans="2:11">
      <c r="B197" s="22" t="s">
        <v>55</v>
      </c>
      <c r="C197" s="67">
        <v>255734</v>
      </c>
      <c r="D197" s="67">
        <v>256080</v>
      </c>
      <c r="E197" s="24">
        <f t="shared" si="6"/>
        <v>0</v>
      </c>
      <c r="F197" s="25">
        <v>990</v>
      </c>
      <c r="G197" s="26">
        <f t="shared" si="7"/>
        <v>0</v>
      </c>
    </row>
    <row r="198" spans="2:11">
      <c r="B198" s="22"/>
      <c r="C198" s="67"/>
      <c r="D198" s="67"/>
      <c r="E198" s="24">
        <f t="shared" si="6"/>
        <v>0</v>
      </c>
      <c r="F198" s="25"/>
      <c r="G198" s="26">
        <f t="shared" si="7"/>
        <v>0</v>
      </c>
      <c r="K198" s="39"/>
    </row>
    <row r="199" spans="2:11">
      <c r="B199" s="22" t="s">
        <v>54</v>
      </c>
      <c r="C199" s="67">
        <v>306057</v>
      </c>
      <c r="D199" s="67">
        <v>306286</v>
      </c>
      <c r="E199" s="24">
        <f t="shared" si="6"/>
        <v>0</v>
      </c>
      <c r="F199" s="25">
        <v>1050</v>
      </c>
      <c r="G199" s="26">
        <f t="shared" si="7"/>
        <v>0</v>
      </c>
    </row>
    <row r="200" spans="2:11">
      <c r="B200" s="22" t="s">
        <v>55</v>
      </c>
      <c r="C200" s="67">
        <v>256080</v>
      </c>
      <c r="D200" s="67">
        <v>256575</v>
      </c>
      <c r="E200" s="24">
        <f t="shared" si="6"/>
        <v>0</v>
      </c>
      <c r="F200" s="25">
        <v>1050</v>
      </c>
      <c r="G200" s="26">
        <f t="shared" si="7"/>
        <v>0</v>
      </c>
    </row>
    <row r="201" spans="2:11">
      <c r="B201" s="22"/>
      <c r="C201" s="67"/>
      <c r="D201" s="67"/>
      <c r="E201" s="24">
        <f t="shared" si="6"/>
        <v>0</v>
      </c>
      <c r="F201" s="25"/>
      <c r="G201" s="26">
        <f t="shared" si="7"/>
        <v>0</v>
      </c>
    </row>
    <row r="202" spans="2:11">
      <c r="B202" s="22" t="s">
        <v>54</v>
      </c>
      <c r="C202" s="25">
        <v>306286</v>
      </c>
      <c r="D202" s="25">
        <v>306298</v>
      </c>
      <c r="E202" s="24">
        <f t="shared" si="6"/>
        <v>0</v>
      </c>
      <c r="F202" s="25">
        <v>1180</v>
      </c>
      <c r="G202" s="26">
        <f t="shared" si="7"/>
        <v>0</v>
      </c>
    </row>
    <row r="203" spans="2:11">
      <c r="B203" s="22" t="s">
        <v>55</v>
      </c>
      <c r="C203" s="25">
        <v>256575</v>
      </c>
      <c r="D203" s="25">
        <v>256742</v>
      </c>
      <c r="E203" s="24">
        <f t="shared" si="6"/>
        <v>0</v>
      </c>
      <c r="F203" s="25">
        <v>1180</v>
      </c>
      <c r="G203" s="26">
        <f t="shared" si="7"/>
        <v>0</v>
      </c>
    </row>
    <row r="204" spans="2:11">
      <c r="B204" s="22"/>
      <c r="C204" s="25"/>
      <c r="D204" s="25"/>
      <c r="E204" s="24">
        <f t="shared" si="6"/>
        <v>0</v>
      </c>
      <c r="F204" s="25"/>
      <c r="G204" s="26">
        <f t="shared" si="7"/>
        <v>0</v>
      </c>
    </row>
    <row r="205" spans="2:11">
      <c r="B205" s="22" t="s">
        <v>54</v>
      </c>
      <c r="C205" s="25">
        <v>306298</v>
      </c>
      <c r="D205" s="25">
        <v>306333</v>
      </c>
      <c r="E205" s="24">
        <f t="shared" si="6"/>
        <v>0</v>
      </c>
      <c r="F205" s="25">
        <v>1200</v>
      </c>
      <c r="G205" s="26">
        <f t="shared" si="7"/>
        <v>0</v>
      </c>
    </row>
    <row r="206" spans="2:11">
      <c r="B206" s="22" t="s">
        <v>55</v>
      </c>
      <c r="C206" s="25">
        <v>256742</v>
      </c>
      <c r="D206" s="25">
        <v>256900</v>
      </c>
      <c r="E206" s="24">
        <f t="shared" si="6"/>
        <v>0</v>
      </c>
      <c r="F206" s="25">
        <v>1200</v>
      </c>
      <c r="G206" s="26">
        <f t="shared" si="7"/>
        <v>0</v>
      </c>
    </row>
    <row r="207" spans="2:11">
      <c r="B207" s="22"/>
      <c r="C207" s="25"/>
      <c r="D207" s="25"/>
      <c r="E207" s="24">
        <f t="shared" si="6"/>
        <v>0</v>
      </c>
      <c r="F207" s="25"/>
      <c r="G207" s="26">
        <f t="shared" si="7"/>
        <v>0</v>
      </c>
    </row>
    <row r="208" spans="2:11">
      <c r="B208" s="22" t="s">
        <v>54</v>
      </c>
      <c r="C208" s="25">
        <v>306333</v>
      </c>
      <c r="D208" s="25">
        <v>306359</v>
      </c>
      <c r="E208" s="24">
        <f t="shared" si="6"/>
        <v>0</v>
      </c>
      <c r="F208" s="25">
        <v>1400</v>
      </c>
      <c r="G208" s="26">
        <f t="shared" si="7"/>
        <v>0</v>
      </c>
    </row>
    <row r="209" spans="2:7">
      <c r="B209" s="22" t="s">
        <v>55</v>
      </c>
      <c r="C209" s="25">
        <v>256900</v>
      </c>
      <c r="D209" s="25">
        <v>256937</v>
      </c>
      <c r="E209" s="24">
        <f t="shared" si="6"/>
        <v>0</v>
      </c>
      <c r="F209" s="25">
        <v>1400</v>
      </c>
      <c r="G209" s="26">
        <f t="shared" si="7"/>
        <v>0</v>
      </c>
    </row>
    <row r="210" spans="2:7">
      <c r="B210" s="22"/>
      <c r="C210" s="25"/>
      <c r="D210" s="25"/>
      <c r="E210" s="24">
        <f t="shared" si="6"/>
        <v>0</v>
      </c>
      <c r="F210" s="25"/>
      <c r="G210" s="26">
        <f t="shared" si="7"/>
        <v>0</v>
      </c>
    </row>
    <row r="211" spans="2:7">
      <c r="B211" s="22" t="s">
        <v>54</v>
      </c>
      <c r="C211" s="67">
        <v>306359</v>
      </c>
      <c r="D211" s="25">
        <v>306759</v>
      </c>
      <c r="E211" s="24">
        <f t="shared" si="6"/>
        <v>0</v>
      </c>
      <c r="F211" s="25">
        <v>1450</v>
      </c>
      <c r="G211" s="26">
        <f t="shared" si="7"/>
        <v>0</v>
      </c>
    </row>
    <row r="212" spans="2:7">
      <c r="B212" s="22" t="s">
        <v>55</v>
      </c>
      <c r="C212" s="25">
        <v>256937</v>
      </c>
      <c r="D212" s="25">
        <v>257489</v>
      </c>
      <c r="E212" s="24">
        <f t="shared" si="6"/>
        <v>0</v>
      </c>
      <c r="F212" s="25">
        <v>1450</v>
      </c>
      <c r="G212" s="26">
        <f t="shared" si="7"/>
        <v>0</v>
      </c>
    </row>
    <row r="213" spans="2:7">
      <c r="B213" s="22"/>
      <c r="C213" s="25"/>
      <c r="D213" s="25"/>
      <c r="E213" s="24">
        <f t="shared" si="6"/>
        <v>0</v>
      </c>
      <c r="F213" s="25"/>
      <c r="G213" s="26">
        <f t="shared" si="7"/>
        <v>0</v>
      </c>
    </row>
    <row r="214" spans="2:7">
      <c r="B214" s="22" t="s">
        <v>54</v>
      </c>
      <c r="C214" s="25">
        <v>306759</v>
      </c>
      <c r="D214" s="25">
        <v>306842</v>
      </c>
      <c r="E214" s="24">
        <f t="shared" si="6"/>
        <v>0</v>
      </c>
      <c r="F214" s="25">
        <v>1465</v>
      </c>
      <c r="G214" s="26">
        <f t="shared" si="7"/>
        <v>0</v>
      </c>
    </row>
    <row r="215" spans="2:7">
      <c r="B215" s="22" t="s">
        <v>55</v>
      </c>
      <c r="C215" s="25">
        <v>257489</v>
      </c>
      <c r="D215" s="25">
        <v>257533</v>
      </c>
      <c r="E215" s="24">
        <f t="shared" si="6"/>
        <v>0</v>
      </c>
      <c r="F215" s="25">
        <v>1465</v>
      </c>
      <c r="G215" s="26">
        <f t="shared" si="7"/>
        <v>0</v>
      </c>
    </row>
    <row r="216" spans="2:7">
      <c r="B216" s="22"/>
      <c r="C216" s="25"/>
      <c r="D216" s="25"/>
      <c r="E216" s="24">
        <f t="shared" si="6"/>
        <v>0</v>
      </c>
      <c r="F216" s="25"/>
      <c r="G216" s="26">
        <f t="shared" si="7"/>
        <v>0</v>
      </c>
    </row>
    <row r="217" spans="2:7">
      <c r="B217" s="22" t="s">
        <v>54</v>
      </c>
      <c r="C217" s="25">
        <v>306842</v>
      </c>
      <c r="D217" s="25">
        <v>307503</v>
      </c>
      <c r="E217" s="24">
        <f t="shared" si="6"/>
        <v>0</v>
      </c>
      <c r="F217" s="25">
        <v>1770</v>
      </c>
      <c r="G217" s="26">
        <f t="shared" si="7"/>
        <v>0</v>
      </c>
    </row>
    <row r="218" spans="2:7">
      <c r="B218" s="22" t="s">
        <v>55</v>
      </c>
      <c r="C218" s="67">
        <v>257533</v>
      </c>
      <c r="D218" s="25">
        <v>258478</v>
      </c>
      <c r="E218" s="24">
        <f t="shared" si="6"/>
        <v>0</v>
      </c>
      <c r="F218" s="25">
        <v>1770</v>
      </c>
      <c r="G218" s="26">
        <f t="shared" si="7"/>
        <v>0</v>
      </c>
    </row>
    <row r="219" spans="2:7">
      <c r="B219" s="22"/>
      <c r="C219" s="25"/>
      <c r="D219" s="25"/>
      <c r="E219" s="24">
        <f t="shared" si="6"/>
        <v>0</v>
      </c>
      <c r="F219" s="25"/>
      <c r="G219" s="26">
        <f t="shared" si="7"/>
        <v>0</v>
      </c>
    </row>
    <row r="220" spans="2:7">
      <c r="B220" s="22" t="s">
        <v>54</v>
      </c>
      <c r="C220" s="25">
        <v>307503</v>
      </c>
      <c r="D220" s="25">
        <v>307781</v>
      </c>
      <c r="E220" s="24">
        <f t="shared" si="6"/>
        <v>0</v>
      </c>
      <c r="F220" s="25">
        <v>1700</v>
      </c>
      <c r="G220" s="26">
        <f t="shared" si="7"/>
        <v>0</v>
      </c>
    </row>
    <row r="221" spans="2:7">
      <c r="B221" s="22" t="s">
        <v>55</v>
      </c>
      <c r="C221" s="25">
        <v>258478</v>
      </c>
      <c r="D221" s="25">
        <v>259015</v>
      </c>
      <c r="E221" s="24">
        <f t="shared" si="6"/>
        <v>0</v>
      </c>
      <c r="F221" s="25">
        <v>1700</v>
      </c>
      <c r="G221" s="26">
        <f t="shared" si="7"/>
        <v>0</v>
      </c>
    </row>
    <row r="222" spans="2:7">
      <c r="B222" s="22"/>
      <c r="C222" s="25"/>
      <c r="D222" s="25"/>
      <c r="E222" s="24">
        <f t="shared" si="6"/>
        <v>0</v>
      </c>
      <c r="F222" s="25"/>
      <c r="G222" s="26">
        <f t="shared" si="7"/>
        <v>0</v>
      </c>
    </row>
    <row r="223" spans="2:7">
      <c r="B223" s="22" t="s">
        <v>54</v>
      </c>
      <c r="C223" s="25">
        <v>307781</v>
      </c>
      <c r="D223" s="25">
        <v>307913</v>
      </c>
      <c r="E223" s="24">
        <f t="shared" si="6"/>
        <v>0</v>
      </c>
      <c r="F223" s="25">
        <v>1670</v>
      </c>
      <c r="G223" s="26">
        <f t="shared" si="7"/>
        <v>0</v>
      </c>
    </row>
    <row r="224" spans="2:7">
      <c r="B224" s="22" t="s">
        <v>55</v>
      </c>
      <c r="C224" s="25">
        <v>259015</v>
      </c>
      <c r="D224" s="25">
        <v>259216</v>
      </c>
      <c r="E224" s="24">
        <f>D146-C146</f>
        <v>0</v>
      </c>
      <c r="F224" s="25">
        <v>1670</v>
      </c>
      <c r="G224" s="26">
        <f>E146*F146</f>
        <v>0</v>
      </c>
    </row>
    <row r="225" spans="2:7">
      <c r="B225" s="22"/>
      <c r="C225" s="25"/>
      <c r="D225" s="25"/>
      <c r="E225" s="24">
        <f>D146-C146</f>
        <v>0</v>
      </c>
      <c r="F225" s="25"/>
      <c r="G225" s="26">
        <f>E146*F146</f>
        <v>0</v>
      </c>
    </row>
    <row r="226" spans="2:7">
      <c r="B226" s="22"/>
      <c r="C226" s="25"/>
      <c r="D226" s="25"/>
      <c r="E226" s="24">
        <f>D146-C146</f>
        <v>0</v>
      </c>
      <c r="F226" s="25"/>
      <c r="G226" s="26">
        <f>E146*F146</f>
        <v>0</v>
      </c>
    </row>
    <row r="227" spans="2:7">
      <c r="B227" s="22"/>
      <c r="C227" s="25"/>
      <c r="D227" s="25"/>
      <c r="E227" s="24">
        <f>D146-C146</f>
        <v>0</v>
      </c>
      <c r="F227" s="25"/>
      <c r="G227" s="26">
        <f>E146*F146</f>
        <v>0</v>
      </c>
    </row>
    <row r="228" spans="2:7">
      <c r="B228" s="22"/>
      <c r="C228" s="25"/>
      <c r="D228" s="25"/>
      <c r="E228" s="24">
        <f>D146-C146</f>
        <v>0</v>
      </c>
      <c r="F228" s="25"/>
      <c r="G228" s="26">
        <f>E146*F146</f>
        <v>0</v>
      </c>
    </row>
    <row r="229" spans="2:7">
      <c r="B229" s="22"/>
      <c r="C229" s="25"/>
      <c r="D229" s="25"/>
      <c r="E229" s="24">
        <f>D146-C146</f>
        <v>0</v>
      </c>
      <c r="F229" s="25"/>
      <c r="G229" s="26">
        <f>E146*F146</f>
        <v>0</v>
      </c>
    </row>
    <row r="230" spans="2:7">
      <c r="B230" s="22"/>
      <c r="C230" s="25"/>
      <c r="D230" s="25"/>
      <c r="E230" s="24">
        <f>D146-C146</f>
        <v>0</v>
      </c>
      <c r="F230" s="25"/>
      <c r="G230" s="26">
        <f>E146*F146</f>
        <v>0</v>
      </c>
    </row>
    <row r="231" spans="2:7">
      <c r="B231" s="22"/>
      <c r="C231" s="25"/>
      <c r="D231" s="25"/>
      <c r="E231" s="24">
        <f>D146-C146</f>
        <v>0</v>
      </c>
      <c r="F231" s="25"/>
      <c r="G231" s="26">
        <f>E146*F146</f>
        <v>0</v>
      </c>
    </row>
    <row r="232" spans="2:7">
      <c r="B232" s="22"/>
      <c r="C232" s="25"/>
      <c r="D232" s="25"/>
      <c r="E232" s="24">
        <f>D146-C146</f>
        <v>0</v>
      </c>
      <c r="F232" s="25"/>
      <c r="G232" s="26">
        <f>E146*F146</f>
        <v>0</v>
      </c>
    </row>
    <row r="233" spans="2:7">
      <c r="B233" s="22"/>
      <c r="C233" s="25"/>
      <c r="D233" s="25"/>
      <c r="E233" s="24">
        <f>D146-C146</f>
        <v>0</v>
      </c>
      <c r="F233" s="25"/>
      <c r="G233" s="26">
        <f>E146*F146</f>
        <v>0</v>
      </c>
    </row>
    <row r="234" spans="2:7">
      <c r="B234" s="22"/>
      <c r="C234" s="25"/>
      <c r="D234" s="25"/>
      <c r="E234" s="24">
        <f>D146-C146</f>
        <v>0</v>
      </c>
      <c r="F234" s="25"/>
      <c r="G234" s="26">
        <f>E146*F146</f>
        <v>0</v>
      </c>
    </row>
    <row r="235" spans="2:7">
      <c r="B235" s="22"/>
      <c r="C235" s="25"/>
      <c r="D235" s="25"/>
      <c r="E235" s="24">
        <f>D146-C146</f>
        <v>0</v>
      </c>
      <c r="F235" s="25"/>
      <c r="G235" s="26">
        <f>E146*F146</f>
        <v>0</v>
      </c>
    </row>
    <row r="236" spans="2:7">
      <c r="B236" s="22"/>
      <c r="C236" s="25"/>
      <c r="D236" s="25"/>
      <c r="E236" s="24">
        <f>D146-C146</f>
        <v>0</v>
      </c>
      <c r="F236" s="25"/>
      <c r="G236" s="26">
        <f>E146*F146</f>
        <v>0</v>
      </c>
    </row>
    <row r="237" spans="2:7">
      <c r="B237" s="22"/>
      <c r="C237" s="25"/>
      <c r="D237" s="25"/>
      <c r="E237" s="24">
        <f>D146-C146</f>
        <v>0</v>
      </c>
      <c r="F237" s="25"/>
      <c r="G237" s="26">
        <f>E146*F146</f>
        <v>0</v>
      </c>
    </row>
    <row r="238" spans="2:7">
      <c r="B238" s="22"/>
      <c r="C238" s="25"/>
      <c r="D238" s="25"/>
      <c r="E238" s="24">
        <f>D146-C146</f>
        <v>0</v>
      </c>
      <c r="F238" s="25"/>
      <c r="G238" s="26">
        <f>E146*F146</f>
        <v>0</v>
      </c>
    </row>
    <row r="239" spans="2:7">
      <c r="B239" s="22"/>
      <c r="C239" s="25"/>
      <c r="D239" s="25"/>
      <c r="E239" s="24">
        <f>D146-C146</f>
        <v>0</v>
      </c>
      <c r="F239" s="25"/>
      <c r="G239" s="26">
        <f>E146*F146</f>
        <v>0</v>
      </c>
    </row>
    <row r="240" spans="2:7">
      <c r="B240" s="22"/>
      <c r="C240" s="25"/>
      <c r="D240" s="25"/>
      <c r="E240" s="24">
        <f>D146-C146</f>
        <v>0</v>
      </c>
      <c r="F240" s="25"/>
      <c r="G240" s="26">
        <f>E146*F146</f>
        <v>0</v>
      </c>
    </row>
    <row r="241" spans="2:7">
      <c r="B241" s="22"/>
      <c r="C241" s="25"/>
      <c r="D241" s="25"/>
      <c r="E241" s="24">
        <f>D146-C146</f>
        <v>0</v>
      </c>
      <c r="F241" s="25"/>
      <c r="G241" s="26">
        <f>E146*F146</f>
        <v>0</v>
      </c>
    </row>
    <row r="242" spans="2:7">
      <c r="B242" s="22"/>
      <c r="C242" s="25"/>
      <c r="D242" s="25"/>
      <c r="E242" s="24">
        <f>D146-C146</f>
        <v>0</v>
      </c>
      <c r="F242" s="25"/>
      <c r="G242" s="26">
        <f>E146*F146</f>
        <v>0</v>
      </c>
    </row>
    <row r="243" spans="2:7">
      <c r="B243" s="22"/>
      <c r="C243" s="25"/>
      <c r="D243" s="25"/>
      <c r="E243" s="24">
        <f>D146-C146</f>
        <v>0</v>
      </c>
      <c r="F243" s="25"/>
      <c r="G243" s="26">
        <f>E146*F146</f>
        <v>0</v>
      </c>
    </row>
    <row r="244" spans="2:7">
      <c r="B244" s="22"/>
      <c r="C244" s="25"/>
      <c r="D244" s="25"/>
      <c r="E244" s="24">
        <f>D146-C146</f>
        <v>0</v>
      </c>
      <c r="F244" s="25"/>
      <c r="G244" s="26">
        <f>E146*F146</f>
        <v>0</v>
      </c>
    </row>
    <row r="245" spans="2:7">
      <c r="B245" s="22"/>
      <c r="C245" s="25"/>
      <c r="D245" s="25"/>
      <c r="E245" s="24">
        <f>D146-C146</f>
        <v>0</v>
      </c>
      <c r="F245" s="25"/>
      <c r="G245" s="26">
        <f>E146*F146</f>
        <v>0</v>
      </c>
    </row>
    <row r="246" spans="2:7">
      <c r="B246" s="22"/>
      <c r="C246" s="25"/>
      <c r="D246" s="25"/>
      <c r="E246" s="24">
        <f>D146-C146</f>
        <v>0</v>
      </c>
      <c r="F246" s="25"/>
      <c r="G246" s="26">
        <f>E146*F146</f>
        <v>0</v>
      </c>
    </row>
    <row r="247" spans="2:7">
      <c r="B247" s="22"/>
      <c r="C247" s="25"/>
      <c r="D247" s="25"/>
      <c r="E247" s="24">
        <f>D146-C146</f>
        <v>0</v>
      </c>
      <c r="F247" s="25"/>
      <c r="G247" s="26">
        <f>E146*F146</f>
        <v>0</v>
      </c>
    </row>
    <row r="248" spans="2:7">
      <c r="B248" s="22"/>
      <c r="C248" s="25"/>
      <c r="D248" s="25"/>
      <c r="E248" s="24">
        <f>D146-C146</f>
        <v>0</v>
      </c>
      <c r="F248" s="25"/>
      <c r="G248" s="26">
        <f>E146*F146</f>
        <v>0</v>
      </c>
    </row>
    <row r="249" spans="2:7">
      <c r="B249" s="22"/>
      <c r="C249" s="25"/>
      <c r="D249" s="25"/>
      <c r="E249" s="24">
        <f>D146-C146</f>
        <v>0</v>
      </c>
      <c r="F249" s="25"/>
      <c r="G249" s="26">
        <f>E146*F146</f>
        <v>0</v>
      </c>
    </row>
    <row r="250" spans="2:7">
      <c r="B250" s="22"/>
      <c r="C250" s="25"/>
      <c r="D250" s="25"/>
      <c r="E250" s="24">
        <f>D146-C146</f>
        <v>0</v>
      </c>
      <c r="F250" s="25"/>
      <c r="G250" s="26">
        <f>E146*F146</f>
        <v>0</v>
      </c>
    </row>
    <row r="251" spans="2:7">
      <c r="B251" s="22"/>
      <c r="C251" s="25"/>
      <c r="D251" s="25"/>
      <c r="E251" s="24">
        <f>D146-C146</f>
        <v>0</v>
      </c>
      <c r="F251" s="25"/>
      <c r="G251" s="26">
        <f>E146*F146</f>
        <v>0</v>
      </c>
    </row>
    <row r="252" spans="2:7">
      <c r="B252" s="22"/>
      <c r="C252" s="25"/>
      <c r="D252" s="25"/>
      <c r="E252" s="68"/>
      <c r="F252" s="25"/>
      <c r="G252" s="48"/>
    </row>
    <row r="253" spans="2:7" ht="17.25" customHeight="1">
      <c r="B253" s="30" t="s">
        <v>31</v>
      </c>
      <c r="C253" s="31" t="s">
        <v>56</v>
      </c>
      <c r="D253" s="46"/>
      <c r="E253" s="33">
        <f>SUM(E119:E147)</f>
        <v>25288</v>
      </c>
      <c r="F253" s="46"/>
      <c r="G253" s="35">
        <f>SUM(G119:G147)</f>
        <v>32874400</v>
      </c>
    </row>
    <row r="254" spans="2:7">
      <c r="B254" s="40"/>
      <c r="C254" s="49"/>
      <c r="D254" s="25"/>
      <c r="E254" s="68"/>
      <c r="F254" s="25"/>
      <c r="G254" s="48"/>
    </row>
    <row r="255" spans="2:7">
      <c r="B255" s="40" t="s">
        <v>57</v>
      </c>
      <c r="C255" s="69" t="s">
        <v>58</v>
      </c>
      <c r="D255" s="25"/>
      <c r="E255" s="68"/>
      <c r="F255" s="25"/>
      <c r="G255" s="26"/>
    </row>
    <row r="256" spans="2:7">
      <c r="B256" s="40"/>
      <c r="C256" s="25" t="s">
        <v>59</v>
      </c>
      <c r="D256" s="25"/>
      <c r="E256" s="68"/>
      <c r="F256" s="25"/>
      <c r="G256" s="26"/>
    </row>
    <row r="257" spans="2:12">
      <c r="B257" s="40"/>
      <c r="C257" s="25" t="s">
        <v>59</v>
      </c>
      <c r="D257" s="25"/>
      <c r="E257" s="68"/>
      <c r="F257" s="25"/>
      <c r="G257" s="26"/>
      <c r="L257" s="39"/>
    </row>
    <row r="258" spans="2:12">
      <c r="B258" s="40"/>
      <c r="C258" s="25" t="s">
        <v>60</v>
      </c>
      <c r="D258" s="25"/>
      <c r="E258" s="68"/>
      <c r="F258" s="25"/>
      <c r="G258" s="26"/>
    </row>
    <row r="259" spans="2:12">
      <c r="B259" s="40"/>
      <c r="C259" s="25" t="s">
        <v>61</v>
      </c>
      <c r="D259" s="25"/>
      <c r="E259" s="68"/>
      <c r="F259" s="25"/>
      <c r="G259" s="26"/>
    </row>
    <row r="260" spans="2:12">
      <c r="B260" s="40"/>
      <c r="C260" s="25"/>
      <c r="D260" s="25"/>
      <c r="E260" s="68"/>
      <c r="F260" s="25"/>
      <c r="G260" s="29"/>
    </row>
    <row r="261" spans="2:12">
      <c r="B261" s="30" t="s">
        <v>35</v>
      </c>
      <c r="C261" s="70" t="s">
        <v>62</v>
      </c>
      <c r="D261" s="46"/>
      <c r="E261" s="33">
        <f>E148-SUM(E150:E155)</f>
        <v>-4360</v>
      </c>
      <c r="F261" s="46"/>
      <c r="G261" s="35">
        <f>G148-SUM(G150:G155)</f>
        <v>-5668000</v>
      </c>
    </row>
    <row r="262" spans="2:12">
      <c r="B262" s="40"/>
      <c r="C262" s="25"/>
      <c r="D262" s="25"/>
      <c r="E262" s="68"/>
      <c r="F262" s="25"/>
      <c r="G262" s="48"/>
    </row>
    <row r="263" spans="2:12">
      <c r="B263" s="40"/>
      <c r="C263" s="49" t="s">
        <v>63</v>
      </c>
      <c r="D263" s="25"/>
      <c r="E263" s="68"/>
      <c r="F263" s="25"/>
      <c r="G263" s="48"/>
    </row>
    <row r="264" spans="2:12">
      <c r="B264" s="40"/>
      <c r="C264" s="71" t="s">
        <v>64</v>
      </c>
      <c r="D264" s="25"/>
      <c r="E264" s="68">
        <v>531</v>
      </c>
      <c r="F264" s="25">
        <v>1670</v>
      </c>
      <c r="G264" s="26">
        <v>767345</v>
      </c>
      <c r="L264" s="1"/>
    </row>
    <row r="265" spans="2:12">
      <c r="B265" s="40"/>
      <c r="C265" s="71" t="s">
        <v>64</v>
      </c>
      <c r="D265" s="25"/>
      <c r="E265" s="68">
        <v>531</v>
      </c>
      <c r="F265" s="25">
        <v>1670</v>
      </c>
      <c r="G265" s="26">
        <v>767345</v>
      </c>
    </row>
    <row r="266" spans="2:12">
      <c r="B266" s="40"/>
      <c r="C266" s="71" t="s">
        <v>64</v>
      </c>
      <c r="D266" s="25"/>
      <c r="E266" s="68">
        <v>531</v>
      </c>
      <c r="F266" s="25">
        <v>1670</v>
      </c>
      <c r="G266" s="26">
        <v>767345</v>
      </c>
    </row>
    <row r="267" spans="2:12">
      <c r="B267" s="40"/>
      <c r="C267" s="71" t="s">
        <v>64</v>
      </c>
      <c r="D267" s="25"/>
      <c r="E267" s="68">
        <v>531</v>
      </c>
      <c r="F267" s="25">
        <v>1670</v>
      </c>
      <c r="G267" s="26">
        <v>767345</v>
      </c>
    </row>
    <row r="268" spans="2:12">
      <c r="B268" s="40"/>
      <c r="C268" s="71" t="s">
        <v>64</v>
      </c>
      <c r="D268" s="25"/>
      <c r="E268" s="68">
        <v>531</v>
      </c>
      <c r="F268" s="25">
        <v>1670</v>
      </c>
      <c r="G268" s="26">
        <v>767345</v>
      </c>
    </row>
    <row r="269" spans="2:12">
      <c r="B269" s="40"/>
      <c r="C269" s="71" t="s">
        <v>64</v>
      </c>
      <c r="D269" s="25"/>
      <c r="E269" s="68">
        <v>531</v>
      </c>
      <c r="F269" s="25">
        <v>1670</v>
      </c>
      <c r="G269" s="26">
        <v>767345</v>
      </c>
    </row>
    <row r="270" spans="2:12">
      <c r="B270" s="40"/>
      <c r="C270" s="71" t="s">
        <v>65</v>
      </c>
      <c r="D270" s="25"/>
      <c r="E270" s="68"/>
      <c r="F270" s="25"/>
      <c r="G270" s="26"/>
    </row>
    <row r="271" spans="2:12">
      <c r="B271" s="40"/>
      <c r="C271" s="71" t="s">
        <v>66</v>
      </c>
      <c r="D271" s="25"/>
      <c r="E271" s="68"/>
      <c r="F271" s="25"/>
      <c r="G271" s="26"/>
    </row>
    <row r="272" spans="2:12">
      <c r="B272" s="40"/>
      <c r="C272" s="71"/>
      <c r="D272" s="25"/>
      <c r="E272" s="68"/>
      <c r="F272" s="25"/>
      <c r="G272" s="26"/>
    </row>
    <row r="273" spans="2:7">
      <c r="B273" s="40"/>
      <c r="C273" s="71"/>
      <c r="D273" s="25"/>
      <c r="E273" s="68"/>
      <c r="F273" s="25"/>
      <c r="G273" s="26"/>
    </row>
    <row r="274" spans="2:7">
      <c r="B274" s="40"/>
      <c r="C274" s="71"/>
      <c r="D274" s="25"/>
      <c r="E274" s="68"/>
      <c r="F274" s="25"/>
      <c r="G274" s="26"/>
    </row>
    <row r="275" spans="2:7">
      <c r="B275" s="40"/>
      <c r="C275" s="71"/>
      <c r="D275" s="25"/>
      <c r="E275" s="68"/>
      <c r="F275" s="25"/>
      <c r="G275" s="26"/>
    </row>
    <row r="276" spans="2:7">
      <c r="B276" s="40"/>
      <c r="C276" s="71"/>
      <c r="D276" s="25"/>
      <c r="E276" s="68"/>
      <c r="F276" s="25"/>
      <c r="G276" s="26"/>
    </row>
    <row r="277" spans="2:7">
      <c r="B277" s="40"/>
      <c r="C277" s="71"/>
      <c r="D277" s="25"/>
      <c r="E277" s="68"/>
      <c r="F277" s="25"/>
      <c r="G277" s="26"/>
    </row>
    <row r="278" spans="2:7">
      <c r="B278" s="40"/>
      <c r="C278" s="71"/>
      <c r="D278" s="25"/>
      <c r="E278" s="68"/>
      <c r="F278" s="25"/>
      <c r="G278" s="26"/>
    </row>
    <row r="279" spans="2:7">
      <c r="B279" s="40"/>
      <c r="C279" s="71"/>
      <c r="D279" s="25"/>
      <c r="E279" s="68"/>
      <c r="F279" s="25"/>
      <c r="G279" s="26"/>
    </row>
    <row r="280" spans="2:7">
      <c r="B280" s="40"/>
      <c r="C280" s="71"/>
      <c r="D280" s="25"/>
      <c r="E280" s="68"/>
      <c r="F280" s="25"/>
      <c r="G280" s="48"/>
    </row>
    <row r="281" spans="2:7" ht="18.75" customHeight="1">
      <c r="B281" s="52" t="s">
        <v>48</v>
      </c>
      <c r="C281" s="72" t="s">
        <v>67</v>
      </c>
      <c r="D281" s="73"/>
      <c r="E281" s="33">
        <f>SUM(E159:E175)</f>
        <v>65759</v>
      </c>
      <c r="F281" s="73"/>
      <c r="G281" s="35">
        <f>SUM(G159:G175)</f>
        <v>72187737</v>
      </c>
    </row>
    <row r="282" spans="2:7">
      <c r="B282" s="40"/>
      <c r="C282" s="25"/>
      <c r="D282" s="25"/>
      <c r="E282" s="68"/>
      <c r="F282" s="25"/>
      <c r="G282" s="48"/>
    </row>
    <row r="283" spans="2:7">
      <c r="B283" s="30" t="s">
        <v>50</v>
      </c>
      <c r="C283" s="31" t="s">
        <v>68</v>
      </c>
      <c r="D283" s="46"/>
      <c r="E283" s="33">
        <f>E156-E176</f>
        <v>722</v>
      </c>
      <c r="F283" s="46"/>
      <c r="G283" s="35">
        <f>G156-G176</f>
        <v>961100</v>
      </c>
    </row>
    <row r="284" spans="2:7">
      <c r="B284" s="74"/>
      <c r="C284" s="75"/>
      <c r="D284" s="75"/>
      <c r="E284" s="76"/>
      <c r="F284" s="75"/>
      <c r="G284" s="77"/>
    </row>
    <row r="285" spans="2:7">
      <c r="B285" s="64"/>
      <c r="G285" s="65"/>
    </row>
    <row r="286" spans="2:7">
      <c r="B286" s="64"/>
      <c r="G286" s="65"/>
    </row>
    <row r="287" spans="2:7">
      <c r="B287" s="12">
        <v>3</v>
      </c>
      <c r="C287" s="403" t="s">
        <v>69</v>
      </c>
      <c r="D287" s="403"/>
      <c r="E287" s="78"/>
      <c r="F287" s="78"/>
      <c r="G287" s="79"/>
    </row>
    <row r="288" spans="2:7">
      <c r="B288" s="66" t="s">
        <v>17</v>
      </c>
      <c r="C288" s="16" t="s">
        <v>18</v>
      </c>
      <c r="D288" s="16" t="s">
        <v>19</v>
      </c>
      <c r="E288" s="16" t="s">
        <v>53</v>
      </c>
      <c r="F288" s="16" t="s">
        <v>21</v>
      </c>
      <c r="G288" s="17" t="s">
        <v>22</v>
      </c>
    </row>
    <row r="289" spans="2:7">
      <c r="B289" s="18"/>
      <c r="C289" s="19"/>
      <c r="D289" s="19"/>
      <c r="E289" s="20"/>
      <c r="F289" s="20"/>
      <c r="G289" s="21"/>
    </row>
    <row r="290" spans="2:7">
      <c r="B290" s="22" t="s">
        <v>70</v>
      </c>
      <c r="C290" s="25">
        <v>70080</v>
      </c>
      <c r="D290" s="67">
        <v>70080</v>
      </c>
      <c r="E290" s="24" t="e">
        <f t="shared" ref="E290:E312" si="8">D185-C185</f>
        <v>#VALUE!</v>
      </c>
      <c r="F290" s="25">
        <v>1450</v>
      </c>
      <c r="G290" s="26">
        <f t="shared" ref="G290:G312" si="9">E185*F185</f>
        <v>0</v>
      </c>
    </row>
    <row r="291" spans="2:7">
      <c r="B291" s="22" t="s">
        <v>71</v>
      </c>
      <c r="C291" s="25">
        <v>98301</v>
      </c>
      <c r="D291" s="67">
        <v>98301</v>
      </c>
      <c r="E291" s="24" t="e">
        <f t="shared" si="8"/>
        <v>#VALUE!</v>
      </c>
      <c r="F291" s="25">
        <v>1450</v>
      </c>
      <c r="G291" s="26">
        <f t="shared" si="9"/>
        <v>0</v>
      </c>
    </row>
    <row r="292" spans="2:7">
      <c r="B292" s="22"/>
      <c r="C292" s="67"/>
      <c r="D292" s="67"/>
      <c r="E292" s="24" t="e">
        <f t="shared" si="8"/>
        <v>#VALUE!</v>
      </c>
      <c r="F292" s="25"/>
      <c r="G292" s="26">
        <f t="shared" si="9"/>
        <v>0</v>
      </c>
    </row>
    <row r="293" spans="2:7">
      <c r="B293" s="22"/>
      <c r="C293" s="25"/>
      <c r="D293" s="25"/>
      <c r="E293" s="24">
        <f t="shared" si="8"/>
        <v>0</v>
      </c>
      <c r="F293" s="25"/>
      <c r="G293" s="26">
        <f t="shared" si="9"/>
        <v>0</v>
      </c>
    </row>
    <row r="294" spans="2:7">
      <c r="B294" s="22"/>
      <c r="C294" s="25"/>
      <c r="D294" s="25"/>
      <c r="E294" s="24" t="e">
        <f t="shared" si="8"/>
        <v>#VALUE!</v>
      </c>
      <c r="F294" s="25"/>
      <c r="G294" s="26">
        <f t="shared" si="9"/>
        <v>0</v>
      </c>
    </row>
    <row r="295" spans="2:7">
      <c r="B295" s="22"/>
      <c r="C295" s="25"/>
      <c r="D295" s="25"/>
      <c r="E295" s="24">
        <f t="shared" si="8"/>
        <v>0</v>
      </c>
      <c r="F295" s="25"/>
      <c r="G295" s="26">
        <f t="shared" si="9"/>
        <v>0</v>
      </c>
    </row>
    <row r="296" spans="2:7">
      <c r="B296" s="22"/>
      <c r="C296" s="25"/>
      <c r="D296" s="25"/>
      <c r="E296" s="24">
        <f t="shared" si="8"/>
        <v>0</v>
      </c>
      <c r="F296" s="25"/>
      <c r="G296" s="26">
        <f t="shared" si="9"/>
        <v>0</v>
      </c>
    </row>
    <row r="297" spans="2:7">
      <c r="B297" s="22"/>
      <c r="C297" s="67"/>
      <c r="D297" s="25"/>
      <c r="E297" s="24">
        <f t="shared" si="8"/>
        <v>0</v>
      </c>
      <c r="F297" s="25"/>
      <c r="G297" s="26">
        <f t="shared" si="9"/>
        <v>0</v>
      </c>
    </row>
    <row r="298" spans="2:7">
      <c r="B298" s="22"/>
      <c r="C298" s="67"/>
      <c r="D298" s="25"/>
      <c r="E298" s="24" t="e">
        <f t="shared" si="8"/>
        <v>#VALUE!</v>
      </c>
      <c r="F298" s="25"/>
      <c r="G298" s="26">
        <f t="shared" si="9"/>
        <v>0</v>
      </c>
    </row>
    <row r="299" spans="2:7">
      <c r="B299" s="22"/>
      <c r="C299" s="25"/>
      <c r="D299" s="25"/>
      <c r="E299" s="24" t="e">
        <f t="shared" si="8"/>
        <v>#VALUE!</v>
      </c>
      <c r="F299" s="25"/>
      <c r="G299" s="26" t="e">
        <f t="shared" si="9"/>
        <v>#VALUE!</v>
      </c>
    </row>
    <row r="300" spans="2:7">
      <c r="B300" s="22"/>
      <c r="C300" s="25"/>
      <c r="D300" s="25"/>
      <c r="E300" s="24">
        <f t="shared" si="8"/>
        <v>0</v>
      </c>
      <c r="F300" s="25"/>
      <c r="G300" s="26">
        <f t="shared" si="9"/>
        <v>0</v>
      </c>
    </row>
    <row r="301" spans="2:7">
      <c r="B301" s="22"/>
      <c r="C301" s="25"/>
      <c r="D301" s="25"/>
      <c r="E301" s="24">
        <f t="shared" si="8"/>
        <v>432</v>
      </c>
      <c r="F301" s="25"/>
      <c r="G301" s="26">
        <f t="shared" si="9"/>
        <v>0</v>
      </c>
    </row>
    <row r="302" spans="2:7">
      <c r="B302" s="22"/>
      <c r="C302" s="25"/>
      <c r="D302" s="25"/>
      <c r="E302" s="24">
        <f t="shared" si="8"/>
        <v>346</v>
      </c>
      <c r="F302" s="25"/>
      <c r="G302" s="26">
        <f t="shared" si="9"/>
        <v>0</v>
      </c>
    </row>
    <row r="303" spans="2:7">
      <c r="B303" s="22"/>
      <c r="C303" s="67"/>
      <c r="D303" s="25"/>
      <c r="E303" s="24">
        <f t="shared" si="8"/>
        <v>0</v>
      </c>
      <c r="F303" s="25"/>
      <c r="G303" s="26">
        <f t="shared" si="9"/>
        <v>0</v>
      </c>
    </row>
    <row r="304" spans="2:7">
      <c r="B304" s="22"/>
      <c r="C304" s="25"/>
      <c r="D304" s="25"/>
      <c r="E304" s="24">
        <f t="shared" si="8"/>
        <v>229</v>
      </c>
      <c r="F304" s="25"/>
      <c r="G304" s="26">
        <f t="shared" si="9"/>
        <v>0</v>
      </c>
    </row>
    <row r="305" spans="2:7">
      <c r="B305" s="22"/>
      <c r="C305" s="25"/>
      <c r="D305" s="25"/>
      <c r="E305" s="24">
        <f t="shared" si="8"/>
        <v>495</v>
      </c>
      <c r="F305" s="25"/>
      <c r="G305" s="26">
        <f t="shared" si="9"/>
        <v>0</v>
      </c>
    </row>
    <row r="306" spans="2:7">
      <c r="B306" s="22"/>
      <c r="C306" s="25"/>
      <c r="D306" s="25"/>
      <c r="E306" s="24">
        <f t="shared" si="8"/>
        <v>0</v>
      </c>
      <c r="F306" s="25"/>
      <c r="G306" s="26">
        <f t="shared" si="9"/>
        <v>0</v>
      </c>
    </row>
    <row r="307" spans="2:7">
      <c r="B307" s="22"/>
      <c r="C307" s="25"/>
      <c r="D307" s="25"/>
      <c r="E307" s="24">
        <f t="shared" si="8"/>
        <v>12</v>
      </c>
      <c r="F307" s="25"/>
      <c r="G307" s="26">
        <f t="shared" si="9"/>
        <v>0</v>
      </c>
    </row>
    <row r="308" spans="2:7">
      <c r="B308" s="22"/>
      <c r="C308" s="25"/>
      <c r="D308" s="25"/>
      <c r="E308" s="24">
        <f t="shared" si="8"/>
        <v>167</v>
      </c>
      <c r="F308" s="25"/>
      <c r="G308" s="26">
        <f t="shared" si="9"/>
        <v>0</v>
      </c>
    </row>
    <row r="309" spans="2:7">
      <c r="B309" s="22"/>
      <c r="C309" s="67"/>
      <c r="D309" s="25"/>
      <c r="E309" s="24">
        <f t="shared" si="8"/>
        <v>0</v>
      </c>
      <c r="F309" s="25"/>
      <c r="G309" s="26">
        <f t="shared" si="9"/>
        <v>0</v>
      </c>
    </row>
    <row r="310" spans="2:7">
      <c r="B310" s="22"/>
      <c r="C310" s="25"/>
      <c r="D310" s="25"/>
      <c r="E310" s="24">
        <f t="shared" si="8"/>
        <v>35</v>
      </c>
      <c r="F310" s="25"/>
      <c r="G310" s="26">
        <f t="shared" si="9"/>
        <v>0</v>
      </c>
    </row>
    <row r="311" spans="2:7">
      <c r="B311" s="22"/>
      <c r="C311" s="25"/>
      <c r="D311" s="25"/>
      <c r="E311" s="24">
        <f t="shared" si="8"/>
        <v>158</v>
      </c>
      <c r="F311" s="25"/>
      <c r="G311" s="26">
        <f t="shared" si="9"/>
        <v>0</v>
      </c>
    </row>
    <row r="312" spans="2:7">
      <c r="B312" s="22"/>
      <c r="C312" s="25"/>
      <c r="D312" s="25"/>
      <c r="E312" s="24">
        <f t="shared" si="8"/>
        <v>0</v>
      </c>
      <c r="F312" s="25"/>
      <c r="G312" s="26">
        <f t="shared" si="9"/>
        <v>0</v>
      </c>
    </row>
    <row r="313" spans="2:7">
      <c r="B313" s="22"/>
      <c r="C313" s="25"/>
      <c r="D313" s="25"/>
      <c r="E313" s="24">
        <f>D207-C207</f>
        <v>0</v>
      </c>
      <c r="F313" s="25"/>
      <c r="G313" s="26">
        <f>E207*F207</f>
        <v>0</v>
      </c>
    </row>
    <row r="314" spans="2:7">
      <c r="B314" s="22"/>
      <c r="C314" s="25"/>
      <c r="D314" s="25"/>
      <c r="E314" s="24">
        <f>D207-C207</f>
        <v>0</v>
      </c>
      <c r="F314" s="25"/>
      <c r="G314" s="26">
        <f>E207*F207</f>
        <v>0</v>
      </c>
    </row>
    <row r="315" spans="2:7">
      <c r="B315" s="22"/>
      <c r="C315" s="25"/>
      <c r="D315" s="25"/>
      <c r="E315" s="24">
        <f>D207-C207</f>
        <v>0</v>
      </c>
      <c r="F315" s="25"/>
      <c r="G315" s="26">
        <f>E207*F207</f>
        <v>0</v>
      </c>
    </row>
    <row r="316" spans="2:7">
      <c r="B316" s="22"/>
      <c r="C316" s="25"/>
      <c r="D316" s="25"/>
      <c r="E316" s="24">
        <f>D207-C207</f>
        <v>0</v>
      </c>
      <c r="F316" s="25"/>
      <c r="G316" s="26">
        <f>E207*F207</f>
        <v>0</v>
      </c>
    </row>
    <row r="317" spans="2:7">
      <c r="B317" s="22"/>
      <c r="C317" s="25"/>
      <c r="D317" s="25"/>
      <c r="E317" s="24">
        <f>D207-C207</f>
        <v>0</v>
      </c>
      <c r="F317" s="25"/>
      <c r="G317" s="26">
        <f>E207*F207</f>
        <v>0</v>
      </c>
    </row>
    <row r="318" spans="2:7">
      <c r="B318" s="22"/>
      <c r="C318" s="25"/>
      <c r="D318" s="25"/>
      <c r="E318" s="24">
        <f>D207-C207</f>
        <v>0</v>
      </c>
      <c r="F318" s="25"/>
      <c r="G318" s="26">
        <f>E207*F207</f>
        <v>0</v>
      </c>
    </row>
    <row r="319" spans="2:7">
      <c r="B319" s="22"/>
      <c r="C319" s="25"/>
      <c r="D319" s="25"/>
      <c r="E319" s="24">
        <f>D207-C207</f>
        <v>0</v>
      </c>
      <c r="F319" s="25"/>
      <c r="G319" s="26">
        <f>E207*F207</f>
        <v>0</v>
      </c>
    </row>
    <row r="320" spans="2:7">
      <c r="B320" s="22"/>
      <c r="C320" s="25"/>
      <c r="D320" s="25"/>
      <c r="E320" s="24">
        <f>D207-C207</f>
        <v>0</v>
      </c>
      <c r="F320" s="25"/>
      <c r="G320" s="26">
        <f>E207*F207</f>
        <v>0</v>
      </c>
    </row>
    <row r="321" spans="2:7">
      <c r="B321" s="22"/>
      <c r="C321" s="25"/>
      <c r="D321" s="25"/>
      <c r="E321" s="24">
        <f>D207-C207</f>
        <v>0</v>
      </c>
      <c r="F321" s="25"/>
      <c r="G321" s="26">
        <f>E207*F207</f>
        <v>0</v>
      </c>
    </row>
    <row r="322" spans="2:7">
      <c r="B322" s="22"/>
      <c r="C322" s="25"/>
      <c r="D322" s="25"/>
      <c r="E322" s="24">
        <f>D207-C207</f>
        <v>0</v>
      </c>
      <c r="F322" s="25"/>
      <c r="G322" s="26">
        <f>E207*F207</f>
        <v>0</v>
      </c>
    </row>
    <row r="323" spans="2:7">
      <c r="B323" s="22"/>
      <c r="C323" s="25"/>
      <c r="D323" s="25"/>
      <c r="E323" s="24">
        <f>D207-C207</f>
        <v>0</v>
      </c>
      <c r="F323" s="25"/>
      <c r="G323" s="26">
        <f>E207*F207</f>
        <v>0</v>
      </c>
    </row>
    <row r="324" spans="2:7">
      <c r="B324" s="22"/>
      <c r="C324" s="25"/>
      <c r="D324" s="25"/>
      <c r="E324" s="24">
        <f>D207-C207</f>
        <v>0</v>
      </c>
      <c r="F324" s="25"/>
      <c r="G324" s="26">
        <f>E207*F207</f>
        <v>0</v>
      </c>
    </row>
    <row r="325" spans="2:7">
      <c r="B325" s="22"/>
      <c r="C325" s="25"/>
      <c r="D325" s="25"/>
      <c r="E325" s="24">
        <f>D207-C207</f>
        <v>0</v>
      </c>
      <c r="F325" s="25"/>
      <c r="G325" s="26">
        <f>E207*F207</f>
        <v>0</v>
      </c>
    </row>
    <row r="326" spans="2:7">
      <c r="B326" s="22"/>
      <c r="C326" s="25"/>
      <c r="D326" s="25"/>
      <c r="E326" s="24">
        <f>D207-C207</f>
        <v>0</v>
      </c>
      <c r="F326" s="25"/>
      <c r="G326" s="26">
        <f>E207*F207</f>
        <v>0</v>
      </c>
    </row>
    <row r="327" spans="2:7">
      <c r="B327" s="22"/>
      <c r="C327" s="25"/>
      <c r="D327" s="25"/>
      <c r="E327" s="24">
        <f>D207-C207</f>
        <v>0</v>
      </c>
      <c r="F327" s="25"/>
      <c r="G327" s="26">
        <f>E207*F207</f>
        <v>0</v>
      </c>
    </row>
    <row r="328" spans="2:7">
      <c r="B328" s="22"/>
      <c r="C328" s="25"/>
      <c r="D328" s="25"/>
      <c r="E328" s="24">
        <f>D207-C207</f>
        <v>0</v>
      </c>
      <c r="F328" s="25"/>
      <c r="G328" s="26">
        <f>E207*F207</f>
        <v>0</v>
      </c>
    </row>
    <row r="329" spans="2:7">
      <c r="B329" s="22"/>
      <c r="C329" s="25"/>
      <c r="D329" s="25"/>
      <c r="E329" s="24">
        <f>D207-C207</f>
        <v>0</v>
      </c>
      <c r="F329" s="25"/>
      <c r="G329" s="26">
        <f>E207*F207</f>
        <v>0</v>
      </c>
    </row>
    <row r="330" spans="2:7">
      <c r="B330" s="22"/>
      <c r="C330" s="25"/>
      <c r="D330" s="25"/>
      <c r="E330" s="24">
        <f>D207-C207</f>
        <v>0</v>
      </c>
      <c r="F330" s="25"/>
      <c r="G330" s="26">
        <f>E207*F207</f>
        <v>0</v>
      </c>
    </row>
    <row r="331" spans="2:7">
      <c r="B331" s="22"/>
      <c r="C331" s="25"/>
      <c r="D331" s="25"/>
      <c r="E331" s="24">
        <f>D207-C207</f>
        <v>0</v>
      </c>
      <c r="F331" s="25"/>
      <c r="G331" s="26">
        <f>E207*F207</f>
        <v>0</v>
      </c>
    </row>
    <row r="332" spans="2:7">
      <c r="B332" s="22"/>
      <c r="C332" s="25"/>
      <c r="D332" s="25"/>
      <c r="E332" s="24">
        <f>D207-C207</f>
        <v>0</v>
      </c>
      <c r="F332" s="25"/>
      <c r="G332" s="26">
        <f>E207*F207</f>
        <v>0</v>
      </c>
    </row>
    <row r="333" spans="2:7">
      <c r="B333" s="22"/>
      <c r="C333" s="25"/>
      <c r="D333" s="25"/>
      <c r="E333" s="24">
        <f>D207-C207</f>
        <v>0</v>
      </c>
      <c r="F333" s="25"/>
      <c r="G333" s="26">
        <f>E207*F207</f>
        <v>0</v>
      </c>
    </row>
    <row r="334" spans="2:7">
      <c r="B334" s="22"/>
      <c r="C334" s="25"/>
      <c r="D334" s="25"/>
      <c r="E334" s="24">
        <f>D207-C207</f>
        <v>0</v>
      </c>
      <c r="F334" s="25"/>
      <c r="G334" s="26">
        <f>E207*F207</f>
        <v>0</v>
      </c>
    </row>
    <row r="335" spans="2:7">
      <c r="B335" s="22"/>
      <c r="C335" s="25"/>
      <c r="D335" s="25"/>
      <c r="E335" s="24">
        <f>D207-C207</f>
        <v>0</v>
      </c>
      <c r="F335" s="25"/>
      <c r="G335" s="26">
        <f>E207*F207</f>
        <v>0</v>
      </c>
    </row>
    <row r="336" spans="2:7">
      <c r="B336" s="22"/>
      <c r="C336" s="25"/>
      <c r="D336" s="25"/>
      <c r="E336" s="68"/>
      <c r="F336" s="25"/>
      <c r="G336" s="48"/>
    </row>
    <row r="337" spans="2:7">
      <c r="B337" s="30" t="s">
        <v>31</v>
      </c>
      <c r="C337" s="31" t="s">
        <v>72</v>
      </c>
      <c r="D337" s="46"/>
      <c r="E337" s="33">
        <f>SUM(E185:E208)</f>
        <v>10464</v>
      </c>
      <c r="F337" s="46"/>
      <c r="G337" s="35">
        <f>SUM(G185:G208)</f>
        <v>13603200</v>
      </c>
    </row>
    <row r="338" spans="2:7">
      <c r="B338" s="40"/>
      <c r="C338" s="49"/>
      <c r="D338" s="25"/>
      <c r="E338" s="68"/>
      <c r="F338" s="25"/>
      <c r="G338" s="48"/>
    </row>
    <row r="339" spans="2:7">
      <c r="B339" s="40" t="s">
        <v>33</v>
      </c>
      <c r="C339" s="69" t="s">
        <v>73</v>
      </c>
      <c r="D339" s="25"/>
      <c r="E339" s="68"/>
      <c r="F339" s="25"/>
      <c r="G339" s="26"/>
    </row>
    <row r="340" spans="2:7">
      <c r="B340" s="40"/>
      <c r="C340" s="25"/>
      <c r="D340" s="25"/>
      <c r="E340" s="68"/>
      <c r="F340" s="25"/>
      <c r="G340" s="26"/>
    </row>
    <row r="341" spans="2:7">
      <c r="B341" s="40"/>
      <c r="C341" s="25"/>
      <c r="D341" s="25"/>
      <c r="E341" s="68"/>
      <c r="F341" s="25"/>
      <c r="G341" s="26"/>
    </row>
    <row r="342" spans="2:7">
      <c r="B342" s="40"/>
      <c r="C342" s="25"/>
      <c r="D342" s="25"/>
      <c r="E342" s="68"/>
      <c r="F342" s="25"/>
      <c r="G342" s="26"/>
    </row>
    <row r="343" spans="2:7">
      <c r="B343" s="40"/>
      <c r="C343" s="25"/>
      <c r="D343" s="25"/>
      <c r="E343" s="68"/>
      <c r="F343" s="25"/>
      <c r="G343" s="26"/>
    </row>
    <row r="344" spans="2:7">
      <c r="B344" s="40"/>
      <c r="C344" s="25"/>
      <c r="D344" s="25"/>
      <c r="E344" s="68"/>
      <c r="F344" s="25"/>
      <c r="G344" s="48"/>
    </row>
    <row r="345" spans="2:7" ht="18" customHeight="1">
      <c r="B345" s="30" t="s">
        <v>35</v>
      </c>
      <c r="C345" s="70" t="s">
        <v>74</v>
      </c>
      <c r="D345" s="46"/>
      <c r="E345" s="33">
        <f>E209-SUM(E211:E216)</f>
        <v>0</v>
      </c>
      <c r="F345" s="46"/>
      <c r="G345" s="35">
        <f>G209-SUM(G211:G216)</f>
        <v>0</v>
      </c>
    </row>
    <row r="346" spans="2:7">
      <c r="B346" s="40"/>
      <c r="C346" s="25"/>
      <c r="D346" s="25"/>
      <c r="E346" s="68"/>
      <c r="F346" s="25"/>
      <c r="G346" s="48"/>
    </row>
    <row r="347" spans="2:7">
      <c r="B347" s="40"/>
      <c r="C347" s="49" t="s">
        <v>75</v>
      </c>
      <c r="D347" s="25"/>
      <c r="E347" s="68"/>
      <c r="F347" s="25"/>
      <c r="G347" s="48"/>
    </row>
    <row r="348" spans="2:7">
      <c r="B348" s="40"/>
      <c r="C348" s="25"/>
      <c r="D348" s="25"/>
      <c r="E348" s="68"/>
      <c r="F348" s="25"/>
      <c r="G348" s="48"/>
    </row>
    <row r="349" spans="2:7">
      <c r="B349" s="40"/>
      <c r="D349" s="25"/>
      <c r="E349" s="68"/>
      <c r="F349" s="25"/>
      <c r="G349" s="48"/>
    </row>
    <row r="350" spans="2:7">
      <c r="B350" s="40"/>
      <c r="C350" s="71" t="s">
        <v>43</v>
      </c>
      <c r="D350" s="25"/>
      <c r="E350" s="68"/>
      <c r="F350" s="25"/>
      <c r="G350" s="48"/>
    </row>
    <row r="351" spans="2:7" ht="30" customHeight="1">
      <c r="B351" s="52" t="s">
        <v>48</v>
      </c>
      <c r="C351" s="72" t="s">
        <v>76</v>
      </c>
      <c r="D351" s="73"/>
      <c r="E351" s="33">
        <f>SUM(E220:E222)</f>
        <v>0</v>
      </c>
      <c r="F351" s="73"/>
      <c r="G351" s="35">
        <f>SUM(G220:G222)</f>
        <v>0</v>
      </c>
    </row>
    <row r="352" spans="2:7">
      <c r="B352" s="40"/>
      <c r="C352" s="25"/>
      <c r="D352" s="25"/>
      <c r="E352" s="68"/>
      <c r="F352" s="25"/>
      <c r="G352" s="48"/>
    </row>
    <row r="353" spans="2:10">
      <c r="B353" s="30" t="s">
        <v>50</v>
      </c>
      <c r="C353" s="31" t="s">
        <v>77</v>
      </c>
      <c r="D353" s="46"/>
      <c r="E353" s="33">
        <f>E217-E223</f>
        <v>0</v>
      </c>
      <c r="F353" s="46"/>
      <c r="G353" s="35">
        <f>G217-G223</f>
        <v>0</v>
      </c>
    </row>
    <row r="354" spans="2:10">
      <c r="B354" s="80"/>
      <c r="C354" s="75"/>
      <c r="D354" s="75"/>
      <c r="E354" s="76"/>
      <c r="F354" s="75"/>
      <c r="G354" s="77"/>
    </row>
    <row r="355" spans="2:10">
      <c r="B355" s="64"/>
      <c r="G355" s="65"/>
    </row>
    <row r="356" spans="2:10">
      <c r="B356" s="81"/>
      <c r="C356" s="82"/>
      <c r="D356" s="82"/>
      <c r="E356" s="82"/>
      <c r="F356" s="82"/>
      <c r="G356" s="83"/>
    </row>
    <row r="357" spans="2:10">
      <c r="B357" s="84" t="s">
        <v>78</v>
      </c>
      <c r="C357" s="85" t="s">
        <v>79</v>
      </c>
      <c r="D357" s="86">
        <v>45117</v>
      </c>
      <c r="E357" s="87"/>
      <c r="F357" s="87"/>
      <c r="G357" s="88"/>
    </row>
    <row r="358" spans="2:10">
      <c r="B358" s="64"/>
      <c r="G358" s="65"/>
    </row>
    <row r="359" spans="2:10">
      <c r="B359" s="64" t="s">
        <v>80</v>
      </c>
      <c r="C359" s="8"/>
      <c r="G359" s="89">
        <f>G112+G178+G225</f>
        <v>1133600</v>
      </c>
    </row>
    <row r="360" spans="2:10">
      <c r="B360" s="64"/>
      <c r="G360" s="65"/>
    </row>
    <row r="361" spans="2:10">
      <c r="B361" s="64" t="s">
        <v>81</v>
      </c>
      <c r="G361" s="90">
        <f>'9.Expenses for the Month'!E38</f>
        <v>0</v>
      </c>
    </row>
    <row r="362" spans="2:10">
      <c r="B362" s="64"/>
      <c r="G362" s="91"/>
      <c r="J362" s="39"/>
    </row>
    <row r="363" spans="2:10">
      <c r="B363" s="64" t="s">
        <v>82</v>
      </c>
      <c r="G363" s="89">
        <f>G231-G233</f>
        <v>0</v>
      </c>
    </row>
    <row r="364" spans="2:10">
      <c r="B364" s="64"/>
      <c r="G364" s="91"/>
    </row>
    <row r="365" spans="2:10">
      <c r="B365" s="64" t="s">
        <v>83</v>
      </c>
      <c r="G365" s="90">
        <f>'4.Lodgement Sheet'!T172</f>
        <v>0</v>
      </c>
    </row>
    <row r="366" spans="2:10">
      <c r="B366" s="64"/>
      <c r="G366" s="92"/>
    </row>
    <row r="367" spans="2:10">
      <c r="B367" s="64" t="s">
        <v>84</v>
      </c>
      <c r="C367" s="8"/>
      <c r="D367" s="8"/>
      <c r="E367" s="93"/>
      <c r="G367" s="90">
        <f>'4.Lodgement Sheet'!Q172</f>
        <v>59370487</v>
      </c>
    </row>
    <row r="368" spans="2:10">
      <c r="B368" s="64"/>
      <c r="G368" s="91"/>
    </row>
    <row r="369" spans="2:11">
      <c r="B369" s="64" t="s">
        <v>85</v>
      </c>
      <c r="G369" s="90">
        <f>'Customers'' Ledger'!C43</f>
        <v>0</v>
      </c>
    </row>
    <row r="370" spans="2:11">
      <c r="B370" s="64"/>
      <c r="G370" s="91"/>
    </row>
    <row r="371" spans="2:11">
      <c r="B371" s="64" t="s">
        <v>86</v>
      </c>
      <c r="G371" s="90">
        <f>'Customers'' Ledger'!J43</f>
        <v>0</v>
      </c>
    </row>
    <row r="372" spans="2:11">
      <c r="B372" s="64"/>
      <c r="G372" s="91"/>
    </row>
    <row r="373" spans="2:11">
      <c r="B373" s="64" t="s">
        <v>87</v>
      </c>
      <c r="G373" s="94">
        <f>(G237+G239+G241-G243)-G235</f>
        <v>0</v>
      </c>
      <c r="K373" s="93"/>
    </row>
    <row r="374" spans="2:11">
      <c r="B374" s="84"/>
      <c r="C374" s="87"/>
      <c r="D374" s="87"/>
      <c r="E374" s="87"/>
      <c r="F374" s="87"/>
      <c r="G374" s="88"/>
    </row>
    <row r="377" spans="2:11">
      <c r="G377" s="95"/>
    </row>
  </sheetData>
  <sheetProtection algorithmName="SHA-512" hashValue="r104KJhmtgndoJVJNM6+ejunS1vtlFFC4CI068gN+ZknjMtQjETCRD6H0/1KbvyntgpJb8rVKmo1K5/hsWq9EQ==" saltValue="6v3KKkYXN/zxqOHBv4LmTw==" spinCount="100000" sheet="1" objects="1" scenarios="1"/>
  <mergeCells count="5">
    <mergeCell ref="D3:E3"/>
    <mergeCell ref="C5:F5"/>
    <mergeCell ref="C7:D7"/>
    <mergeCell ref="C193:D193"/>
    <mergeCell ref="C287:D287"/>
  </mergeCells>
  <pageMargins left="0.7" right="0.7" top="0.75" bottom="0.75" header="0.3" footer="0.3"/>
  <pageSetup scale="18" orientation="portrait" useFirstPageNumber="1"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2:J82"/>
  <sheetViews>
    <sheetView showGridLines="0" view="pageBreakPreview" zoomScaleNormal="100" workbookViewId="0">
      <selection activeCell="C66" sqref="C66"/>
    </sheetView>
  </sheetViews>
  <sheetFormatPr defaultColWidth="9.28515625" defaultRowHeight="15.75" customHeight="1"/>
  <cols>
    <col min="1" max="1" width="9.28515625" style="96" customWidth="1"/>
    <col min="2" max="2" width="6.28515625" style="96" customWidth="1"/>
    <col min="3" max="3" width="73" style="96" customWidth="1"/>
    <col min="4" max="4" width="31.28515625" style="96" customWidth="1"/>
    <col min="5" max="9" width="9.28515625" style="96" customWidth="1"/>
    <col min="10" max="10" width="13.28515625" style="96" customWidth="1"/>
    <col min="11" max="11" width="9.28515625" style="96" customWidth="1"/>
    <col min="12" max="16384" width="9.28515625" style="96"/>
  </cols>
  <sheetData>
    <row r="2" spans="2:10" ht="18.75" customHeight="1">
      <c r="B2" s="97"/>
      <c r="C2" s="98" t="s">
        <v>88</v>
      </c>
      <c r="D2" s="99"/>
    </row>
    <row r="3" spans="2:10" ht="18.75" customHeight="1">
      <c r="B3" s="97"/>
      <c r="C3" s="98" t="s">
        <v>89</v>
      </c>
      <c r="D3" s="100"/>
    </row>
    <row r="4" spans="2:10">
      <c r="B4" s="97"/>
      <c r="C4" s="101"/>
      <c r="D4" s="97"/>
    </row>
    <row r="5" spans="2:10" ht="16.5" customHeight="1">
      <c r="B5" s="97"/>
      <c r="C5" s="102"/>
      <c r="D5" s="103"/>
    </row>
    <row r="6" spans="2:10" ht="25.5" customHeight="1">
      <c r="B6" s="97"/>
      <c r="C6" s="104" t="s">
        <v>90</v>
      </c>
      <c r="D6" s="105" t="s">
        <v>91</v>
      </c>
    </row>
    <row r="7" spans="2:10">
      <c r="B7" s="97"/>
      <c r="C7" s="106" t="s">
        <v>92</v>
      </c>
      <c r="D7" s="107">
        <v>43950</v>
      </c>
    </row>
    <row r="8" spans="2:10">
      <c r="B8" s="97"/>
      <c r="C8" s="106"/>
      <c r="D8" s="108"/>
    </row>
    <row r="9" spans="2:10">
      <c r="B9" s="97"/>
      <c r="C9" s="106" t="s">
        <v>93</v>
      </c>
      <c r="D9" s="109">
        <v>44600</v>
      </c>
      <c r="J9" s="110"/>
    </row>
    <row r="10" spans="2:10">
      <c r="B10" s="97"/>
      <c r="C10" s="106"/>
      <c r="D10" s="111"/>
    </row>
    <row r="11" spans="2:10">
      <c r="B11" s="97"/>
      <c r="C11" s="106" t="s">
        <v>94</v>
      </c>
      <c r="D11" s="107">
        <v>88550</v>
      </c>
    </row>
    <row r="12" spans="2:10">
      <c r="B12" s="97"/>
      <c r="C12" s="106"/>
      <c r="D12" s="111"/>
    </row>
    <row r="13" spans="2:10">
      <c r="B13" s="97"/>
      <c r="C13" s="106" t="s">
        <v>95</v>
      </c>
      <c r="D13" s="112">
        <v>20500</v>
      </c>
    </row>
    <row r="14" spans="2:10">
      <c r="B14" s="97"/>
      <c r="C14" s="106"/>
      <c r="D14" s="112"/>
    </row>
    <row r="15" spans="2:10">
      <c r="B15" s="97"/>
      <c r="C15" s="106" t="s">
        <v>96</v>
      </c>
      <c r="D15" s="112">
        <v>68100</v>
      </c>
    </row>
    <row r="16" spans="2:10">
      <c r="B16" s="97"/>
      <c r="C16" s="106"/>
      <c r="D16" s="111"/>
    </row>
    <row r="17" spans="2:4">
      <c r="B17" s="97"/>
      <c r="C17" s="106" t="s">
        <v>97</v>
      </c>
      <c r="D17" s="113">
        <v>68455</v>
      </c>
    </row>
    <row r="18" spans="2:4">
      <c r="B18" s="97"/>
      <c r="C18" s="106"/>
      <c r="D18" s="114"/>
    </row>
    <row r="19" spans="2:4">
      <c r="B19" s="97"/>
      <c r="C19" s="106" t="s">
        <v>98</v>
      </c>
      <c r="D19" s="112">
        <v>355</v>
      </c>
    </row>
    <row r="20" spans="2:4">
      <c r="B20" s="97"/>
      <c r="C20" s="115"/>
      <c r="D20" s="116"/>
    </row>
    <row r="21" spans="2:4">
      <c r="B21" s="97"/>
      <c r="C21" s="117"/>
      <c r="D21" s="118"/>
    </row>
    <row r="22" spans="2:4">
      <c r="B22" s="97"/>
      <c r="C22" s="117"/>
      <c r="D22" s="119"/>
    </row>
    <row r="23" spans="2:4">
      <c r="B23" s="97"/>
      <c r="C23" s="120" t="s">
        <v>99</v>
      </c>
      <c r="D23" s="121">
        <v>0</v>
      </c>
    </row>
    <row r="24" spans="2:4">
      <c r="B24" s="97"/>
      <c r="C24" s="120"/>
      <c r="D24" s="122"/>
    </row>
    <row r="25" spans="2:4">
      <c r="B25" s="97"/>
      <c r="C25" s="120" t="s">
        <v>100</v>
      </c>
      <c r="D25" s="121">
        <v>44600</v>
      </c>
    </row>
    <row r="26" spans="2:4">
      <c r="B26" s="97"/>
      <c r="C26" s="120"/>
      <c r="D26" s="122"/>
    </row>
    <row r="27" spans="2:4">
      <c r="B27" s="97"/>
      <c r="C27" s="120" t="s">
        <v>101</v>
      </c>
      <c r="D27" s="123">
        <v>44600</v>
      </c>
    </row>
    <row r="28" spans="2:4">
      <c r="B28" s="97"/>
      <c r="C28" s="124"/>
      <c r="D28" s="125"/>
    </row>
    <row r="29" spans="2:4">
      <c r="B29" s="97"/>
      <c r="C29" s="117"/>
      <c r="D29" s="118"/>
    </row>
    <row r="30" spans="2:4">
      <c r="C30" s="126"/>
      <c r="D30" s="127"/>
    </row>
    <row r="31" spans="2:4">
      <c r="C31" s="102"/>
      <c r="D31" s="128"/>
    </row>
    <row r="32" spans="2:4" ht="18.75" customHeight="1">
      <c r="C32" s="104" t="s">
        <v>102</v>
      </c>
      <c r="D32" s="129" t="s">
        <v>91</v>
      </c>
    </row>
    <row r="33" spans="3:7">
      <c r="C33" s="106" t="s">
        <v>92</v>
      </c>
      <c r="D33" s="107">
        <v>10750</v>
      </c>
    </row>
    <row r="34" spans="3:7">
      <c r="C34" s="106"/>
      <c r="D34" s="108"/>
    </row>
    <row r="35" spans="3:7">
      <c r="C35" s="106" t="s">
        <v>93</v>
      </c>
      <c r="D35" s="109">
        <v>14800</v>
      </c>
    </row>
    <row r="36" spans="3:7">
      <c r="C36" s="106"/>
      <c r="D36" s="111"/>
    </row>
    <row r="37" spans="3:7">
      <c r="C37" s="106" t="s">
        <v>94</v>
      </c>
      <c r="D37" s="107">
        <v>25550</v>
      </c>
    </row>
    <row r="38" spans="3:7">
      <c r="C38" s="106"/>
      <c r="D38" s="111"/>
    </row>
    <row r="39" spans="3:7">
      <c r="C39" s="106" t="s">
        <v>95</v>
      </c>
      <c r="D39" s="112">
        <v>34400</v>
      </c>
      <c r="G39" s="130"/>
    </row>
    <row r="40" spans="3:7">
      <c r="C40" s="106"/>
      <c r="D40" s="112"/>
    </row>
    <row r="41" spans="3:7">
      <c r="C41" s="106" t="s">
        <v>96</v>
      </c>
      <c r="D41" s="112">
        <v>-20000</v>
      </c>
    </row>
    <row r="42" spans="3:7">
      <c r="C42" s="106"/>
      <c r="D42" s="111"/>
    </row>
    <row r="43" spans="3:7">
      <c r="C43" s="106" t="s">
        <v>97</v>
      </c>
      <c r="D43" s="113">
        <v>5770</v>
      </c>
    </row>
    <row r="44" spans="3:7">
      <c r="C44" s="106"/>
      <c r="D44" s="114"/>
    </row>
    <row r="45" spans="3:7">
      <c r="C45" s="106" t="s">
        <v>98</v>
      </c>
      <c r="D45" s="112">
        <v>25770</v>
      </c>
    </row>
    <row r="46" spans="3:7">
      <c r="C46" s="115"/>
      <c r="D46" s="116"/>
    </row>
    <row r="47" spans="3:7">
      <c r="C47" s="117"/>
      <c r="D47" s="118"/>
    </row>
    <row r="48" spans="3:7">
      <c r="C48" s="117"/>
      <c r="D48" s="119"/>
    </row>
    <row r="49" spans="3:4">
      <c r="C49" s="120" t="s">
        <v>99</v>
      </c>
      <c r="D49" s="121">
        <v>0</v>
      </c>
    </row>
    <row r="50" spans="3:4">
      <c r="C50" s="120"/>
      <c r="D50" s="121"/>
    </row>
    <row r="51" spans="3:4">
      <c r="C51" s="120" t="s">
        <v>100</v>
      </c>
      <c r="D51" s="121">
        <v>14800</v>
      </c>
    </row>
    <row r="52" spans="3:4">
      <c r="C52" s="120"/>
      <c r="D52" s="122"/>
    </row>
    <row r="53" spans="3:4">
      <c r="C53" s="120" t="s">
        <v>101</v>
      </c>
      <c r="D53" s="123">
        <v>14800</v>
      </c>
    </row>
    <row r="54" spans="3:4">
      <c r="C54" s="126"/>
      <c r="D54" s="127"/>
    </row>
    <row r="55" spans="3:4">
      <c r="C55" s="126"/>
      <c r="D55" s="127"/>
    </row>
    <row r="56" spans="3:4">
      <c r="C56" s="126"/>
      <c r="D56" s="127"/>
    </row>
    <row r="57" spans="3:4">
      <c r="C57" s="126"/>
      <c r="D57" s="127"/>
    </row>
    <row r="58" spans="3:4">
      <c r="C58" s="102"/>
      <c r="D58" s="128"/>
    </row>
    <row r="59" spans="3:4" ht="24" customHeight="1">
      <c r="C59" s="104" t="s">
        <v>103</v>
      </c>
      <c r="D59" s="129" t="s">
        <v>91</v>
      </c>
    </row>
    <row r="60" spans="3:4">
      <c r="C60" s="106" t="s">
        <v>92</v>
      </c>
      <c r="D60" s="107">
        <v>1100</v>
      </c>
    </row>
    <row r="61" spans="3:4">
      <c r="C61" s="106"/>
      <c r="D61" s="108"/>
    </row>
    <row r="62" spans="3:4">
      <c r="C62" s="106" t="s">
        <v>93</v>
      </c>
      <c r="D62" s="109">
        <v>0</v>
      </c>
    </row>
    <row r="63" spans="3:4">
      <c r="C63" s="106"/>
      <c r="D63" s="111"/>
    </row>
    <row r="64" spans="3:4">
      <c r="C64" s="106" t="s">
        <v>94</v>
      </c>
      <c r="D64" s="107">
        <v>1100</v>
      </c>
    </row>
    <row r="65" spans="3:4">
      <c r="C65" s="106"/>
      <c r="D65" s="111"/>
    </row>
    <row r="66" spans="3:4">
      <c r="C66" s="106" t="s">
        <v>95</v>
      </c>
      <c r="D66" s="112">
        <v>1100</v>
      </c>
    </row>
    <row r="67" spans="3:4">
      <c r="C67" s="106"/>
      <c r="D67" s="112"/>
    </row>
    <row r="68" spans="3:4">
      <c r="C68" s="106" t="s">
        <v>96</v>
      </c>
      <c r="D68" s="112">
        <v>0</v>
      </c>
    </row>
    <row r="69" spans="3:4">
      <c r="C69" s="106" t="s">
        <v>104</v>
      </c>
      <c r="D69" s="111"/>
    </row>
    <row r="70" spans="3:4">
      <c r="C70" s="106" t="s">
        <v>97</v>
      </c>
      <c r="D70" s="113">
        <v>0</v>
      </c>
    </row>
    <row r="71" spans="3:4">
      <c r="C71" s="106"/>
      <c r="D71" s="114"/>
    </row>
    <row r="72" spans="3:4">
      <c r="C72" s="106" t="s">
        <v>98</v>
      </c>
      <c r="D72" s="112">
        <v>0</v>
      </c>
    </row>
    <row r="73" spans="3:4">
      <c r="C73" s="115"/>
      <c r="D73" s="116"/>
    </row>
    <row r="74" spans="3:4">
      <c r="C74" s="117"/>
      <c r="D74" s="118"/>
    </row>
    <row r="75" spans="3:4">
      <c r="C75" s="117"/>
      <c r="D75" s="119"/>
    </row>
    <row r="76" spans="3:4">
      <c r="C76" s="120" t="s">
        <v>99</v>
      </c>
      <c r="D76" s="121">
        <v>0</v>
      </c>
    </row>
    <row r="77" spans="3:4">
      <c r="C77" s="120"/>
      <c r="D77" s="121"/>
    </row>
    <row r="78" spans="3:4">
      <c r="C78" s="120" t="s">
        <v>100</v>
      </c>
      <c r="D78" s="121">
        <v>0</v>
      </c>
    </row>
    <row r="79" spans="3:4">
      <c r="C79" s="120"/>
      <c r="D79" s="121"/>
    </row>
    <row r="80" spans="3:4">
      <c r="C80" s="120" t="s">
        <v>101</v>
      </c>
      <c r="D80" s="123">
        <v>0</v>
      </c>
    </row>
    <row r="81" spans="3:4">
      <c r="C81" s="126"/>
      <c r="D81" s="127"/>
    </row>
    <row r="82" spans="3:4">
      <c r="C82" s="131"/>
      <c r="D82" s="132"/>
    </row>
  </sheetData>
  <sheetProtection algorithmName="SHA-512" hashValue="8z7x8wO5KyeVeBrIipuWUh7nqyp6xMnU0Z2umfdyhEU4wlyuIYWb56TXarFTwgOJK/zqte3i5hR0GkGZEDsmdQ==" saltValue="VzZgbAUmN+ltejm083CfkQ==" spinCount="100000" sheet="1" objects="1" scenarios="1"/>
  <pageMargins left="0.25" right="0.25" top="0.75" bottom="0.75" header="0.3" footer="0.3"/>
  <pageSetup scale="38" orientation="landscape" useFirstPageNumber="1"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174"/>
  <sheetViews>
    <sheetView showGridLines="0" view="pageBreakPreview" zoomScale="85" zoomScaleNormal="100" workbookViewId="0">
      <pane xSplit="2" ySplit="9" topLeftCell="C10" activePane="bottomRight" state="frozen"/>
      <selection pane="topRight"/>
      <selection pane="bottomLeft"/>
      <selection pane="bottomRight" activeCell="A14" sqref="A14"/>
    </sheetView>
  </sheetViews>
  <sheetFormatPr defaultColWidth="9.28515625" defaultRowHeight="15"/>
  <cols>
    <col min="1" max="1" width="6.7109375" style="133" customWidth="1"/>
    <col min="2" max="2" width="18.42578125" style="133" customWidth="1"/>
    <col min="3" max="3" width="17.42578125" style="133" customWidth="1"/>
    <col min="4" max="4" width="4.28515625" style="133" customWidth="1"/>
    <col min="5" max="5" width="14.5703125" style="133" customWidth="1"/>
    <col min="6" max="6" width="3.28515625" style="133" customWidth="1"/>
    <col min="7" max="7" width="14.28515625" style="133" customWidth="1"/>
    <col min="8" max="8" width="3" style="133" customWidth="1"/>
    <col min="9" max="9" width="15.28515625" style="133" customWidth="1"/>
    <col min="10" max="11" width="13.42578125" style="133" customWidth="1"/>
    <col min="12" max="13" width="14.7109375" style="133" customWidth="1"/>
    <col min="14" max="14" width="16.7109375" style="133" customWidth="1"/>
    <col min="15" max="15" width="17.7109375" style="133" customWidth="1"/>
    <col min="16" max="16" width="16.5703125" style="133" customWidth="1"/>
    <col min="17" max="17" width="16.7109375" style="133" customWidth="1"/>
    <col min="18" max="18" width="12.28515625" style="133" customWidth="1"/>
    <col min="19" max="19" width="24.42578125" style="133" customWidth="1"/>
    <col min="20" max="20" width="22.28515625" style="133" customWidth="1"/>
    <col min="21" max="21" width="11.28515625" style="133" customWidth="1"/>
    <col min="22" max="22" width="19.7109375" style="133" customWidth="1"/>
    <col min="23" max="23" width="3.5703125" style="133" customWidth="1"/>
    <col min="24" max="24" width="9.28515625" style="133" customWidth="1"/>
    <col min="25" max="16384" width="9.28515625" style="133"/>
  </cols>
  <sheetData>
    <row r="2" spans="2:26">
      <c r="B2" s="134" t="s">
        <v>105</v>
      </c>
      <c r="C2" s="134" t="s">
        <v>12</v>
      </c>
      <c r="D2" s="135"/>
      <c r="E2" s="135"/>
      <c r="F2" s="135"/>
      <c r="G2" s="135"/>
      <c r="H2" s="135"/>
      <c r="I2" s="135"/>
      <c r="J2" s="135"/>
      <c r="K2" s="135"/>
      <c r="L2" s="135"/>
      <c r="M2" s="135"/>
      <c r="N2" s="135"/>
      <c r="O2" s="135"/>
      <c r="P2" s="135"/>
      <c r="Q2" s="135"/>
      <c r="R2" s="135"/>
      <c r="S2" s="135"/>
      <c r="T2" s="135"/>
      <c r="U2" s="135"/>
      <c r="V2" s="135"/>
    </row>
    <row r="3" spans="2:26">
      <c r="B3" s="134" t="s">
        <v>106</v>
      </c>
      <c r="C3" s="134"/>
      <c r="D3" s="135"/>
      <c r="E3" s="135"/>
      <c r="F3" s="135"/>
      <c r="G3" s="135"/>
      <c r="H3" s="135"/>
      <c r="I3" s="135"/>
      <c r="J3" s="135"/>
      <c r="K3" s="135"/>
      <c r="L3" s="135"/>
      <c r="M3" s="135"/>
      <c r="N3" s="135"/>
      <c r="O3" s="135"/>
      <c r="P3" s="135"/>
      <c r="Q3" s="135"/>
      <c r="R3" s="135"/>
      <c r="S3" s="136"/>
      <c r="T3" s="135"/>
      <c r="U3" s="135"/>
      <c r="V3" s="135"/>
    </row>
    <row r="4" spans="2:26" ht="14.25" customHeight="1">
      <c r="B4" s="134" t="s">
        <v>107</v>
      </c>
      <c r="C4" s="134" t="s">
        <v>108</v>
      </c>
      <c r="D4" s="135"/>
      <c r="E4" s="135"/>
      <c r="F4" s="135"/>
      <c r="G4" s="135"/>
      <c r="H4" s="135"/>
      <c r="I4" s="135"/>
      <c r="J4" s="135"/>
      <c r="K4" s="135"/>
      <c r="L4" s="135"/>
      <c r="M4" s="135"/>
      <c r="N4" s="135"/>
      <c r="O4" s="135"/>
      <c r="P4" s="135"/>
      <c r="Q4" s="136"/>
      <c r="R4" s="135"/>
      <c r="S4" s="135"/>
      <c r="T4" s="135"/>
      <c r="U4" s="135"/>
      <c r="V4" s="135"/>
    </row>
    <row r="5" spans="2:26">
      <c r="D5" s="134"/>
      <c r="E5" s="134"/>
      <c r="F5" s="134"/>
      <c r="G5" s="134"/>
      <c r="H5" s="134"/>
      <c r="I5" s="134"/>
      <c r="J5" s="134"/>
      <c r="K5" s="134"/>
      <c r="L5" s="134"/>
      <c r="M5" s="135"/>
      <c r="N5" s="134"/>
      <c r="O5" s="134"/>
      <c r="P5" s="134"/>
      <c r="Q5" s="134"/>
      <c r="R5" s="134"/>
      <c r="S5" s="134"/>
      <c r="T5" s="135"/>
      <c r="U5" s="135"/>
      <c r="V5" s="135"/>
    </row>
    <row r="6" spans="2:26">
      <c r="B6" s="134"/>
      <c r="C6" s="134"/>
      <c r="D6" s="134"/>
      <c r="E6" s="134"/>
      <c r="F6" s="134"/>
      <c r="G6" s="134"/>
      <c r="H6" s="134"/>
      <c r="I6" s="134"/>
      <c r="J6" s="134"/>
      <c r="K6" s="134"/>
      <c r="L6" s="134"/>
      <c r="M6" s="134"/>
      <c r="N6" s="134"/>
      <c r="O6" s="134"/>
      <c r="P6" s="134"/>
      <c r="Q6" s="137"/>
      <c r="R6" s="134"/>
      <c r="S6" s="134"/>
      <c r="T6" s="135"/>
      <c r="U6" s="135"/>
      <c r="V6" s="135"/>
    </row>
    <row r="7" spans="2:26">
      <c r="B7" s="134"/>
      <c r="C7" s="134"/>
      <c r="D7" s="134"/>
      <c r="E7" s="134"/>
      <c r="F7" s="134"/>
      <c r="G7" s="134"/>
      <c r="H7" s="134"/>
      <c r="I7" s="134"/>
      <c r="J7" s="134"/>
      <c r="K7" s="134"/>
      <c r="L7" s="134"/>
      <c r="M7" s="134"/>
      <c r="N7" s="134"/>
      <c r="O7" s="134"/>
      <c r="P7" s="134"/>
      <c r="Q7" s="137"/>
      <c r="R7" s="134"/>
      <c r="S7" s="134"/>
      <c r="T7" s="135"/>
      <c r="U7" s="135"/>
      <c r="V7" s="135"/>
    </row>
    <row r="8" spans="2:26">
      <c r="B8" s="138" t="s">
        <v>109</v>
      </c>
      <c r="C8" s="139" t="s">
        <v>110</v>
      </c>
      <c r="D8" s="139"/>
      <c r="E8" s="139" t="s">
        <v>111</v>
      </c>
      <c r="F8" s="139"/>
      <c r="G8" s="139" t="s">
        <v>112</v>
      </c>
      <c r="H8" s="140"/>
      <c r="I8" s="404" t="s">
        <v>113</v>
      </c>
      <c r="J8" s="404"/>
      <c r="K8" s="404"/>
      <c r="L8" s="404"/>
      <c r="M8" s="404"/>
      <c r="N8" s="404"/>
      <c r="O8" s="404"/>
      <c r="P8" s="405"/>
      <c r="Q8" s="142" t="s">
        <v>114</v>
      </c>
      <c r="R8" s="143" t="s">
        <v>115</v>
      </c>
      <c r="S8" s="144" t="s">
        <v>116</v>
      </c>
      <c r="T8" s="142" t="s">
        <v>117</v>
      </c>
      <c r="U8" s="142" t="s">
        <v>118</v>
      </c>
      <c r="V8" s="142" t="s">
        <v>119</v>
      </c>
      <c r="W8" s="406" t="s">
        <v>120</v>
      </c>
      <c r="X8" s="407"/>
      <c r="Y8" s="407"/>
      <c r="Z8" s="407"/>
    </row>
    <row r="9" spans="2:26">
      <c r="B9" s="145"/>
      <c r="C9" s="146"/>
      <c r="D9" s="146"/>
      <c r="E9" s="146"/>
      <c r="F9" s="146"/>
      <c r="G9" s="146"/>
      <c r="H9" s="146"/>
      <c r="I9" s="146" t="s">
        <v>121</v>
      </c>
      <c r="J9" s="146" t="s">
        <v>122</v>
      </c>
      <c r="K9" s="146" t="s">
        <v>121</v>
      </c>
      <c r="L9" s="146"/>
      <c r="M9" s="146"/>
      <c r="N9" s="146"/>
      <c r="O9" s="146"/>
      <c r="P9" s="146"/>
      <c r="Q9" s="146" t="s">
        <v>123</v>
      </c>
      <c r="R9" s="146"/>
      <c r="S9" s="146"/>
      <c r="T9" s="146"/>
      <c r="U9" s="146"/>
      <c r="V9" s="147"/>
    </row>
    <row r="10" spans="2:26">
      <c r="B10" s="145"/>
      <c r="C10" s="146"/>
      <c r="D10" s="146"/>
      <c r="E10" s="146"/>
      <c r="F10" s="146"/>
      <c r="G10" s="146"/>
      <c r="H10" s="146"/>
      <c r="I10" s="146"/>
      <c r="J10" s="146"/>
      <c r="K10" s="146"/>
      <c r="L10" s="146"/>
      <c r="M10" s="146"/>
      <c r="N10" s="146"/>
      <c r="O10" s="146"/>
      <c r="P10" s="146"/>
      <c r="Q10" s="148"/>
      <c r="R10" s="146"/>
      <c r="S10" s="146"/>
      <c r="T10" s="146"/>
      <c r="U10" s="146"/>
      <c r="V10" s="147"/>
    </row>
    <row r="11" spans="2:26">
      <c r="B11" s="149">
        <v>46081.958333333328</v>
      </c>
      <c r="C11" s="150">
        <f>E11+G11+Q11</f>
        <v>4134620</v>
      </c>
      <c r="D11" s="151"/>
      <c r="E11" s="152">
        <v>588104</v>
      </c>
      <c r="F11" s="151"/>
      <c r="G11" s="153"/>
      <c r="H11" s="151"/>
      <c r="I11" s="152">
        <v>1091855</v>
      </c>
      <c r="J11" s="152">
        <v>909300</v>
      </c>
      <c r="K11" s="152">
        <v>1545361</v>
      </c>
      <c r="L11" s="152"/>
      <c r="M11" s="152"/>
      <c r="N11" s="152"/>
      <c r="O11" s="152"/>
      <c r="P11" s="152"/>
      <c r="Q11" s="154">
        <f>I11+J11+K11+L11+M11+N11+O11+P11</f>
        <v>3546516</v>
      </c>
      <c r="R11" s="152"/>
      <c r="S11" s="155">
        <f>E11-R11</f>
        <v>588104</v>
      </c>
      <c r="T11" s="156"/>
      <c r="U11" s="157"/>
      <c r="V11" s="157"/>
    </row>
    <row r="12" spans="2:26">
      <c r="B12" s="158"/>
      <c r="C12" s="150">
        <f t="shared" ref="C12:C75" si="0">E12+G12+Q12</f>
        <v>0</v>
      </c>
      <c r="D12" s="159"/>
      <c r="E12" s="160"/>
      <c r="F12" s="159"/>
      <c r="G12" s="159"/>
      <c r="H12" s="159"/>
      <c r="I12" s="161"/>
      <c r="J12" s="161"/>
      <c r="K12" s="161"/>
      <c r="L12" s="161"/>
      <c r="M12" s="161"/>
      <c r="N12" s="161"/>
      <c r="O12" s="161"/>
      <c r="P12" s="161"/>
      <c r="Q12" s="154">
        <f t="shared" ref="Q12:Q75" si="1">I12+J12+K12+L12+M12+N12+O12+P12</f>
        <v>0</v>
      </c>
      <c r="R12" s="160"/>
      <c r="S12" s="155">
        <f t="shared" ref="S12:S75" si="2">E12-R12</f>
        <v>0</v>
      </c>
      <c r="T12" s="160">
        <v>0</v>
      </c>
      <c r="U12" s="162"/>
      <c r="V12" s="162">
        <v>46081.958333333328</v>
      </c>
    </row>
    <row r="13" spans="2:26">
      <c r="B13" s="158"/>
      <c r="C13" s="150">
        <f t="shared" si="0"/>
        <v>0</v>
      </c>
      <c r="D13" s="159"/>
      <c r="E13" s="160"/>
      <c r="F13" s="159"/>
      <c r="G13" s="159"/>
      <c r="H13" s="159"/>
      <c r="I13" s="161"/>
      <c r="J13" s="161"/>
      <c r="K13" s="161"/>
      <c r="L13" s="161"/>
      <c r="M13" s="161"/>
      <c r="N13" s="161"/>
      <c r="O13" s="161"/>
      <c r="P13" s="161"/>
      <c r="Q13" s="154">
        <f t="shared" si="1"/>
        <v>0</v>
      </c>
      <c r="R13" s="160"/>
      <c r="S13" s="155">
        <f t="shared" si="2"/>
        <v>0</v>
      </c>
      <c r="T13" s="160"/>
      <c r="U13" s="163"/>
      <c r="V13" s="162"/>
    </row>
    <row r="14" spans="2:26">
      <c r="B14" s="158">
        <v>46082.958333333328</v>
      </c>
      <c r="C14" s="150">
        <f t="shared" si="0"/>
        <v>4443440</v>
      </c>
      <c r="D14" s="159"/>
      <c r="E14" s="160">
        <v>152735</v>
      </c>
      <c r="F14" s="159"/>
      <c r="G14" s="159"/>
      <c r="H14" s="159"/>
      <c r="I14" s="161">
        <v>1344855</v>
      </c>
      <c r="J14" s="161">
        <v>1415940</v>
      </c>
      <c r="K14" s="161">
        <v>1529910</v>
      </c>
      <c r="L14" s="161"/>
      <c r="M14" s="161"/>
      <c r="N14" s="161"/>
      <c r="O14" s="161"/>
      <c r="P14" s="161"/>
      <c r="Q14" s="154">
        <f t="shared" si="1"/>
        <v>4290705</v>
      </c>
      <c r="R14" s="160"/>
      <c r="S14" s="155">
        <f t="shared" si="2"/>
        <v>152735</v>
      </c>
      <c r="T14" s="160"/>
      <c r="U14" s="163"/>
      <c r="V14" s="162"/>
    </row>
    <row r="15" spans="2:26">
      <c r="B15" s="158"/>
      <c r="C15" s="150">
        <f t="shared" si="0"/>
        <v>0</v>
      </c>
      <c r="D15" s="159"/>
      <c r="E15" s="160"/>
      <c r="F15" s="159"/>
      <c r="G15" s="159"/>
      <c r="H15" s="159"/>
      <c r="I15" s="161"/>
      <c r="J15" s="161"/>
      <c r="K15" s="161"/>
      <c r="L15" s="161"/>
      <c r="M15" s="161"/>
      <c r="N15" s="161"/>
      <c r="O15" s="161"/>
      <c r="P15" s="161"/>
      <c r="Q15" s="154">
        <f t="shared" si="1"/>
        <v>0</v>
      </c>
      <c r="R15" s="160"/>
      <c r="S15" s="155">
        <f t="shared" si="2"/>
        <v>0</v>
      </c>
      <c r="T15" s="160">
        <v>0</v>
      </c>
      <c r="U15" s="163"/>
      <c r="V15" s="162">
        <v>46082.958333333328</v>
      </c>
    </row>
    <row r="16" spans="2:26">
      <c r="B16" s="158"/>
      <c r="C16" s="150">
        <f t="shared" si="0"/>
        <v>0</v>
      </c>
      <c r="D16" s="159"/>
      <c r="E16" s="160"/>
      <c r="F16" s="159"/>
      <c r="G16" s="159"/>
      <c r="H16" s="159"/>
      <c r="I16" s="161"/>
      <c r="J16" s="161"/>
      <c r="K16" s="161"/>
      <c r="L16" s="161"/>
      <c r="M16" s="161"/>
      <c r="N16" s="161"/>
      <c r="O16" s="161"/>
      <c r="P16" s="161"/>
      <c r="Q16" s="154">
        <f t="shared" si="1"/>
        <v>0</v>
      </c>
      <c r="R16" s="160"/>
      <c r="S16" s="155">
        <f t="shared" si="2"/>
        <v>0</v>
      </c>
      <c r="T16" s="160"/>
      <c r="U16" s="163"/>
      <c r="V16" s="162"/>
    </row>
    <row r="17" spans="2:22">
      <c r="B17" s="158">
        <v>46083.958333333328</v>
      </c>
      <c r="C17" s="150">
        <f t="shared" si="0"/>
        <v>4212500</v>
      </c>
      <c r="D17" s="159"/>
      <c r="E17" s="160">
        <v>188601</v>
      </c>
      <c r="F17" s="159"/>
      <c r="G17" s="159"/>
      <c r="H17" s="159"/>
      <c r="I17" s="161">
        <v>1182858</v>
      </c>
      <c r="J17" s="161">
        <v>1214600</v>
      </c>
      <c r="K17" s="161">
        <v>1626441</v>
      </c>
      <c r="L17" s="161"/>
      <c r="M17" s="161"/>
      <c r="N17" s="161"/>
      <c r="O17" s="161"/>
      <c r="P17" s="161"/>
      <c r="Q17" s="154">
        <f t="shared" si="1"/>
        <v>4023899</v>
      </c>
      <c r="R17" s="160"/>
      <c r="S17" s="155">
        <f t="shared" si="2"/>
        <v>188601</v>
      </c>
      <c r="T17" s="160"/>
      <c r="U17" s="157"/>
      <c r="V17" s="162"/>
    </row>
    <row r="18" spans="2:22">
      <c r="B18" s="149"/>
      <c r="C18" s="150">
        <f t="shared" si="0"/>
        <v>0</v>
      </c>
      <c r="D18" s="159"/>
      <c r="E18" s="160"/>
      <c r="F18" s="159"/>
      <c r="G18" s="160"/>
      <c r="H18" s="159"/>
      <c r="I18" s="152"/>
      <c r="J18" s="152"/>
      <c r="K18" s="152"/>
      <c r="L18" s="152"/>
      <c r="M18" s="152"/>
      <c r="N18" s="152"/>
      <c r="O18" s="152"/>
      <c r="P18" s="152"/>
      <c r="Q18" s="154">
        <f t="shared" si="1"/>
        <v>0</v>
      </c>
      <c r="R18" s="160"/>
      <c r="S18" s="155">
        <f t="shared" si="2"/>
        <v>0</v>
      </c>
      <c r="T18" s="160">
        <v>0</v>
      </c>
      <c r="U18" s="162"/>
      <c r="V18" s="162">
        <v>46083.958333333328</v>
      </c>
    </row>
    <row r="19" spans="2:22">
      <c r="B19" s="149"/>
      <c r="C19" s="150">
        <f t="shared" si="0"/>
        <v>0</v>
      </c>
      <c r="D19" s="159"/>
      <c r="E19" s="160"/>
      <c r="F19" s="159"/>
      <c r="G19" s="160"/>
      <c r="H19" s="159"/>
      <c r="I19" s="164"/>
      <c r="J19" s="164"/>
      <c r="K19" s="164"/>
      <c r="L19" s="164"/>
      <c r="M19" s="164"/>
      <c r="N19" s="164"/>
      <c r="O19" s="164"/>
      <c r="P19" s="164"/>
      <c r="Q19" s="154">
        <f t="shared" si="1"/>
        <v>0</v>
      </c>
      <c r="R19" s="160"/>
      <c r="S19" s="155">
        <f t="shared" si="2"/>
        <v>0</v>
      </c>
      <c r="T19" s="160"/>
      <c r="U19" s="163"/>
      <c r="V19" s="162"/>
    </row>
    <row r="20" spans="2:22">
      <c r="B20" s="149">
        <v>46084.958333333328</v>
      </c>
      <c r="C20" s="150">
        <f t="shared" si="0"/>
        <v>4878900</v>
      </c>
      <c r="D20" s="159"/>
      <c r="E20" s="160">
        <v>199084</v>
      </c>
      <c r="F20" s="159"/>
      <c r="G20" s="160"/>
      <c r="H20" s="159"/>
      <c r="I20" s="164">
        <v>2137691</v>
      </c>
      <c r="J20" s="164">
        <v>1293287</v>
      </c>
      <c r="K20" s="164">
        <v>1248838</v>
      </c>
      <c r="L20" s="164"/>
      <c r="M20" s="164"/>
      <c r="N20" s="164"/>
      <c r="O20" s="164"/>
      <c r="P20" s="164"/>
      <c r="Q20" s="154">
        <f t="shared" si="1"/>
        <v>4679816</v>
      </c>
      <c r="R20" s="160"/>
      <c r="S20" s="155">
        <f t="shared" si="2"/>
        <v>199084</v>
      </c>
      <c r="T20" s="160"/>
      <c r="U20" s="163"/>
      <c r="V20" s="162"/>
    </row>
    <row r="21" spans="2:22">
      <c r="B21" s="158"/>
      <c r="C21" s="150">
        <f t="shared" si="0"/>
        <v>0</v>
      </c>
      <c r="D21" s="159"/>
      <c r="E21" s="160"/>
      <c r="F21" s="159"/>
      <c r="G21" s="160"/>
      <c r="H21" s="159"/>
      <c r="I21" s="165"/>
      <c r="J21" s="165"/>
      <c r="K21" s="165"/>
      <c r="L21" s="165"/>
      <c r="M21" s="165"/>
      <c r="N21" s="165"/>
      <c r="O21" s="165"/>
      <c r="P21" s="165"/>
      <c r="Q21" s="154">
        <f t="shared" si="1"/>
        <v>0</v>
      </c>
      <c r="R21" s="160"/>
      <c r="S21" s="155">
        <f t="shared" si="2"/>
        <v>0</v>
      </c>
      <c r="T21" s="160">
        <v>0</v>
      </c>
      <c r="U21" s="163"/>
      <c r="V21" s="162">
        <v>46084.958333333328</v>
      </c>
    </row>
    <row r="22" spans="2:22">
      <c r="B22" s="158"/>
      <c r="C22" s="150">
        <f t="shared" si="0"/>
        <v>0</v>
      </c>
      <c r="D22" s="159"/>
      <c r="E22" s="160"/>
      <c r="F22" s="159"/>
      <c r="G22" s="160"/>
      <c r="H22" s="159"/>
      <c r="I22" s="164"/>
      <c r="J22" s="164"/>
      <c r="K22" s="164"/>
      <c r="L22" s="164"/>
      <c r="M22" s="164"/>
      <c r="N22" s="164"/>
      <c r="O22" s="164"/>
      <c r="P22" s="164"/>
      <c r="Q22" s="154">
        <f t="shared" si="1"/>
        <v>0</v>
      </c>
      <c r="R22" s="160"/>
      <c r="S22" s="155">
        <f t="shared" si="2"/>
        <v>0</v>
      </c>
      <c r="T22" s="160"/>
      <c r="U22" s="163"/>
      <c r="V22" s="162"/>
    </row>
    <row r="23" spans="2:22">
      <c r="B23" s="158">
        <v>46085.958333333328</v>
      </c>
      <c r="C23" s="150">
        <f t="shared" si="0"/>
        <v>4694870</v>
      </c>
      <c r="D23" s="159"/>
      <c r="E23" s="160">
        <v>1029079</v>
      </c>
      <c r="F23" s="159"/>
      <c r="G23" s="160"/>
      <c r="H23" s="159"/>
      <c r="I23" s="164">
        <v>831197</v>
      </c>
      <c r="J23" s="164">
        <v>1717020</v>
      </c>
      <c r="K23" s="164">
        <v>1117574</v>
      </c>
      <c r="L23" s="164"/>
      <c r="M23" s="164"/>
      <c r="N23" s="164"/>
      <c r="O23" s="164"/>
      <c r="P23" s="164"/>
      <c r="Q23" s="154">
        <f t="shared" si="1"/>
        <v>3665791</v>
      </c>
      <c r="R23" s="160"/>
      <c r="S23" s="155">
        <f t="shared" si="2"/>
        <v>1029079</v>
      </c>
      <c r="T23" s="160"/>
      <c r="U23" s="157"/>
      <c r="V23" s="162"/>
    </row>
    <row r="24" spans="2:22">
      <c r="B24" s="158"/>
      <c r="C24" s="150">
        <f t="shared" si="0"/>
        <v>0</v>
      </c>
      <c r="D24" s="159"/>
      <c r="E24" s="160"/>
      <c r="F24" s="159"/>
      <c r="G24" s="160"/>
      <c r="H24" s="159"/>
      <c r="I24" s="164"/>
      <c r="J24" s="164"/>
      <c r="K24" s="164"/>
      <c r="L24" s="164"/>
      <c r="M24" s="164"/>
      <c r="N24" s="164"/>
      <c r="O24" s="164"/>
      <c r="P24" s="164"/>
      <c r="Q24" s="154">
        <f t="shared" si="1"/>
        <v>0</v>
      </c>
      <c r="R24" s="160"/>
      <c r="S24" s="155">
        <f t="shared" si="2"/>
        <v>0</v>
      </c>
      <c r="T24" s="160">
        <v>0</v>
      </c>
      <c r="U24" s="162"/>
      <c r="V24" s="162">
        <v>46085.958333333328</v>
      </c>
    </row>
    <row r="25" spans="2:22">
      <c r="B25" s="158"/>
      <c r="C25" s="150">
        <f t="shared" si="0"/>
        <v>0</v>
      </c>
      <c r="D25" s="159"/>
      <c r="E25" s="160"/>
      <c r="F25" s="159"/>
      <c r="G25" s="160"/>
      <c r="H25" s="159"/>
      <c r="I25" s="164"/>
      <c r="J25" s="164"/>
      <c r="K25" s="164"/>
      <c r="L25" s="164"/>
      <c r="M25" s="164"/>
      <c r="N25" s="164"/>
      <c r="O25" s="164"/>
      <c r="P25" s="164"/>
      <c r="Q25" s="154">
        <f t="shared" si="1"/>
        <v>0</v>
      </c>
      <c r="R25" s="160"/>
      <c r="S25" s="155">
        <f t="shared" si="2"/>
        <v>0</v>
      </c>
      <c r="T25" s="160"/>
      <c r="U25" s="163"/>
      <c r="V25" s="162"/>
    </row>
    <row r="26" spans="2:22">
      <c r="B26" s="158">
        <v>46086.958333333328</v>
      </c>
      <c r="C26" s="150">
        <f t="shared" si="0"/>
        <v>6217525</v>
      </c>
      <c r="D26" s="159"/>
      <c r="E26" s="160">
        <v>986585</v>
      </c>
      <c r="F26" s="159"/>
      <c r="G26" s="160"/>
      <c r="H26" s="159"/>
      <c r="I26" s="164">
        <v>2010654</v>
      </c>
      <c r="J26" s="164">
        <v>1700622</v>
      </c>
      <c r="K26" s="164">
        <v>1519664</v>
      </c>
      <c r="L26" s="164"/>
      <c r="M26" s="164"/>
      <c r="N26" s="164"/>
      <c r="O26" s="164"/>
      <c r="P26" s="164"/>
      <c r="Q26" s="154">
        <f t="shared" si="1"/>
        <v>5230940</v>
      </c>
      <c r="R26" s="160"/>
      <c r="S26" s="155">
        <f t="shared" si="2"/>
        <v>986585</v>
      </c>
      <c r="T26" s="160"/>
      <c r="U26" s="163"/>
      <c r="V26" s="162"/>
    </row>
    <row r="27" spans="2:22">
      <c r="B27" s="158"/>
      <c r="C27" s="150">
        <f t="shared" si="0"/>
        <v>0</v>
      </c>
      <c r="D27" s="159"/>
      <c r="E27" s="160"/>
      <c r="F27" s="159"/>
      <c r="G27" s="160"/>
      <c r="H27" s="159"/>
      <c r="I27" s="152"/>
      <c r="J27" s="152"/>
      <c r="K27" s="152"/>
      <c r="L27" s="152"/>
      <c r="M27" s="152"/>
      <c r="N27" s="152"/>
      <c r="O27" s="152"/>
      <c r="P27" s="152"/>
      <c r="Q27" s="154">
        <f t="shared" si="1"/>
        <v>0</v>
      </c>
      <c r="R27" s="160"/>
      <c r="S27" s="155">
        <f t="shared" si="2"/>
        <v>0</v>
      </c>
      <c r="T27" s="160">
        <v>0</v>
      </c>
      <c r="U27" s="163"/>
      <c r="V27" s="162">
        <v>46086.958333333328</v>
      </c>
    </row>
    <row r="28" spans="2:22">
      <c r="B28" s="158"/>
      <c r="C28" s="150">
        <f t="shared" si="0"/>
        <v>0</v>
      </c>
      <c r="D28" s="159"/>
      <c r="E28" s="160"/>
      <c r="F28" s="166"/>
      <c r="G28" s="160"/>
      <c r="H28" s="166"/>
      <c r="I28" s="165"/>
      <c r="J28" s="165"/>
      <c r="K28" s="165"/>
      <c r="L28" s="165"/>
      <c r="M28" s="165"/>
      <c r="N28" s="165"/>
      <c r="O28" s="165"/>
      <c r="P28" s="165"/>
      <c r="Q28" s="154">
        <f t="shared" si="1"/>
        <v>0</v>
      </c>
      <c r="R28" s="160"/>
      <c r="S28" s="155">
        <f t="shared" si="2"/>
        <v>0</v>
      </c>
      <c r="T28" s="160"/>
      <c r="U28" s="163"/>
      <c r="V28" s="162"/>
    </row>
    <row r="29" spans="2:22">
      <c r="B29" s="158">
        <v>46087.958333333328</v>
      </c>
      <c r="C29" s="150">
        <f t="shared" si="0"/>
        <v>5622062</v>
      </c>
      <c r="D29" s="159"/>
      <c r="E29" s="160">
        <v>642004</v>
      </c>
      <c r="F29" s="166"/>
      <c r="G29" s="160"/>
      <c r="H29" s="166"/>
      <c r="I29" s="164">
        <v>2526460</v>
      </c>
      <c r="J29" s="164">
        <v>749800</v>
      </c>
      <c r="K29" s="164">
        <v>1703798</v>
      </c>
      <c r="L29" s="164"/>
      <c r="M29" s="164"/>
      <c r="N29" s="164"/>
      <c r="O29" s="164"/>
      <c r="P29" s="164"/>
      <c r="Q29" s="154">
        <f t="shared" si="1"/>
        <v>4980058</v>
      </c>
      <c r="R29" s="160"/>
      <c r="S29" s="155">
        <f t="shared" si="2"/>
        <v>642004</v>
      </c>
      <c r="T29" s="160"/>
      <c r="U29" s="157"/>
      <c r="V29" s="162"/>
    </row>
    <row r="30" spans="2:22">
      <c r="B30" s="158"/>
      <c r="C30" s="150">
        <f t="shared" si="0"/>
        <v>0</v>
      </c>
      <c r="D30" s="159"/>
      <c r="E30" s="160"/>
      <c r="F30" s="166"/>
      <c r="G30" s="160"/>
      <c r="H30" s="166"/>
      <c r="I30" s="164"/>
      <c r="J30" s="164"/>
      <c r="K30" s="164"/>
      <c r="L30" s="164"/>
      <c r="M30" s="164"/>
      <c r="N30" s="164"/>
      <c r="O30" s="164"/>
      <c r="P30" s="164"/>
      <c r="Q30" s="154">
        <f t="shared" si="1"/>
        <v>0</v>
      </c>
      <c r="R30" s="160"/>
      <c r="S30" s="155">
        <f t="shared" si="2"/>
        <v>0</v>
      </c>
      <c r="T30" s="160">
        <v>0</v>
      </c>
      <c r="U30" s="162"/>
      <c r="V30" s="162">
        <v>46087.958333333328</v>
      </c>
    </row>
    <row r="31" spans="2:22">
      <c r="B31" s="158"/>
      <c r="C31" s="150">
        <f t="shared" si="0"/>
        <v>0</v>
      </c>
      <c r="D31" s="159"/>
      <c r="E31" s="160"/>
      <c r="F31" s="166"/>
      <c r="G31" s="160"/>
      <c r="H31" s="166"/>
      <c r="I31" s="164"/>
      <c r="J31" s="164"/>
      <c r="K31" s="164"/>
      <c r="L31" s="164"/>
      <c r="M31" s="164"/>
      <c r="N31" s="164"/>
      <c r="O31" s="164"/>
      <c r="P31" s="164"/>
      <c r="Q31" s="154">
        <f t="shared" si="1"/>
        <v>0</v>
      </c>
      <c r="R31" s="160"/>
      <c r="S31" s="155">
        <f t="shared" si="2"/>
        <v>0</v>
      </c>
      <c r="T31" s="160"/>
      <c r="U31" s="163"/>
      <c r="V31" s="162"/>
    </row>
    <row r="32" spans="2:22">
      <c r="B32" s="158">
        <v>46088.958333333328</v>
      </c>
      <c r="C32" s="150">
        <f t="shared" si="0"/>
        <v>4278630</v>
      </c>
      <c r="D32" s="159"/>
      <c r="E32" s="160">
        <v>230357</v>
      </c>
      <c r="F32" s="166"/>
      <c r="G32" s="160"/>
      <c r="H32" s="166"/>
      <c r="I32" s="164">
        <v>2171982</v>
      </c>
      <c r="J32" s="164">
        <v>0</v>
      </c>
      <c r="K32" s="164">
        <v>1876291</v>
      </c>
      <c r="L32" s="164"/>
      <c r="M32" s="164"/>
      <c r="N32" s="164"/>
      <c r="O32" s="164"/>
      <c r="P32" s="164"/>
      <c r="Q32" s="154">
        <f>I32+J32+K32+L32+M32+N32+O32+P32</f>
        <v>4048273</v>
      </c>
      <c r="R32" s="160"/>
      <c r="S32" s="155">
        <f t="shared" si="2"/>
        <v>230357</v>
      </c>
      <c r="T32" s="160"/>
      <c r="U32" s="163"/>
      <c r="V32" s="162"/>
    </row>
    <row r="33" spans="2:22">
      <c r="B33" s="158"/>
      <c r="C33" s="150">
        <f t="shared" si="0"/>
        <v>0</v>
      </c>
      <c r="D33" s="159"/>
      <c r="E33" s="160"/>
      <c r="F33" s="159"/>
      <c r="G33" s="160"/>
      <c r="H33" s="159"/>
      <c r="I33" s="152"/>
      <c r="J33" s="152"/>
      <c r="K33" s="152"/>
      <c r="L33" s="152"/>
      <c r="M33" s="152"/>
      <c r="N33" s="152"/>
      <c r="O33" s="152"/>
      <c r="P33" s="152"/>
      <c r="Q33" s="154">
        <f t="shared" si="1"/>
        <v>0</v>
      </c>
      <c r="R33" s="160"/>
      <c r="S33" s="155">
        <f t="shared" si="2"/>
        <v>0</v>
      </c>
      <c r="T33" s="160">
        <v>0</v>
      </c>
      <c r="U33" s="157"/>
      <c r="V33" s="162">
        <v>46088.958333333328</v>
      </c>
    </row>
    <row r="34" spans="2:22">
      <c r="B34" s="158"/>
      <c r="C34" s="150">
        <f t="shared" si="0"/>
        <v>0</v>
      </c>
      <c r="D34" s="159"/>
      <c r="E34" s="160"/>
      <c r="F34" s="166"/>
      <c r="G34" s="160"/>
      <c r="H34" s="166"/>
      <c r="I34" s="165"/>
      <c r="J34" s="165"/>
      <c r="K34" s="165"/>
      <c r="L34" s="165"/>
      <c r="M34" s="165"/>
      <c r="N34" s="165"/>
      <c r="O34" s="165"/>
      <c r="P34" s="165"/>
      <c r="Q34" s="154">
        <f t="shared" si="1"/>
        <v>0</v>
      </c>
      <c r="R34" s="160"/>
      <c r="S34" s="155">
        <f t="shared" si="2"/>
        <v>0</v>
      </c>
      <c r="T34" s="160"/>
      <c r="U34" s="162"/>
      <c r="V34" s="162"/>
    </row>
    <row r="35" spans="2:22">
      <c r="B35" s="158">
        <v>46089.958333333328</v>
      </c>
      <c r="C35" s="150">
        <f t="shared" si="0"/>
        <v>4371250</v>
      </c>
      <c r="D35" s="159"/>
      <c r="E35" s="160">
        <v>526074</v>
      </c>
      <c r="F35" s="159"/>
      <c r="G35" s="160"/>
      <c r="H35" s="159"/>
      <c r="I35" s="165">
        <v>1456311</v>
      </c>
      <c r="J35" s="165">
        <v>0</v>
      </c>
      <c r="K35" s="165">
        <v>2388865</v>
      </c>
      <c r="L35" s="165"/>
      <c r="M35" s="165"/>
      <c r="N35" s="165"/>
      <c r="O35" s="165"/>
      <c r="P35" s="165"/>
      <c r="Q35" s="154">
        <f>I35+J35+K35+L35+M35+N35+O35+P35</f>
        <v>3845176</v>
      </c>
      <c r="R35" s="160"/>
      <c r="S35" s="155">
        <f t="shared" si="2"/>
        <v>526074</v>
      </c>
      <c r="T35" s="160"/>
      <c r="U35" s="163"/>
      <c r="V35" s="162"/>
    </row>
    <row r="36" spans="2:22">
      <c r="B36" s="158"/>
      <c r="C36" s="150">
        <f t="shared" si="0"/>
        <v>0</v>
      </c>
      <c r="D36" s="159"/>
      <c r="E36" s="160"/>
      <c r="F36" s="159"/>
      <c r="G36" s="160"/>
      <c r="H36" s="159"/>
      <c r="I36" s="164"/>
      <c r="J36" s="164"/>
      <c r="K36" s="164"/>
      <c r="L36" s="164"/>
      <c r="M36" s="164"/>
      <c r="N36" s="164"/>
      <c r="O36" s="164"/>
      <c r="P36" s="164"/>
      <c r="Q36" s="154">
        <f t="shared" si="1"/>
        <v>0</v>
      </c>
      <c r="R36" s="160"/>
      <c r="S36" s="155">
        <f t="shared" si="2"/>
        <v>0</v>
      </c>
      <c r="T36" s="160">
        <v>0</v>
      </c>
      <c r="U36" s="163"/>
      <c r="V36" s="162">
        <v>46089.958333333328</v>
      </c>
    </row>
    <row r="37" spans="2:22">
      <c r="B37" s="158"/>
      <c r="C37" s="150">
        <f t="shared" si="0"/>
        <v>0</v>
      </c>
      <c r="D37" s="159"/>
      <c r="E37" s="160"/>
      <c r="F37" s="159"/>
      <c r="G37" s="160"/>
      <c r="H37" s="159"/>
      <c r="I37" s="164"/>
      <c r="J37" s="164"/>
      <c r="K37" s="164"/>
      <c r="L37" s="164"/>
      <c r="M37" s="164"/>
      <c r="N37" s="164"/>
      <c r="O37" s="164"/>
      <c r="P37" s="164"/>
      <c r="Q37" s="154">
        <f t="shared" si="1"/>
        <v>0</v>
      </c>
      <c r="R37" s="160"/>
      <c r="S37" s="155">
        <f t="shared" si="2"/>
        <v>0</v>
      </c>
      <c r="T37" s="160"/>
      <c r="U37" s="163"/>
      <c r="V37" s="162"/>
    </row>
    <row r="38" spans="2:22">
      <c r="B38" s="158">
        <v>46090.958333333328</v>
      </c>
      <c r="C38" s="150">
        <f t="shared" si="0"/>
        <v>5930570</v>
      </c>
      <c r="D38" s="159"/>
      <c r="E38" s="160">
        <v>218723</v>
      </c>
      <c r="F38" s="159"/>
      <c r="G38" s="160"/>
      <c r="H38" s="159"/>
      <c r="I38" s="152">
        <v>3569487</v>
      </c>
      <c r="J38" s="152">
        <v>0</v>
      </c>
      <c r="K38" s="152">
        <v>2142360</v>
      </c>
      <c r="L38" s="152"/>
      <c r="M38" s="152"/>
      <c r="N38" s="152"/>
      <c r="O38" s="152"/>
      <c r="P38" s="152"/>
      <c r="Q38" s="154">
        <f t="shared" si="1"/>
        <v>5711847</v>
      </c>
      <c r="R38" s="160"/>
      <c r="S38" s="155">
        <f t="shared" si="2"/>
        <v>218723</v>
      </c>
      <c r="T38" s="160"/>
      <c r="U38" s="163"/>
      <c r="V38" s="162"/>
    </row>
    <row r="39" spans="2:22">
      <c r="B39" s="158"/>
      <c r="C39" s="150">
        <f t="shared" si="0"/>
        <v>0</v>
      </c>
      <c r="D39" s="159"/>
      <c r="E39" s="160"/>
      <c r="F39" s="159"/>
      <c r="G39" s="160"/>
      <c r="H39" s="159"/>
      <c r="I39" s="165"/>
      <c r="J39" s="165"/>
      <c r="K39" s="165"/>
      <c r="L39" s="165"/>
      <c r="M39" s="165"/>
      <c r="N39" s="165"/>
      <c r="O39" s="165"/>
      <c r="P39" s="165"/>
      <c r="Q39" s="154">
        <f t="shared" si="1"/>
        <v>0</v>
      </c>
      <c r="R39" s="160"/>
      <c r="S39" s="155">
        <f t="shared" si="2"/>
        <v>0</v>
      </c>
      <c r="T39" s="160">
        <v>0</v>
      </c>
      <c r="U39" s="157"/>
      <c r="V39" s="162">
        <v>46090.958333333328</v>
      </c>
    </row>
    <row r="40" spans="2:22">
      <c r="B40" s="158"/>
      <c r="C40" s="150">
        <f t="shared" si="0"/>
        <v>0</v>
      </c>
      <c r="D40" s="159"/>
      <c r="E40" s="160"/>
      <c r="F40" s="159"/>
      <c r="G40" s="160"/>
      <c r="H40" s="159"/>
      <c r="I40" s="165"/>
      <c r="J40" s="165"/>
      <c r="K40" s="165"/>
      <c r="L40" s="165"/>
      <c r="M40" s="165"/>
      <c r="N40" s="165"/>
      <c r="O40" s="165"/>
      <c r="P40" s="165"/>
      <c r="Q40" s="154">
        <f t="shared" si="1"/>
        <v>0</v>
      </c>
      <c r="R40" s="160"/>
      <c r="S40" s="155">
        <f t="shared" si="2"/>
        <v>0</v>
      </c>
      <c r="T40" s="160"/>
      <c r="U40" s="162"/>
      <c r="V40" s="162"/>
    </row>
    <row r="41" spans="2:22">
      <c r="B41" s="158">
        <v>46091.958333333328</v>
      </c>
      <c r="C41" s="150">
        <f t="shared" si="0"/>
        <v>6087330</v>
      </c>
      <c r="D41" s="159"/>
      <c r="E41" s="160">
        <v>618226</v>
      </c>
      <c r="F41" s="159"/>
      <c r="G41" s="160"/>
      <c r="H41" s="159"/>
      <c r="I41" s="165">
        <v>2168584</v>
      </c>
      <c r="J41" s="165">
        <v>0</v>
      </c>
      <c r="K41" s="165">
        <v>3300520</v>
      </c>
      <c r="L41" s="165"/>
      <c r="M41" s="165"/>
      <c r="N41" s="165"/>
      <c r="O41" s="165"/>
      <c r="P41" s="165"/>
      <c r="Q41" s="154">
        <f t="shared" si="1"/>
        <v>5469104</v>
      </c>
      <c r="R41" s="160"/>
      <c r="S41" s="155">
        <f t="shared" si="2"/>
        <v>618226</v>
      </c>
      <c r="T41" s="160"/>
      <c r="U41" s="163"/>
      <c r="V41" s="162"/>
    </row>
    <row r="42" spans="2:22">
      <c r="B42" s="158"/>
      <c r="C42" s="150">
        <f t="shared" si="0"/>
        <v>0</v>
      </c>
      <c r="D42" s="159"/>
      <c r="E42" s="160"/>
      <c r="F42" s="159"/>
      <c r="G42" s="160"/>
      <c r="H42" s="159"/>
      <c r="I42" s="165"/>
      <c r="J42" s="165"/>
      <c r="K42" s="165"/>
      <c r="L42" s="165"/>
      <c r="M42" s="165"/>
      <c r="N42" s="165"/>
      <c r="O42" s="165"/>
      <c r="P42" s="165"/>
      <c r="Q42" s="154">
        <f t="shared" si="1"/>
        <v>0</v>
      </c>
      <c r="R42" s="160"/>
      <c r="S42" s="155">
        <f t="shared" si="2"/>
        <v>0</v>
      </c>
      <c r="T42" s="160">
        <v>0</v>
      </c>
      <c r="U42" s="163"/>
      <c r="V42" s="162">
        <v>46091.958333333328</v>
      </c>
    </row>
    <row r="43" spans="2:22">
      <c r="B43" s="158"/>
      <c r="C43" s="150">
        <f t="shared" si="0"/>
        <v>0</v>
      </c>
      <c r="D43" s="159"/>
      <c r="E43" s="160"/>
      <c r="F43" s="166"/>
      <c r="G43" s="160"/>
      <c r="H43" s="166"/>
      <c r="I43" s="167"/>
      <c r="J43" s="167"/>
      <c r="K43" s="167"/>
      <c r="L43" s="167"/>
      <c r="M43" s="167"/>
      <c r="N43" s="167"/>
      <c r="O43" s="167"/>
      <c r="P43" s="167"/>
      <c r="Q43" s="154">
        <f t="shared" si="1"/>
        <v>0</v>
      </c>
      <c r="R43" s="160"/>
      <c r="S43" s="155">
        <f t="shared" si="2"/>
        <v>0</v>
      </c>
      <c r="T43" s="160"/>
      <c r="U43" s="163"/>
      <c r="V43" s="162"/>
    </row>
    <row r="44" spans="2:22">
      <c r="B44" s="158">
        <v>46092.958333333328</v>
      </c>
      <c r="C44" s="150">
        <f t="shared" si="0"/>
        <v>5831850</v>
      </c>
      <c r="D44" s="159"/>
      <c r="E44" s="160">
        <v>574180</v>
      </c>
      <c r="F44" s="159"/>
      <c r="G44" s="160"/>
      <c r="H44" s="159"/>
      <c r="I44" s="161">
        <v>1135560</v>
      </c>
      <c r="J44" s="161">
        <v>0</v>
      </c>
      <c r="K44" s="161">
        <v>4122110</v>
      </c>
      <c r="L44" s="161"/>
      <c r="M44" s="161"/>
      <c r="N44" s="161"/>
      <c r="O44" s="161"/>
      <c r="P44" s="161"/>
      <c r="Q44" s="154">
        <f t="shared" si="1"/>
        <v>5257670</v>
      </c>
      <c r="R44" s="160"/>
      <c r="S44" s="155">
        <f t="shared" si="2"/>
        <v>574180</v>
      </c>
      <c r="T44" s="160"/>
      <c r="U44" s="163"/>
      <c r="V44" s="162"/>
    </row>
    <row r="45" spans="2:22">
      <c r="B45" s="158"/>
      <c r="C45" s="150">
        <f t="shared" si="0"/>
        <v>0</v>
      </c>
      <c r="D45" s="159"/>
      <c r="E45" s="160"/>
      <c r="F45" s="159"/>
      <c r="G45" s="160"/>
      <c r="H45" s="159"/>
      <c r="I45" s="168"/>
      <c r="J45" s="168"/>
      <c r="K45" s="168"/>
      <c r="L45" s="168"/>
      <c r="M45" s="168"/>
      <c r="N45" s="168"/>
      <c r="O45" s="168"/>
      <c r="P45" s="168"/>
      <c r="Q45" s="154">
        <f t="shared" si="1"/>
        <v>0</v>
      </c>
      <c r="R45" s="160"/>
      <c r="S45" s="155">
        <f t="shared" si="2"/>
        <v>0</v>
      </c>
      <c r="T45" s="160">
        <v>0</v>
      </c>
      <c r="U45" s="157"/>
      <c r="V45" s="162">
        <v>46092.958333333328</v>
      </c>
    </row>
    <row r="46" spans="2:22">
      <c r="B46" s="158"/>
      <c r="C46" s="150">
        <f t="shared" si="0"/>
        <v>0</v>
      </c>
      <c r="D46" s="159"/>
      <c r="E46" s="160"/>
      <c r="F46" s="159"/>
      <c r="G46" s="160"/>
      <c r="H46" s="159"/>
      <c r="I46" s="168"/>
      <c r="J46" s="168"/>
      <c r="K46" s="168"/>
      <c r="L46" s="168"/>
      <c r="M46" s="168"/>
      <c r="N46" s="168"/>
      <c r="O46" s="168"/>
      <c r="P46" s="168"/>
      <c r="Q46" s="154">
        <f t="shared" si="1"/>
        <v>0</v>
      </c>
      <c r="R46" s="160"/>
      <c r="S46" s="155">
        <f t="shared" si="2"/>
        <v>0</v>
      </c>
      <c r="T46" s="160"/>
      <c r="U46" s="162"/>
      <c r="V46" s="162"/>
    </row>
    <row r="47" spans="2:22">
      <c r="B47" s="158">
        <v>46093.958333333328</v>
      </c>
      <c r="C47" s="150">
        <f t="shared" si="0"/>
        <v>5055700</v>
      </c>
      <c r="D47" s="159"/>
      <c r="E47" s="160">
        <v>435008</v>
      </c>
      <c r="F47" s="159"/>
      <c r="G47" s="160"/>
      <c r="H47" s="159"/>
      <c r="I47" s="168">
        <v>3053078</v>
      </c>
      <c r="J47" s="168">
        <v>0</v>
      </c>
      <c r="K47" s="168">
        <v>1567614</v>
      </c>
      <c r="L47" s="168"/>
      <c r="M47" s="168"/>
      <c r="N47" s="168"/>
      <c r="O47" s="168"/>
      <c r="P47" s="168"/>
      <c r="Q47" s="154">
        <f t="shared" si="1"/>
        <v>4620692</v>
      </c>
      <c r="R47" s="160"/>
      <c r="S47" s="155">
        <f t="shared" si="2"/>
        <v>435008</v>
      </c>
      <c r="T47" s="160"/>
      <c r="U47" s="163"/>
      <c r="V47" s="162"/>
    </row>
    <row r="48" spans="2:22">
      <c r="B48" s="158"/>
      <c r="C48" s="150">
        <f t="shared" si="0"/>
        <v>0</v>
      </c>
      <c r="D48" s="159"/>
      <c r="E48" s="160"/>
      <c r="F48" s="159"/>
      <c r="G48" s="160"/>
      <c r="H48" s="159"/>
      <c r="I48" s="168"/>
      <c r="J48" s="168"/>
      <c r="K48" s="168"/>
      <c r="L48" s="168"/>
      <c r="M48" s="168"/>
      <c r="N48" s="168"/>
      <c r="O48" s="168"/>
      <c r="P48" s="168"/>
      <c r="Q48" s="154">
        <f t="shared" si="1"/>
        <v>0</v>
      </c>
      <c r="R48" s="160"/>
      <c r="S48" s="155">
        <f t="shared" si="2"/>
        <v>0</v>
      </c>
      <c r="T48" s="160">
        <v>0</v>
      </c>
      <c r="U48" s="163"/>
      <c r="V48" s="162">
        <v>46093.958333333328</v>
      </c>
    </row>
    <row r="49" spans="2:22">
      <c r="B49" s="158"/>
      <c r="C49" s="150">
        <f t="shared" si="0"/>
        <v>0</v>
      </c>
      <c r="D49" s="159"/>
      <c r="E49" s="160"/>
      <c r="F49" s="166"/>
      <c r="G49" s="160"/>
      <c r="H49" s="166"/>
      <c r="I49" s="152"/>
      <c r="J49" s="152"/>
      <c r="K49" s="152"/>
      <c r="L49" s="152"/>
      <c r="M49" s="152"/>
      <c r="N49" s="152"/>
      <c r="O49" s="152"/>
      <c r="P49" s="152"/>
      <c r="Q49" s="154">
        <f t="shared" si="1"/>
        <v>0</v>
      </c>
      <c r="R49" s="160"/>
      <c r="S49" s="155">
        <f t="shared" si="2"/>
        <v>0</v>
      </c>
      <c r="T49" s="160"/>
      <c r="U49" s="163"/>
      <c r="V49" s="162"/>
    </row>
    <row r="50" spans="2:22">
      <c r="B50" s="158">
        <v>46094.958333333328</v>
      </c>
      <c r="C50" s="150">
        <f t="shared" si="0"/>
        <v>2200100</v>
      </c>
      <c r="D50" s="159"/>
      <c r="E50" s="160">
        <v>2200100</v>
      </c>
      <c r="F50" s="159"/>
      <c r="G50" s="160"/>
      <c r="H50" s="159"/>
      <c r="I50" s="161">
        <v>0</v>
      </c>
      <c r="J50" s="161">
        <v>0</v>
      </c>
      <c r="K50" s="161">
        <v>0</v>
      </c>
      <c r="L50" s="161"/>
      <c r="M50" s="161"/>
      <c r="N50" s="161"/>
      <c r="O50" s="161"/>
      <c r="P50" s="161"/>
      <c r="Q50" s="154">
        <f t="shared" si="1"/>
        <v>0</v>
      </c>
      <c r="R50" s="160"/>
      <c r="S50" s="155">
        <f t="shared" si="2"/>
        <v>2200100</v>
      </c>
      <c r="T50" s="160"/>
      <c r="U50" s="163"/>
      <c r="V50" s="162"/>
    </row>
    <row r="51" spans="2:22">
      <c r="B51" s="158"/>
      <c r="C51" s="150">
        <f t="shared" si="0"/>
        <v>0</v>
      </c>
      <c r="D51" s="159"/>
      <c r="E51" s="160"/>
      <c r="F51" s="159"/>
      <c r="G51" s="160"/>
      <c r="H51" s="159"/>
      <c r="I51" s="161"/>
      <c r="J51" s="161"/>
      <c r="K51" s="161"/>
      <c r="L51" s="161"/>
      <c r="M51" s="161"/>
      <c r="N51" s="161"/>
      <c r="O51" s="161"/>
      <c r="P51" s="161"/>
      <c r="Q51" s="154">
        <f t="shared" si="1"/>
        <v>0</v>
      </c>
      <c r="R51" s="160"/>
      <c r="S51" s="155">
        <f t="shared" si="2"/>
        <v>0</v>
      </c>
      <c r="T51" s="160">
        <v>0</v>
      </c>
      <c r="U51" s="157"/>
      <c r="V51" s="162">
        <v>46094.958333333328</v>
      </c>
    </row>
    <row r="52" spans="2:22">
      <c r="B52" s="158"/>
      <c r="C52" s="150">
        <f t="shared" si="0"/>
        <v>0</v>
      </c>
      <c r="D52" s="159"/>
      <c r="E52" s="160"/>
      <c r="F52" s="159"/>
      <c r="G52" s="160"/>
      <c r="H52" s="159"/>
      <c r="I52" s="161"/>
      <c r="J52" s="161"/>
      <c r="K52" s="161"/>
      <c r="L52" s="161"/>
      <c r="M52" s="161"/>
      <c r="N52" s="161"/>
      <c r="O52" s="161"/>
      <c r="P52" s="161"/>
      <c r="Q52" s="154">
        <f t="shared" si="1"/>
        <v>0</v>
      </c>
      <c r="R52" s="160"/>
      <c r="S52" s="155">
        <f t="shared" si="2"/>
        <v>0</v>
      </c>
      <c r="T52" s="160"/>
      <c r="U52" s="162"/>
      <c r="V52" s="162"/>
    </row>
    <row r="53" spans="2:22">
      <c r="B53" s="158">
        <v>46095.958333333328</v>
      </c>
      <c r="C53" s="150">
        <f t="shared" si="0"/>
        <v>8250900</v>
      </c>
      <c r="D53" s="159"/>
      <c r="E53" s="160">
        <v>8250900</v>
      </c>
      <c r="F53" s="159"/>
      <c r="G53" s="160"/>
      <c r="H53" s="159"/>
      <c r="I53" s="161">
        <v>0</v>
      </c>
      <c r="J53" s="161">
        <v>0</v>
      </c>
      <c r="K53" s="161">
        <v>0</v>
      </c>
      <c r="L53" s="161"/>
      <c r="M53" s="161"/>
      <c r="N53" s="161"/>
      <c r="O53" s="161"/>
      <c r="P53" s="161"/>
      <c r="Q53" s="154">
        <f t="shared" si="1"/>
        <v>0</v>
      </c>
      <c r="R53" s="160"/>
      <c r="S53" s="155">
        <f t="shared" si="2"/>
        <v>8250900</v>
      </c>
      <c r="T53" s="160"/>
      <c r="U53" s="163"/>
      <c r="V53" s="162"/>
    </row>
    <row r="54" spans="2:22">
      <c r="B54" s="158"/>
      <c r="C54" s="150">
        <f t="shared" si="0"/>
        <v>0</v>
      </c>
      <c r="D54" s="159"/>
      <c r="E54" s="160"/>
      <c r="F54" s="166"/>
      <c r="G54" s="160"/>
      <c r="H54" s="166"/>
      <c r="I54" s="167"/>
      <c r="J54" s="167"/>
      <c r="K54" s="167"/>
      <c r="L54" s="167"/>
      <c r="M54" s="167"/>
      <c r="N54" s="167"/>
      <c r="O54" s="167"/>
      <c r="P54" s="167"/>
      <c r="Q54" s="154">
        <f t="shared" si="1"/>
        <v>0</v>
      </c>
      <c r="R54" s="160"/>
      <c r="S54" s="155">
        <f t="shared" si="2"/>
        <v>0</v>
      </c>
      <c r="T54" s="160">
        <v>0</v>
      </c>
      <c r="U54" s="157"/>
      <c r="V54" s="162">
        <v>46095.958333333328</v>
      </c>
    </row>
    <row r="55" spans="2:22">
      <c r="B55" s="158"/>
      <c r="C55" s="150">
        <f t="shared" si="0"/>
        <v>0</v>
      </c>
      <c r="D55" s="159"/>
      <c r="E55" s="160"/>
      <c r="F55" s="166"/>
      <c r="G55" s="160"/>
      <c r="H55" s="166"/>
      <c r="I55" s="167"/>
      <c r="J55" s="167"/>
      <c r="K55" s="167"/>
      <c r="L55" s="167"/>
      <c r="M55" s="167"/>
      <c r="N55" s="167"/>
      <c r="O55" s="167"/>
      <c r="P55" s="167"/>
      <c r="Q55" s="154">
        <f t="shared" si="1"/>
        <v>0</v>
      </c>
      <c r="R55" s="160"/>
      <c r="S55" s="155">
        <f t="shared" si="2"/>
        <v>0</v>
      </c>
      <c r="T55" s="160"/>
      <c r="U55" s="162"/>
      <c r="V55" s="162"/>
    </row>
    <row r="56" spans="2:22">
      <c r="B56" s="158">
        <v>46096.958333333328</v>
      </c>
      <c r="C56" s="150">
        <f t="shared" si="0"/>
        <v>5820970</v>
      </c>
      <c r="D56" s="159"/>
      <c r="E56" s="160">
        <v>5820970</v>
      </c>
      <c r="F56" s="166"/>
      <c r="G56" s="160"/>
      <c r="H56" s="166"/>
      <c r="I56" s="167">
        <v>0</v>
      </c>
      <c r="J56" s="167">
        <v>0</v>
      </c>
      <c r="K56" s="167">
        <v>0</v>
      </c>
      <c r="L56" s="167"/>
      <c r="M56" s="167"/>
      <c r="N56" s="167"/>
      <c r="O56" s="167"/>
      <c r="P56" s="167"/>
      <c r="Q56" s="154">
        <f t="shared" si="1"/>
        <v>0</v>
      </c>
      <c r="R56" s="160"/>
      <c r="S56" s="155">
        <f t="shared" si="2"/>
        <v>5820970</v>
      </c>
      <c r="T56" s="160"/>
      <c r="U56" s="163"/>
      <c r="V56" s="162"/>
    </row>
    <row r="57" spans="2:22">
      <c r="B57" s="158"/>
      <c r="C57" s="150">
        <f t="shared" si="0"/>
        <v>0</v>
      </c>
      <c r="D57" s="159"/>
      <c r="E57" s="160"/>
      <c r="F57" s="159"/>
      <c r="G57" s="160"/>
      <c r="H57" s="159"/>
      <c r="I57" s="161"/>
      <c r="J57" s="161"/>
      <c r="K57" s="161"/>
      <c r="L57" s="161"/>
      <c r="M57" s="161"/>
      <c r="N57" s="161"/>
      <c r="O57" s="161"/>
      <c r="P57" s="161"/>
      <c r="Q57" s="154">
        <f t="shared" si="1"/>
        <v>0</v>
      </c>
      <c r="R57" s="160"/>
      <c r="S57" s="155">
        <f t="shared" si="2"/>
        <v>0</v>
      </c>
      <c r="T57" s="160">
        <v>0</v>
      </c>
      <c r="U57" s="163"/>
      <c r="V57" s="162">
        <v>46096.958333333328</v>
      </c>
    </row>
    <row r="58" spans="2:22">
      <c r="B58" s="158"/>
      <c r="C58" s="150">
        <f t="shared" si="0"/>
        <v>0</v>
      </c>
      <c r="D58" s="159"/>
      <c r="E58" s="160"/>
      <c r="F58" s="166"/>
      <c r="G58" s="160"/>
      <c r="H58" s="166"/>
      <c r="I58" s="152"/>
      <c r="J58" s="152"/>
      <c r="K58" s="152"/>
      <c r="L58" s="152"/>
      <c r="M58" s="152"/>
      <c r="N58" s="165"/>
      <c r="O58" s="165"/>
      <c r="P58" s="165"/>
      <c r="Q58" s="154">
        <f t="shared" si="1"/>
        <v>0</v>
      </c>
      <c r="R58" s="160"/>
      <c r="S58" s="155">
        <f t="shared" si="2"/>
        <v>0</v>
      </c>
      <c r="T58" s="160"/>
      <c r="U58" s="163"/>
      <c r="V58" s="162"/>
    </row>
    <row r="59" spans="2:22">
      <c r="B59" s="158"/>
      <c r="C59" s="150">
        <f t="shared" si="0"/>
        <v>0</v>
      </c>
      <c r="D59" s="159"/>
      <c r="E59" s="160"/>
      <c r="F59" s="159"/>
      <c r="G59" s="160"/>
      <c r="H59" s="159"/>
      <c r="I59" s="161"/>
      <c r="J59" s="161"/>
      <c r="K59" s="161"/>
      <c r="L59" s="161"/>
      <c r="M59" s="161"/>
      <c r="N59" s="161"/>
      <c r="O59" s="161"/>
      <c r="P59" s="161"/>
      <c r="Q59" s="154">
        <f t="shared" si="1"/>
        <v>0</v>
      </c>
      <c r="R59" s="160"/>
      <c r="S59" s="155">
        <f t="shared" si="2"/>
        <v>0</v>
      </c>
      <c r="T59" s="160"/>
      <c r="U59" s="163"/>
      <c r="V59" s="162"/>
    </row>
    <row r="60" spans="2:22">
      <c r="B60" s="158"/>
      <c r="C60" s="150">
        <f t="shared" si="0"/>
        <v>0</v>
      </c>
      <c r="D60" s="159"/>
      <c r="E60" s="160"/>
      <c r="F60" s="159"/>
      <c r="G60" s="160"/>
      <c r="H60" s="159"/>
      <c r="I60" s="161"/>
      <c r="J60" s="161"/>
      <c r="K60" s="161"/>
      <c r="L60" s="161"/>
      <c r="M60" s="161"/>
      <c r="N60" s="161"/>
      <c r="O60" s="161"/>
      <c r="P60" s="161"/>
      <c r="Q60" s="154">
        <f t="shared" si="1"/>
        <v>0</v>
      </c>
      <c r="R60" s="160"/>
      <c r="S60" s="155">
        <f t="shared" si="2"/>
        <v>0</v>
      </c>
      <c r="T60" s="160"/>
      <c r="U60" s="157"/>
      <c r="V60" s="162"/>
    </row>
    <row r="61" spans="2:22">
      <c r="B61" s="158"/>
      <c r="C61" s="150">
        <f t="shared" si="0"/>
        <v>0</v>
      </c>
      <c r="D61" s="159"/>
      <c r="E61" s="160"/>
      <c r="F61" s="159"/>
      <c r="G61" s="160"/>
      <c r="H61" s="159"/>
      <c r="I61" s="161"/>
      <c r="J61" s="161"/>
      <c r="K61" s="161"/>
      <c r="L61" s="161"/>
      <c r="M61" s="161"/>
      <c r="N61" s="161"/>
      <c r="O61" s="161"/>
      <c r="P61" s="161"/>
      <c r="Q61" s="154">
        <f t="shared" si="1"/>
        <v>0</v>
      </c>
      <c r="R61" s="160"/>
      <c r="S61" s="155">
        <f t="shared" si="2"/>
        <v>0</v>
      </c>
      <c r="T61" s="160"/>
      <c r="U61" s="162"/>
      <c r="V61" s="162"/>
    </row>
    <row r="62" spans="2:22">
      <c r="B62" s="158"/>
      <c r="C62" s="150">
        <f t="shared" si="0"/>
        <v>0</v>
      </c>
      <c r="D62" s="159"/>
      <c r="E62" s="160"/>
      <c r="F62" s="159"/>
      <c r="G62" s="160"/>
      <c r="H62" s="159"/>
      <c r="I62" s="161"/>
      <c r="J62" s="161"/>
      <c r="K62" s="161"/>
      <c r="L62" s="161"/>
      <c r="M62" s="161"/>
      <c r="N62" s="161"/>
      <c r="O62" s="161"/>
      <c r="P62" s="161"/>
      <c r="Q62" s="154">
        <f t="shared" si="1"/>
        <v>0</v>
      </c>
      <c r="R62" s="160"/>
      <c r="S62" s="155">
        <f t="shared" si="2"/>
        <v>0</v>
      </c>
      <c r="T62" s="160"/>
      <c r="U62" s="163"/>
      <c r="V62" s="162"/>
    </row>
    <row r="63" spans="2:22">
      <c r="B63" s="158"/>
      <c r="C63" s="150">
        <f t="shared" si="0"/>
        <v>0</v>
      </c>
      <c r="D63" s="159"/>
      <c r="E63" s="160"/>
      <c r="F63" s="159"/>
      <c r="G63" s="160"/>
      <c r="H63" s="159"/>
      <c r="I63" s="161"/>
      <c r="J63" s="161"/>
      <c r="K63" s="161"/>
      <c r="L63" s="161"/>
      <c r="M63" s="161"/>
      <c r="N63" s="161"/>
      <c r="O63" s="161"/>
      <c r="P63" s="161"/>
      <c r="Q63" s="154">
        <f t="shared" si="1"/>
        <v>0</v>
      </c>
      <c r="R63" s="160"/>
      <c r="S63" s="155">
        <f t="shared" si="2"/>
        <v>0</v>
      </c>
      <c r="T63" s="160"/>
      <c r="U63" s="163"/>
      <c r="V63" s="162"/>
    </row>
    <row r="64" spans="2:22">
      <c r="B64" s="158"/>
      <c r="C64" s="150">
        <f t="shared" si="0"/>
        <v>0</v>
      </c>
      <c r="D64" s="159"/>
      <c r="E64" s="160"/>
      <c r="F64" s="159"/>
      <c r="G64" s="160"/>
      <c r="H64" s="159"/>
      <c r="I64" s="161"/>
      <c r="J64" s="161"/>
      <c r="K64" s="161"/>
      <c r="L64" s="161"/>
      <c r="M64" s="161"/>
      <c r="N64" s="161"/>
      <c r="O64" s="161"/>
      <c r="P64" s="161"/>
      <c r="Q64" s="154">
        <f t="shared" si="1"/>
        <v>0</v>
      </c>
      <c r="R64" s="160"/>
      <c r="S64" s="155">
        <f t="shared" si="2"/>
        <v>0</v>
      </c>
      <c r="T64" s="160"/>
      <c r="U64" s="163"/>
      <c r="V64" s="162"/>
    </row>
    <row r="65" spans="2:22">
      <c r="B65" s="158"/>
      <c r="C65" s="150">
        <f t="shared" si="0"/>
        <v>0</v>
      </c>
      <c r="D65" s="159"/>
      <c r="E65" s="160"/>
      <c r="F65" s="159"/>
      <c r="G65" s="160"/>
      <c r="H65" s="159"/>
      <c r="I65" s="161"/>
      <c r="J65" s="161"/>
      <c r="K65" s="161"/>
      <c r="L65" s="161"/>
      <c r="M65" s="161"/>
      <c r="N65" s="161"/>
      <c r="O65" s="161"/>
      <c r="P65" s="161"/>
      <c r="Q65" s="154">
        <f t="shared" si="1"/>
        <v>0</v>
      </c>
      <c r="R65" s="160"/>
      <c r="S65" s="155">
        <f t="shared" si="2"/>
        <v>0</v>
      </c>
      <c r="T65" s="160"/>
      <c r="U65" s="163"/>
      <c r="V65" s="162"/>
    </row>
    <row r="66" spans="2:22">
      <c r="B66" s="158"/>
      <c r="C66" s="150">
        <f t="shared" si="0"/>
        <v>0</v>
      </c>
      <c r="D66" s="159"/>
      <c r="E66" s="160"/>
      <c r="F66" s="159"/>
      <c r="G66" s="160"/>
      <c r="H66" s="159"/>
      <c r="I66" s="161"/>
      <c r="J66" s="161"/>
      <c r="K66" s="161"/>
      <c r="L66" s="161"/>
      <c r="M66" s="161"/>
      <c r="N66" s="161"/>
      <c r="O66" s="161"/>
      <c r="P66" s="161"/>
      <c r="Q66" s="154">
        <f t="shared" si="1"/>
        <v>0</v>
      </c>
      <c r="R66" s="160"/>
      <c r="S66" s="155">
        <f t="shared" si="2"/>
        <v>0</v>
      </c>
      <c r="T66" s="160"/>
      <c r="U66" s="157"/>
      <c r="V66" s="162"/>
    </row>
    <row r="67" spans="2:22">
      <c r="B67" s="158"/>
      <c r="C67" s="150">
        <f t="shared" si="0"/>
        <v>0</v>
      </c>
      <c r="D67" s="159"/>
      <c r="E67" s="160"/>
      <c r="F67" s="159"/>
      <c r="G67" s="160"/>
      <c r="H67" s="159"/>
      <c r="I67" s="161"/>
      <c r="J67" s="161"/>
      <c r="K67" s="161"/>
      <c r="L67" s="161"/>
      <c r="M67" s="161"/>
      <c r="N67" s="161"/>
      <c r="O67" s="161"/>
      <c r="P67" s="161"/>
      <c r="Q67" s="154">
        <f t="shared" si="1"/>
        <v>0</v>
      </c>
      <c r="R67" s="160"/>
      <c r="S67" s="155">
        <f t="shared" si="2"/>
        <v>0</v>
      </c>
      <c r="T67" s="160"/>
      <c r="U67" s="162"/>
      <c r="V67" s="162"/>
    </row>
    <row r="68" spans="2:22">
      <c r="B68" s="158"/>
      <c r="C68" s="150">
        <f t="shared" si="0"/>
        <v>0</v>
      </c>
      <c r="D68" s="159"/>
      <c r="E68" s="160"/>
      <c r="F68" s="159"/>
      <c r="G68" s="160"/>
      <c r="H68" s="159"/>
      <c r="I68" s="161"/>
      <c r="J68" s="161"/>
      <c r="K68" s="161"/>
      <c r="L68" s="161"/>
      <c r="M68" s="161"/>
      <c r="N68" s="161"/>
      <c r="O68" s="161"/>
      <c r="P68" s="161"/>
      <c r="Q68" s="154">
        <f t="shared" si="1"/>
        <v>0</v>
      </c>
      <c r="R68" s="160"/>
      <c r="S68" s="155">
        <f t="shared" si="2"/>
        <v>0</v>
      </c>
      <c r="T68" s="160"/>
      <c r="U68" s="163"/>
      <c r="V68" s="162"/>
    </row>
    <row r="69" spans="2:22">
      <c r="B69" s="158"/>
      <c r="C69" s="150">
        <f t="shared" si="0"/>
        <v>0</v>
      </c>
      <c r="D69" s="159"/>
      <c r="E69" s="160"/>
      <c r="F69" s="166"/>
      <c r="G69" s="160"/>
      <c r="H69" s="166"/>
      <c r="I69" s="160"/>
      <c r="J69" s="160"/>
      <c r="K69" s="160"/>
      <c r="L69" s="160"/>
      <c r="M69" s="160"/>
      <c r="N69" s="160"/>
      <c r="O69" s="160"/>
      <c r="P69" s="160"/>
      <c r="Q69" s="154">
        <f t="shared" si="1"/>
        <v>0</v>
      </c>
      <c r="R69" s="160"/>
      <c r="S69" s="155">
        <f t="shared" si="2"/>
        <v>0</v>
      </c>
      <c r="T69" s="160"/>
      <c r="U69" s="163"/>
      <c r="V69" s="162"/>
    </row>
    <row r="70" spans="2:22">
      <c r="B70" s="158"/>
      <c r="C70" s="150">
        <f t="shared" si="0"/>
        <v>0</v>
      </c>
      <c r="D70" s="159"/>
      <c r="E70" s="160"/>
      <c r="F70" s="159"/>
      <c r="G70" s="160"/>
      <c r="H70" s="159"/>
      <c r="I70" s="161"/>
      <c r="J70" s="161"/>
      <c r="K70" s="161"/>
      <c r="L70" s="161"/>
      <c r="M70" s="161"/>
      <c r="N70" s="161"/>
      <c r="O70" s="161"/>
      <c r="P70" s="161"/>
      <c r="Q70" s="154">
        <f t="shared" si="1"/>
        <v>0</v>
      </c>
      <c r="R70" s="160"/>
      <c r="S70" s="155">
        <f t="shared" si="2"/>
        <v>0</v>
      </c>
      <c r="T70" s="160"/>
      <c r="U70" s="163"/>
      <c r="V70" s="162"/>
    </row>
    <row r="71" spans="2:22">
      <c r="B71" s="158"/>
      <c r="C71" s="150">
        <f t="shared" si="0"/>
        <v>0</v>
      </c>
      <c r="D71" s="159"/>
      <c r="E71" s="160"/>
      <c r="F71" s="159"/>
      <c r="G71" s="160"/>
      <c r="H71" s="159"/>
      <c r="I71" s="161"/>
      <c r="J71" s="161"/>
      <c r="K71" s="161"/>
      <c r="L71" s="161"/>
      <c r="M71" s="161"/>
      <c r="N71" s="161"/>
      <c r="O71" s="161"/>
      <c r="P71" s="161"/>
      <c r="Q71" s="154">
        <f t="shared" si="1"/>
        <v>0</v>
      </c>
      <c r="R71" s="160"/>
      <c r="S71" s="155">
        <f t="shared" si="2"/>
        <v>0</v>
      </c>
      <c r="T71" s="160"/>
      <c r="U71" s="163"/>
      <c r="V71" s="162"/>
    </row>
    <row r="72" spans="2:22">
      <c r="B72" s="158"/>
      <c r="C72" s="150">
        <f t="shared" si="0"/>
        <v>0</v>
      </c>
      <c r="D72" s="159"/>
      <c r="E72" s="160"/>
      <c r="F72" s="159"/>
      <c r="G72" s="160"/>
      <c r="H72" s="159"/>
      <c r="I72" s="161"/>
      <c r="J72" s="161"/>
      <c r="K72" s="161"/>
      <c r="L72" s="161"/>
      <c r="M72" s="161"/>
      <c r="N72" s="161"/>
      <c r="O72" s="161"/>
      <c r="P72" s="161"/>
      <c r="Q72" s="154">
        <f t="shared" si="1"/>
        <v>0</v>
      </c>
      <c r="R72" s="160"/>
      <c r="S72" s="155">
        <f t="shared" si="2"/>
        <v>0</v>
      </c>
      <c r="T72" s="160"/>
      <c r="U72" s="157"/>
      <c r="V72" s="162"/>
    </row>
    <row r="73" spans="2:22">
      <c r="B73" s="158"/>
      <c r="C73" s="150">
        <f t="shared" si="0"/>
        <v>0</v>
      </c>
      <c r="D73" s="159"/>
      <c r="E73" s="160"/>
      <c r="F73" s="159"/>
      <c r="G73" s="160"/>
      <c r="H73" s="159"/>
      <c r="I73" s="161"/>
      <c r="J73" s="161"/>
      <c r="K73" s="161"/>
      <c r="L73" s="161"/>
      <c r="M73" s="161"/>
      <c r="N73" s="161"/>
      <c r="O73" s="161"/>
      <c r="P73" s="161"/>
      <c r="Q73" s="154">
        <f t="shared" si="1"/>
        <v>0</v>
      </c>
      <c r="R73" s="160"/>
      <c r="S73" s="155">
        <f t="shared" si="2"/>
        <v>0</v>
      </c>
      <c r="T73" s="160"/>
      <c r="U73" s="162"/>
      <c r="V73" s="162"/>
    </row>
    <row r="74" spans="2:22">
      <c r="B74" s="158"/>
      <c r="C74" s="150">
        <f t="shared" si="0"/>
        <v>0</v>
      </c>
      <c r="D74" s="159"/>
      <c r="E74" s="160"/>
      <c r="F74" s="166"/>
      <c r="G74" s="160"/>
      <c r="H74" s="166"/>
      <c r="I74" s="167"/>
      <c r="J74" s="167"/>
      <c r="K74" s="167"/>
      <c r="L74" s="167"/>
      <c r="M74" s="167"/>
      <c r="N74" s="167"/>
      <c r="O74" s="167"/>
      <c r="P74" s="167"/>
      <c r="Q74" s="154">
        <f t="shared" si="1"/>
        <v>0</v>
      </c>
      <c r="R74" s="160"/>
      <c r="S74" s="155">
        <f t="shared" si="2"/>
        <v>0</v>
      </c>
      <c r="T74" s="160"/>
      <c r="U74" s="163"/>
      <c r="V74" s="162"/>
    </row>
    <row r="75" spans="2:22">
      <c r="B75" s="158"/>
      <c r="C75" s="150">
        <f t="shared" si="0"/>
        <v>0</v>
      </c>
      <c r="D75" s="159"/>
      <c r="E75" s="160"/>
      <c r="F75" s="159"/>
      <c r="G75" s="160"/>
      <c r="H75" s="159"/>
      <c r="I75" s="161"/>
      <c r="J75" s="161"/>
      <c r="K75" s="161"/>
      <c r="L75" s="161"/>
      <c r="M75" s="161"/>
      <c r="N75" s="161"/>
      <c r="O75" s="161"/>
      <c r="P75" s="161"/>
      <c r="Q75" s="154">
        <f t="shared" si="1"/>
        <v>0</v>
      </c>
      <c r="R75" s="160"/>
      <c r="S75" s="155">
        <f t="shared" si="2"/>
        <v>0</v>
      </c>
      <c r="T75" s="160"/>
      <c r="U75" s="157"/>
      <c r="V75" s="162"/>
    </row>
    <row r="76" spans="2:22">
      <c r="B76" s="158"/>
      <c r="C76" s="150">
        <f t="shared" ref="C76:C139" si="3">E76+G76+Q76</f>
        <v>0</v>
      </c>
      <c r="D76" s="159"/>
      <c r="E76" s="160"/>
      <c r="F76" s="159"/>
      <c r="G76" s="160"/>
      <c r="H76" s="159"/>
      <c r="I76" s="161"/>
      <c r="J76" s="161"/>
      <c r="K76" s="161"/>
      <c r="L76" s="161"/>
      <c r="M76" s="161"/>
      <c r="N76" s="161"/>
      <c r="O76" s="161"/>
      <c r="P76" s="161"/>
      <c r="Q76" s="154">
        <f t="shared" ref="Q76:Q139" si="4">I76+J76+K76+L76+M76+N76+O76+P76</f>
        <v>0</v>
      </c>
      <c r="R76" s="160"/>
      <c r="S76" s="155">
        <f t="shared" ref="S76:S139" si="5">E76-R76</f>
        <v>0</v>
      </c>
      <c r="T76" s="160"/>
      <c r="U76" s="162"/>
      <c r="V76" s="162"/>
    </row>
    <row r="77" spans="2:22">
      <c r="B77" s="158"/>
      <c r="C77" s="150">
        <f t="shared" si="3"/>
        <v>0</v>
      </c>
      <c r="D77" s="159"/>
      <c r="E77" s="160"/>
      <c r="F77" s="159"/>
      <c r="G77" s="160"/>
      <c r="H77" s="159"/>
      <c r="I77" s="161"/>
      <c r="J77" s="161"/>
      <c r="K77" s="161"/>
      <c r="L77" s="161"/>
      <c r="M77" s="161"/>
      <c r="N77" s="161"/>
      <c r="O77" s="161"/>
      <c r="P77" s="161"/>
      <c r="Q77" s="154">
        <f t="shared" si="4"/>
        <v>0</v>
      </c>
      <c r="R77" s="160"/>
      <c r="S77" s="155">
        <f t="shared" si="5"/>
        <v>0</v>
      </c>
      <c r="T77" s="160"/>
      <c r="U77" s="163"/>
      <c r="V77" s="162"/>
    </row>
    <row r="78" spans="2:22">
      <c r="B78" s="158"/>
      <c r="C78" s="150">
        <f t="shared" si="3"/>
        <v>0</v>
      </c>
      <c r="D78" s="159"/>
      <c r="E78" s="160"/>
      <c r="F78" s="159"/>
      <c r="G78" s="160"/>
      <c r="H78" s="159"/>
      <c r="I78" s="161"/>
      <c r="J78" s="161"/>
      <c r="K78" s="161"/>
      <c r="L78" s="161"/>
      <c r="M78" s="161"/>
      <c r="N78" s="161"/>
      <c r="O78" s="161"/>
      <c r="P78" s="161"/>
      <c r="Q78" s="154">
        <f t="shared" si="4"/>
        <v>0</v>
      </c>
      <c r="R78" s="160"/>
      <c r="S78" s="155">
        <f t="shared" si="5"/>
        <v>0</v>
      </c>
      <c r="T78" s="160"/>
      <c r="U78" s="163"/>
      <c r="V78" s="162"/>
    </row>
    <row r="79" spans="2:22">
      <c r="B79" s="158"/>
      <c r="C79" s="150">
        <f t="shared" si="3"/>
        <v>0</v>
      </c>
      <c r="D79" s="159"/>
      <c r="E79" s="160"/>
      <c r="F79" s="166"/>
      <c r="G79" s="160"/>
      <c r="H79" s="166"/>
      <c r="I79" s="160"/>
      <c r="J79" s="160"/>
      <c r="K79" s="160"/>
      <c r="L79" s="160"/>
      <c r="M79" s="160"/>
      <c r="N79" s="160"/>
      <c r="O79" s="160"/>
      <c r="P79" s="160"/>
      <c r="Q79" s="154">
        <f t="shared" si="4"/>
        <v>0</v>
      </c>
      <c r="R79" s="160"/>
      <c r="S79" s="155">
        <f t="shared" si="5"/>
        <v>0</v>
      </c>
      <c r="T79" s="160"/>
      <c r="U79" s="163"/>
      <c r="V79" s="162"/>
    </row>
    <row r="80" spans="2:22">
      <c r="B80" s="158"/>
      <c r="C80" s="150">
        <f t="shared" si="3"/>
        <v>0</v>
      </c>
      <c r="D80" s="159"/>
      <c r="E80" s="160"/>
      <c r="F80" s="166"/>
      <c r="G80" s="160"/>
      <c r="H80" s="166"/>
      <c r="I80" s="165"/>
      <c r="J80" s="165"/>
      <c r="K80" s="165"/>
      <c r="L80" s="165"/>
      <c r="M80" s="165"/>
      <c r="N80" s="165"/>
      <c r="O80" s="165"/>
      <c r="P80" s="165"/>
      <c r="Q80" s="154">
        <f t="shared" si="4"/>
        <v>0</v>
      </c>
      <c r="R80" s="160"/>
      <c r="S80" s="155">
        <f t="shared" si="5"/>
        <v>0</v>
      </c>
      <c r="T80" s="160"/>
      <c r="U80" s="163"/>
      <c r="V80" s="162"/>
    </row>
    <row r="81" spans="2:22">
      <c r="B81" s="158"/>
      <c r="C81" s="150">
        <f t="shared" si="3"/>
        <v>0</v>
      </c>
      <c r="D81" s="159"/>
      <c r="E81" s="160"/>
      <c r="F81" s="166"/>
      <c r="G81" s="160"/>
      <c r="H81" s="166"/>
      <c r="I81" s="165"/>
      <c r="J81" s="165"/>
      <c r="K81" s="165"/>
      <c r="L81" s="165"/>
      <c r="M81" s="165"/>
      <c r="N81" s="165"/>
      <c r="O81" s="165"/>
      <c r="P81" s="165"/>
      <c r="Q81" s="154">
        <f t="shared" si="4"/>
        <v>0</v>
      </c>
      <c r="R81" s="160"/>
      <c r="S81" s="155">
        <f t="shared" si="5"/>
        <v>0</v>
      </c>
      <c r="T81" s="160"/>
      <c r="U81" s="157"/>
      <c r="V81" s="162"/>
    </row>
    <row r="82" spans="2:22">
      <c r="B82" s="158"/>
      <c r="C82" s="150">
        <f t="shared" si="3"/>
        <v>0</v>
      </c>
      <c r="D82" s="159"/>
      <c r="E82" s="160"/>
      <c r="F82" s="166"/>
      <c r="G82" s="160"/>
      <c r="H82" s="166"/>
      <c r="I82" s="165"/>
      <c r="J82" s="165"/>
      <c r="K82" s="165"/>
      <c r="L82" s="165"/>
      <c r="M82" s="165"/>
      <c r="N82" s="165"/>
      <c r="O82" s="165"/>
      <c r="P82" s="165"/>
      <c r="Q82" s="154">
        <f t="shared" si="4"/>
        <v>0</v>
      </c>
      <c r="R82" s="160"/>
      <c r="S82" s="155">
        <f t="shared" si="5"/>
        <v>0</v>
      </c>
      <c r="T82" s="160"/>
      <c r="U82" s="162"/>
      <c r="V82" s="162"/>
    </row>
    <row r="83" spans="2:22">
      <c r="B83" s="158"/>
      <c r="C83" s="150">
        <f t="shared" si="3"/>
        <v>0</v>
      </c>
      <c r="D83" s="159"/>
      <c r="E83" s="160"/>
      <c r="F83" s="166"/>
      <c r="G83" s="160"/>
      <c r="H83" s="166"/>
      <c r="I83" s="165"/>
      <c r="J83" s="165"/>
      <c r="K83" s="165"/>
      <c r="L83" s="165"/>
      <c r="M83" s="165"/>
      <c r="N83" s="165"/>
      <c r="O83" s="165"/>
      <c r="P83" s="165"/>
      <c r="Q83" s="154">
        <f t="shared" si="4"/>
        <v>0</v>
      </c>
      <c r="R83" s="160"/>
      <c r="S83" s="155">
        <f t="shared" si="5"/>
        <v>0</v>
      </c>
      <c r="T83" s="160"/>
      <c r="U83" s="163"/>
      <c r="V83" s="162"/>
    </row>
    <row r="84" spans="2:22">
      <c r="B84" s="158"/>
      <c r="C84" s="150">
        <f t="shared" si="3"/>
        <v>0</v>
      </c>
      <c r="D84" s="159"/>
      <c r="E84" s="160"/>
      <c r="F84" s="166"/>
      <c r="G84" s="160"/>
      <c r="H84" s="166"/>
      <c r="I84" s="165"/>
      <c r="J84" s="165"/>
      <c r="K84" s="165"/>
      <c r="L84" s="165"/>
      <c r="M84" s="165"/>
      <c r="N84" s="165"/>
      <c r="O84" s="165"/>
      <c r="P84" s="165"/>
      <c r="Q84" s="154">
        <f t="shared" si="4"/>
        <v>0</v>
      </c>
      <c r="R84" s="160"/>
      <c r="S84" s="155">
        <f t="shared" si="5"/>
        <v>0</v>
      </c>
      <c r="T84" s="160"/>
      <c r="U84" s="163"/>
      <c r="V84" s="162"/>
    </row>
    <row r="85" spans="2:22">
      <c r="B85" s="158"/>
      <c r="C85" s="150">
        <f t="shared" si="3"/>
        <v>0</v>
      </c>
      <c r="D85" s="159"/>
      <c r="E85" s="160"/>
      <c r="F85" s="159"/>
      <c r="G85" s="160"/>
      <c r="H85" s="159"/>
      <c r="I85" s="161"/>
      <c r="J85" s="161"/>
      <c r="K85" s="161"/>
      <c r="L85" s="161"/>
      <c r="M85" s="161"/>
      <c r="N85" s="161"/>
      <c r="O85" s="161"/>
      <c r="P85" s="161"/>
      <c r="Q85" s="154">
        <f t="shared" si="4"/>
        <v>0</v>
      </c>
      <c r="R85" s="160"/>
      <c r="S85" s="155">
        <f t="shared" si="5"/>
        <v>0</v>
      </c>
      <c r="T85" s="160"/>
      <c r="U85" s="163"/>
      <c r="V85" s="162"/>
    </row>
    <row r="86" spans="2:22">
      <c r="B86" s="158"/>
      <c r="C86" s="150">
        <f t="shared" si="3"/>
        <v>0</v>
      </c>
      <c r="D86" s="159"/>
      <c r="E86" s="160"/>
      <c r="F86" s="159"/>
      <c r="G86" s="160"/>
      <c r="H86" s="159"/>
      <c r="I86" s="160"/>
      <c r="J86" s="160"/>
      <c r="K86" s="160"/>
      <c r="L86" s="160"/>
      <c r="M86" s="160"/>
      <c r="N86" s="160"/>
      <c r="O86" s="160"/>
      <c r="P86" s="160"/>
      <c r="Q86" s="154">
        <f t="shared" si="4"/>
        <v>0</v>
      </c>
      <c r="R86" s="160"/>
      <c r="S86" s="155">
        <f t="shared" si="5"/>
        <v>0</v>
      </c>
      <c r="T86" s="160"/>
      <c r="U86" s="163"/>
      <c r="V86" s="162"/>
    </row>
    <row r="87" spans="2:22">
      <c r="B87" s="158"/>
      <c r="C87" s="150">
        <f t="shared" si="3"/>
        <v>0</v>
      </c>
      <c r="D87" s="159"/>
      <c r="E87" s="160"/>
      <c r="F87" s="159"/>
      <c r="G87" s="160"/>
      <c r="H87" s="159"/>
      <c r="I87" s="165"/>
      <c r="J87" s="165"/>
      <c r="K87" s="165"/>
      <c r="L87" s="165"/>
      <c r="M87" s="165"/>
      <c r="N87" s="165"/>
      <c r="O87" s="165"/>
      <c r="P87" s="165"/>
      <c r="Q87" s="154">
        <f t="shared" si="4"/>
        <v>0</v>
      </c>
      <c r="R87" s="160"/>
      <c r="S87" s="155">
        <f t="shared" si="5"/>
        <v>0</v>
      </c>
      <c r="T87" s="160"/>
      <c r="U87" s="157"/>
      <c r="V87" s="162"/>
    </row>
    <row r="88" spans="2:22">
      <c r="B88" s="158"/>
      <c r="C88" s="150">
        <f t="shared" si="3"/>
        <v>0</v>
      </c>
      <c r="D88" s="159"/>
      <c r="E88" s="160"/>
      <c r="F88" s="159"/>
      <c r="G88" s="160"/>
      <c r="H88" s="159"/>
      <c r="I88" s="165"/>
      <c r="J88" s="165"/>
      <c r="K88" s="165"/>
      <c r="L88" s="165"/>
      <c r="M88" s="165"/>
      <c r="N88" s="165"/>
      <c r="O88" s="165"/>
      <c r="P88" s="165"/>
      <c r="Q88" s="154">
        <f t="shared" si="4"/>
        <v>0</v>
      </c>
      <c r="R88" s="160"/>
      <c r="S88" s="155">
        <f t="shared" si="5"/>
        <v>0</v>
      </c>
      <c r="T88" s="160"/>
      <c r="U88" s="162"/>
      <c r="V88" s="162"/>
    </row>
    <row r="89" spans="2:22">
      <c r="B89" s="158"/>
      <c r="C89" s="150">
        <f t="shared" si="3"/>
        <v>0</v>
      </c>
      <c r="D89" s="159"/>
      <c r="E89" s="160"/>
      <c r="F89" s="159"/>
      <c r="G89" s="160"/>
      <c r="H89" s="159"/>
      <c r="I89" s="165"/>
      <c r="J89" s="165"/>
      <c r="K89" s="165"/>
      <c r="L89" s="165"/>
      <c r="M89" s="165"/>
      <c r="N89" s="165"/>
      <c r="O89" s="165"/>
      <c r="P89" s="165"/>
      <c r="Q89" s="154">
        <f t="shared" si="4"/>
        <v>0</v>
      </c>
      <c r="R89" s="160"/>
      <c r="S89" s="155">
        <f t="shared" si="5"/>
        <v>0</v>
      </c>
      <c r="T89" s="160"/>
      <c r="U89" s="163"/>
      <c r="V89" s="162"/>
    </row>
    <row r="90" spans="2:22">
      <c r="B90" s="158"/>
      <c r="C90" s="150">
        <f t="shared" si="3"/>
        <v>0</v>
      </c>
      <c r="D90" s="159"/>
      <c r="E90" s="160"/>
      <c r="F90" s="159"/>
      <c r="G90" s="160"/>
      <c r="H90" s="159"/>
      <c r="I90" s="165"/>
      <c r="J90" s="165"/>
      <c r="K90" s="165"/>
      <c r="L90" s="165"/>
      <c r="M90" s="165"/>
      <c r="N90" s="165"/>
      <c r="O90" s="165"/>
      <c r="P90" s="165"/>
      <c r="Q90" s="154">
        <f t="shared" si="4"/>
        <v>0</v>
      </c>
      <c r="R90" s="160"/>
      <c r="S90" s="155">
        <f t="shared" si="5"/>
        <v>0</v>
      </c>
      <c r="T90" s="160"/>
      <c r="U90" s="163"/>
      <c r="V90" s="162"/>
    </row>
    <row r="91" spans="2:22">
      <c r="B91" s="158"/>
      <c r="C91" s="150">
        <f t="shared" si="3"/>
        <v>0</v>
      </c>
      <c r="D91" s="159"/>
      <c r="E91" s="160"/>
      <c r="F91" s="159"/>
      <c r="G91" s="160"/>
      <c r="H91" s="159"/>
      <c r="I91" s="161"/>
      <c r="J91" s="161"/>
      <c r="K91" s="161"/>
      <c r="L91" s="161"/>
      <c r="M91" s="161"/>
      <c r="N91" s="161"/>
      <c r="O91" s="161"/>
      <c r="P91" s="161"/>
      <c r="Q91" s="154">
        <f t="shared" si="4"/>
        <v>0</v>
      </c>
      <c r="R91" s="160"/>
      <c r="S91" s="155">
        <f t="shared" si="5"/>
        <v>0</v>
      </c>
      <c r="T91" s="160"/>
      <c r="U91" s="163"/>
      <c r="V91" s="162"/>
    </row>
    <row r="92" spans="2:22">
      <c r="B92" s="158"/>
      <c r="C92" s="150">
        <f t="shared" si="3"/>
        <v>0</v>
      </c>
      <c r="D92" s="159"/>
      <c r="E92" s="160"/>
      <c r="F92" s="159"/>
      <c r="G92" s="160"/>
      <c r="H92" s="159"/>
      <c r="I92" s="161"/>
      <c r="J92" s="161"/>
      <c r="K92" s="161"/>
      <c r="L92" s="161"/>
      <c r="M92" s="161"/>
      <c r="N92" s="161"/>
      <c r="O92" s="161"/>
      <c r="P92" s="161"/>
      <c r="Q92" s="154">
        <f t="shared" si="4"/>
        <v>0</v>
      </c>
      <c r="R92" s="160"/>
      <c r="S92" s="155">
        <f t="shared" si="5"/>
        <v>0</v>
      </c>
      <c r="T92" s="160"/>
      <c r="U92" s="163"/>
      <c r="V92" s="162"/>
    </row>
    <row r="93" spans="2:22">
      <c r="B93" s="158"/>
      <c r="C93" s="150">
        <f t="shared" si="3"/>
        <v>0</v>
      </c>
      <c r="D93" s="159"/>
      <c r="E93" s="160"/>
      <c r="F93" s="159"/>
      <c r="G93" s="160"/>
      <c r="H93" s="159"/>
      <c r="I93" s="161"/>
      <c r="J93" s="161"/>
      <c r="K93" s="161"/>
      <c r="L93" s="161"/>
      <c r="M93" s="161"/>
      <c r="N93" s="161"/>
      <c r="O93" s="161"/>
      <c r="P93" s="161"/>
      <c r="Q93" s="154">
        <f t="shared" si="4"/>
        <v>0</v>
      </c>
      <c r="R93" s="160"/>
      <c r="S93" s="155">
        <f t="shared" si="5"/>
        <v>0</v>
      </c>
      <c r="T93" s="160"/>
      <c r="U93" s="157"/>
      <c r="V93" s="162"/>
    </row>
    <row r="94" spans="2:22">
      <c r="B94" s="158"/>
      <c r="C94" s="150">
        <f t="shared" si="3"/>
        <v>0</v>
      </c>
      <c r="D94" s="159"/>
      <c r="E94" s="160"/>
      <c r="F94" s="159"/>
      <c r="G94" s="160"/>
      <c r="H94" s="159"/>
      <c r="I94" s="161"/>
      <c r="J94" s="161"/>
      <c r="K94" s="161"/>
      <c r="L94" s="161"/>
      <c r="M94" s="161"/>
      <c r="N94" s="161"/>
      <c r="O94" s="161"/>
      <c r="P94" s="161"/>
      <c r="Q94" s="154">
        <f t="shared" si="4"/>
        <v>0</v>
      </c>
      <c r="R94" s="160"/>
      <c r="S94" s="155">
        <f t="shared" si="5"/>
        <v>0</v>
      </c>
      <c r="T94" s="160"/>
      <c r="U94" s="162"/>
      <c r="V94" s="162"/>
    </row>
    <row r="95" spans="2:22">
      <c r="B95" s="158"/>
      <c r="C95" s="150">
        <f t="shared" si="3"/>
        <v>0</v>
      </c>
      <c r="D95" s="159"/>
      <c r="E95" s="160"/>
      <c r="F95" s="159"/>
      <c r="G95" s="160"/>
      <c r="H95" s="159"/>
      <c r="I95" s="161"/>
      <c r="J95" s="161"/>
      <c r="K95" s="161"/>
      <c r="L95" s="161"/>
      <c r="M95" s="161"/>
      <c r="N95" s="161"/>
      <c r="O95" s="161"/>
      <c r="P95" s="161"/>
      <c r="Q95" s="154">
        <f t="shared" si="4"/>
        <v>0</v>
      </c>
      <c r="R95" s="160"/>
      <c r="S95" s="155">
        <f t="shared" si="5"/>
        <v>0</v>
      </c>
      <c r="T95" s="160"/>
      <c r="U95" s="163"/>
      <c r="V95" s="162"/>
    </row>
    <row r="96" spans="2:22">
      <c r="B96" s="158"/>
      <c r="C96" s="150">
        <f t="shared" si="3"/>
        <v>0</v>
      </c>
      <c r="D96" s="159"/>
      <c r="E96" s="160"/>
      <c r="F96" s="159"/>
      <c r="G96" s="160"/>
      <c r="H96" s="159"/>
      <c r="I96" s="160"/>
      <c r="J96" s="160"/>
      <c r="K96" s="160"/>
      <c r="L96" s="160"/>
      <c r="M96" s="160"/>
      <c r="N96" s="160"/>
      <c r="O96" s="160"/>
      <c r="P96" s="160"/>
      <c r="Q96" s="154">
        <f t="shared" si="4"/>
        <v>0</v>
      </c>
      <c r="R96" s="160"/>
      <c r="S96" s="155">
        <f t="shared" si="5"/>
        <v>0</v>
      </c>
      <c r="T96" s="160"/>
      <c r="U96" s="157"/>
      <c r="V96" s="162"/>
    </row>
    <row r="97" spans="2:22">
      <c r="B97" s="158"/>
      <c r="C97" s="150">
        <f t="shared" si="3"/>
        <v>0</v>
      </c>
      <c r="D97" s="159"/>
      <c r="E97" s="160"/>
      <c r="F97" s="159"/>
      <c r="G97" s="160"/>
      <c r="H97" s="159"/>
      <c r="I97" s="161"/>
      <c r="J97" s="161"/>
      <c r="K97" s="161"/>
      <c r="L97" s="161"/>
      <c r="M97" s="161"/>
      <c r="N97" s="161"/>
      <c r="O97" s="161"/>
      <c r="P97" s="161"/>
      <c r="Q97" s="154">
        <f t="shared" si="4"/>
        <v>0</v>
      </c>
      <c r="R97" s="160"/>
      <c r="S97" s="155">
        <f t="shared" si="5"/>
        <v>0</v>
      </c>
      <c r="T97" s="160"/>
      <c r="U97" s="162"/>
      <c r="V97" s="162"/>
    </row>
    <row r="98" spans="2:22">
      <c r="B98" s="158"/>
      <c r="C98" s="150">
        <f t="shared" si="3"/>
        <v>0</v>
      </c>
      <c r="D98" s="159"/>
      <c r="E98" s="160"/>
      <c r="F98" s="159"/>
      <c r="G98" s="160"/>
      <c r="H98" s="159"/>
      <c r="I98" s="161"/>
      <c r="J98" s="161"/>
      <c r="K98" s="161"/>
      <c r="L98" s="161"/>
      <c r="M98" s="161"/>
      <c r="N98" s="161"/>
      <c r="O98" s="161"/>
      <c r="P98" s="161"/>
      <c r="Q98" s="154">
        <f t="shared" si="4"/>
        <v>0</v>
      </c>
      <c r="R98" s="160"/>
      <c r="S98" s="155">
        <f t="shared" si="5"/>
        <v>0</v>
      </c>
      <c r="T98" s="160"/>
      <c r="U98" s="163"/>
      <c r="V98" s="162"/>
    </row>
    <row r="99" spans="2:22">
      <c r="B99" s="158"/>
      <c r="C99" s="150">
        <f t="shared" si="3"/>
        <v>0</v>
      </c>
      <c r="D99" s="159"/>
      <c r="E99" s="160"/>
      <c r="F99" s="159"/>
      <c r="G99" s="160"/>
      <c r="H99" s="159"/>
      <c r="I99" s="161"/>
      <c r="J99" s="161"/>
      <c r="K99" s="161"/>
      <c r="L99" s="161"/>
      <c r="M99" s="161"/>
      <c r="N99" s="161"/>
      <c r="O99" s="161"/>
      <c r="P99" s="161"/>
      <c r="Q99" s="154">
        <f t="shared" si="4"/>
        <v>0</v>
      </c>
      <c r="R99" s="160"/>
      <c r="S99" s="155">
        <f t="shared" si="5"/>
        <v>0</v>
      </c>
      <c r="T99" s="160"/>
      <c r="U99" s="163"/>
      <c r="V99" s="162"/>
    </row>
    <row r="100" spans="2:22">
      <c r="B100" s="158"/>
      <c r="C100" s="150">
        <f t="shared" si="3"/>
        <v>0</v>
      </c>
      <c r="D100" s="159"/>
      <c r="E100" s="160"/>
      <c r="F100" s="159"/>
      <c r="G100" s="160"/>
      <c r="H100" s="159"/>
      <c r="I100" s="161"/>
      <c r="J100" s="161"/>
      <c r="K100" s="161"/>
      <c r="L100" s="161"/>
      <c r="M100" s="161"/>
      <c r="N100" s="161"/>
      <c r="O100" s="161"/>
      <c r="P100" s="161"/>
      <c r="Q100" s="154">
        <f t="shared" si="4"/>
        <v>0</v>
      </c>
      <c r="R100" s="160"/>
      <c r="S100" s="155">
        <f t="shared" si="5"/>
        <v>0</v>
      </c>
      <c r="T100" s="160"/>
      <c r="U100" s="163"/>
      <c r="V100" s="162"/>
    </row>
    <row r="101" spans="2:22">
      <c r="B101" s="158"/>
      <c r="C101" s="150">
        <f t="shared" si="3"/>
        <v>0</v>
      </c>
      <c r="D101" s="159"/>
      <c r="E101" s="160"/>
      <c r="F101" s="159"/>
      <c r="G101" s="160"/>
      <c r="H101" s="159"/>
      <c r="I101" s="161"/>
      <c r="J101" s="161"/>
      <c r="K101" s="161"/>
      <c r="L101" s="161"/>
      <c r="M101" s="161"/>
      <c r="N101" s="161"/>
      <c r="O101" s="161"/>
      <c r="P101" s="161"/>
      <c r="Q101" s="154">
        <f t="shared" si="4"/>
        <v>0</v>
      </c>
      <c r="R101" s="160"/>
      <c r="S101" s="155">
        <f t="shared" si="5"/>
        <v>0</v>
      </c>
      <c r="T101" s="160"/>
      <c r="U101" s="163"/>
      <c r="V101" s="162"/>
    </row>
    <row r="102" spans="2:22">
      <c r="B102" s="158"/>
      <c r="C102" s="150">
        <f t="shared" si="3"/>
        <v>0</v>
      </c>
      <c r="D102" s="159"/>
      <c r="E102" s="160"/>
      <c r="F102" s="159"/>
      <c r="G102" s="160"/>
      <c r="H102" s="159"/>
      <c r="I102" s="161"/>
      <c r="J102" s="161"/>
      <c r="K102" s="161"/>
      <c r="L102" s="161"/>
      <c r="M102" s="161"/>
      <c r="N102" s="161"/>
      <c r="O102" s="161"/>
      <c r="P102" s="161"/>
      <c r="Q102" s="154">
        <f t="shared" si="4"/>
        <v>0</v>
      </c>
      <c r="R102" s="160"/>
      <c r="S102" s="155">
        <f t="shared" si="5"/>
        <v>0</v>
      </c>
      <c r="T102" s="160"/>
      <c r="U102" s="157"/>
      <c r="V102" s="162"/>
    </row>
    <row r="103" spans="2:22">
      <c r="B103" s="158"/>
      <c r="C103" s="150">
        <f t="shared" si="3"/>
        <v>0</v>
      </c>
      <c r="D103" s="159"/>
      <c r="E103" s="160"/>
      <c r="F103" s="159"/>
      <c r="G103" s="160"/>
      <c r="H103" s="159"/>
      <c r="I103" s="161"/>
      <c r="J103" s="161"/>
      <c r="K103" s="161"/>
      <c r="L103" s="161"/>
      <c r="M103" s="161"/>
      <c r="N103" s="161"/>
      <c r="O103" s="161"/>
      <c r="P103" s="161"/>
      <c r="Q103" s="154">
        <f t="shared" si="4"/>
        <v>0</v>
      </c>
      <c r="R103" s="160"/>
      <c r="S103" s="155">
        <f t="shared" si="5"/>
        <v>0</v>
      </c>
      <c r="T103" s="160"/>
      <c r="U103" s="162"/>
      <c r="V103" s="162"/>
    </row>
    <row r="104" spans="2:22">
      <c r="B104" s="158"/>
      <c r="C104" s="150">
        <f t="shared" si="3"/>
        <v>0</v>
      </c>
      <c r="D104" s="159"/>
      <c r="E104" s="160"/>
      <c r="F104" s="159"/>
      <c r="G104" s="160"/>
      <c r="H104" s="159"/>
      <c r="I104" s="161"/>
      <c r="J104" s="161"/>
      <c r="K104" s="161"/>
      <c r="L104" s="161"/>
      <c r="M104" s="161"/>
      <c r="N104" s="161"/>
      <c r="O104" s="161"/>
      <c r="P104" s="161"/>
      <c r="Q104" s="154">
        <f t="shared" si="4"/>
        <v>0</v>
      </c>
      <c r="R104" s="160"/>
      <c r="S104" s="155">
        <f t="shared" si="5"/>
        <v>0</v>
      </c>
      <c r="T104" s="160"/>
      <c r="U104" s="163"/>
      <c r="V104" s="162"/>
    </row>
    <row r="105" spans="2:22">
      <c r="B105" s="158"/>
      <c r="C105" s="150">
        <f t="shared" si="3"/>
        <v>0</v>
      </c>
      <c r="D105" s="159"/>
      <c r="E105" s="160"/>
      <c r="F105" s="159"/>
      <c r="G105" s="160"/>
      <c r="H105" s="159"/>
      <c r="I105" s="161"/>
      <c r="J105" s="161"/>
      <c r="K105" s="161"/>
      <c r="L105" s="161"/>
      <c r="M105" s="161"/>
      <c r="N105" s="161"/>
      <c r="O105" s="161"/>
      <c r="P105" s="161"/>
      <c r="Q105" s="154">
        <f t="shared" si="4"/>
        <v>0</v>
      </c>
      <c r="R105" s="160"/>
      <c r="S105" s="155">
        <f t="shared" si="5"/>
        <v>0</v>
      </c>
      <c r="T105" s="160"/>
      <c r="U105" s="163"/>
      <c r="V105" s="162"/>
    </row>
    <row r="106" spans="2:22">
      <c r="B106" s="158"/>
      <c r="C106" s="150">
        <f t="shared" si="3"/>
        <v>0</v>
      </c>
      <c r="D106" s="159"/>
      <c r="E106" s="160"/>
      <c r="F106" s="159"/>
      <c r="G106" s="160"/>
      <c r="H106" s="159"/>
      <c r="I106" s="161"/>
      <c r="J106" s="161"/>
      <c r="K106" s="161"/>
      <c r="L106" s="161"/>
      <c r="M106" s="161"/>
      <c r="N106" s="161"/>
      <c r="O106" s="161"/>
      <c r="P106" s="161"/>
      <c r="Q106" s="154">
        <f t="shared" si="4"/>
        <v>0</v>
      </c>
      <c r="R106" s="160"/>
      <c r="S106" s="155">
        <f t="shared" si="5"/>
        <v>0</v>
      </c>
      <c r="T106" s="160"/>
      <c r="U106" s="163"/>
      <c r="V106" s="162"/>
    </row>
    <row r="107" spans="2:22">
      <c r="B107" s="158"/>
      <c r="C107" s="150">
        <f t="shared" si="3"/>
        <v>0</v>
      </c>
      <c r="D107" s="159"/>
      <c r="E107" s="160"/>
      <c r="F107" s="159"/>
      <c r="G107" s="160"/>
      <c r="H107" s="159"/>
      <c r="I107" s="160"/>
      <c r="J107" s="160"/>
      <c r="K107" s="160"/>
      <c r="L107" s="160"/>
      <c r="M107" s="160"/>
      <c r="N107" s="160"/>
      <c r="O107" s="160"/>
      <c r="P107" s="160"/>
      <c r="Q107" s="154">
        <f t="shared" si="4"/>
        <v>0</v>
      </c>
      <c r="R107" s="160"/>
      <c r="S107" s="155">
        <f t="shared" si="5"/>
        <v>0</v>
      </c>
      <c r="T107" s="160"/>
      <c r="U107" s="163"/>
      <c r="V107" s="162"/>
    </row>
    <row r="108" spans="2:22">
      <c r="B108" s="158"/>
      <c r="C108" s="150">
        <f t="shared" si="3"/>
        <v>0</v>
      </c>
      <c r="D108" s="159"/>
      <c r="E108" s="160"/>
      <c r="F108" s="159"/>
      <c r="G108" s="160"/>
      <c r="H108" s="159"/>
      <c r="I108" s="161"/>
      <c r="J108" s="161"/>
      <c r="K108" s="161"/>
      <c r="L108" s="161"/>
      <c r="M108" s="161"/>
      <c r="N108" s="161"/>
      <c r="O108" s="161"/>
      <c r="P108" s="161"/>
      <c r="Q108" s="154">
        <f t="shared" si="4"/>
        <v>0</v>
      </c>
      <c r="R108" s="160"/>
      <c r="S108" s="155">
        <f t="shared" si="5"/>
        <v>0</v>
      </c>
      <c r="T108" s="160"/>
      <c r="U108" s="157"/>
      <c r="V108" s="162"/>
    </row>
    <row r="109" spans="2:22">
      <c r="B109" s="158"/>
      <c r="C109" s="150">
        <f t="shared" si="3"/>
        <v>0</v>
      </c>
      <c r="D109" s="159"/>
      <c r="E109" s="160"/>
      <c r="F109" s="159"/>
      <c r="G109" s="160"/>
      <c r="H109" s="159"/>
      <c r="I109" s="161"/>
      <c r="J109" s="161"/>
      <c r="K109" s="161"/>
      <c r="L109" s="161"/>
      <c r="M109" s="161"/>
      <c r="N109" s="161"/>
      <c r="O109" s="161"/>
      <c r="P109" s="161"/>
      <c r="Q109" s="154">
        <f t="shared" si="4"/>
        <v>0</v>
      </c>
      <c r="R109" s="160"/>
      <c r="S109" s="155">
        <f t="shared" si="5"/>
        <v>0</v>
      </c>
      <c r="T109" s="160"/>
      <c r="U109" s="162"/>
      <c r="V109" s="169"/>
    </row>
    <row r="110" spans="2:22">
      <c r="B110" s="158"/>
      <c r="C110" s="150">
        <f t="shared" si="3"/>
        <v>0</v>
      </c>
      <c r="D110" s="159"/>
      <c r="E110" s="160"/>
      <c r="F110" s="159"/>
      <c r="G110" s="160"/>
      <c r="H110" s="159"/>
      <c r="I110" s="161"/>
      <c r="J110" s="161"/>
      <c r="K110" s="161"/>
      <c r="L110" s="161"/>
      <c r="M110" s="161"/>
      <c r="N110" s="161"/>
      <c r="O110" s="161"/>
      <c r="P110" s="161"/>
      <c r="Q110" s="154">
        <f t="shared" si="4"/>
        <v>0</v>
      </c>
      <c r="R110" s="160"/>
      <c r="S110" s="155">
        <f t="shared" si="5"/>
        <v>0</v>
      </c>
      <c r="T110" s="160"/>
      <c r="U110" s="163"/>
      <c r="V110" s="169"/>
    </row>
    <row r="111" spans="2:22">
      <c r="B111" s="158"/>
      <c r="C111" s="150">
        <f t="shared" si="3"/>
        <v>0</v>
      </c>
      <c r="D111" s="159"/>
      <c r="E111" s="160"/>
      <c r="F111" s="159"/>
      <c r="G111" s="160"/>
      <c r="H111" s="159"/>
      <c r="I111" s="161"/>
      <c r="J111" s="161"/>
      <c r="K111" s="161"/>
      <c r="L111" s="161"/>
      <c r="M111" s="161"/>
      <c r="N111" s="161"/>
      <c r="O111" s="161"/>
      <c r="P111" s="161"/>
      <c r="Q111" s="154">
        <f t="shared" si="4"/>
        <v>0</v>
      </c>
      <c r="R111" s="160"/>
      <c r="S111" s="155">
        <f t="shared" si="5"/>
        <v>0</v>
      </c>
      <c r="T111" s="160"/>
      <c r="U111" s="163"/>
      <c r="V111" s="162"/>
    </row>
    <row r="112" spans="2:22">
      <c r="B112" s="158"/>
      <c r="C112" s="150">
        <f t="shared" si="3"/>
        <v>0</v>
      </c>
      <c r="D112" s="159"/>
      <c r="E112" s="160"/>
      <c r="F112" s="159"/>
      <c r="G112" s="160"/>
      <c r="H112" s="159"/>
      <c r="I112" s="161"/>
      <c r="J112" s="161"/>
      <c r="K112" s="161"/>
      <c r="L112" s="161"/>
      <c r="M112" s="161"/>
      <c r="N112" s="161"/>
      <c r="O112" s="161"/>
      <c r="P112" s="161"/>
      <c r="Q112" s="154">
        <f t="shared" si="4"/>
        <v>0</v>
      </c>
      <c r="R112" s="160"/>
      <c r="S112" s="155">
        <f t="shared" si="5"/>
        <v>0</v>
      </c>
      <c r="T112" s="160"/>
      <c r="U112" s="163"/>
      <c r="V112" s="169"/>
    </row>
    <row r="113" spans="2:22">
      <c r="B113" s="158"/>
      <c r="C113" s="150">
        <f t="shared" si="3"/>
        <v>0</v>
      </c>
      <c r="D113" s="159"/>
      <c r="E113" s="160"/>
      <c r="F113" s="159"/>
      <c r="G113" s="160"/>
      <c r="H113" s="159"/>
      <c r="I113" s="160"/>
      <c r="J113" s="160"/>
      <c r="K113" s="165"/>
      <c r="L113" s="160"/>
      <c r="M113" s="160"/>
      <c r="N113" s="160"/>
      <c r="O113" s="160"/>
      <c r="P113" s="160"/>
      <c r="Q113" s="154">
        <f t="shared" si="4"/>
        <v>0</v>
      </c>
      <c r="R113" s="160"/>
      <c r="S113" s="155">
        <f t="shared" si="5"/>
        <v>0</v>
      </c>
      <c r="T113" s="160"/>
      <c r="U113" s="163"/>
      <c r="V113" s="162"/>
    </row>
    <row r="114" spans="2:22">
      <c r="B114" s="158"/>
      <c r="C114" s="150">
        <f t="shared" si="3"/>
        <v>0</v>
      </c>
      <c r="D114" s="159"/>
      <c r="E114" s="160"/>
      <c r="F114" s="159"/>
      <c r="G114" s="160"/>
      <c r="H114" s="159"/>
      <c r="I114" s="161"/>
      <c r="J114" s="161"/>
      <c r="K114" s="161"/>
      <c r="L114" s="161"/>
      <c r="M114" s="161"/>
      <c r="N114" s="161"/>
      <c r="O114" s="161"/>
      <c r="P114" s="161"/>
      <c r="Q114" s="154">
        <f t="shared" si="4"/>
        <v>0</v>
      </c>
      <c r="R114" s="160"/>
      <c r="S114" s="155">
        <f t="shared" si="5"/>
        <v>0</v>
      </c>
      <c r="T114" s="160"/>
      <c r="U114" s="157"/>
      <c r="V114" s="162"/>
    </row>
    <row r="115" spans="2:22">
      <c r="B115" s="158"/>
      <c r="C115" s="150">
        <f t="shared" si="3"/>
        <v>0</v>
      </c>
      <c r="D115" s="159"/>
      <c r="E115" s="160"/>
      <c r="F115" s="159"/>
      <c r="G115" s="160"/>
      <c r="H115" s="159"/>
      <c r="I115" s="161"/>
      <c r="J115" s="161"/>
      <c r="K115" s="161"/>
      <c r="L115" s="161"/>
      <c r="M115" s="161"/>
      <c r="N115" s="161"/>
      <c r="O115" s="161"/>
      <c r="P115" s="161"/>
      <c r="Q115" s="154">
        <f t="shared" si="4"/>
        <v>0</v>
      </c>
      <c r="R115" s="160"/>
      <c r="S115" s="155">
        <f t="shared" si="5"/>
        <v>0</v>
      </c>
      <c r="T115" s="160"/>
      <c r="U115" s="162"/>
      <c r="V115" s="162"/>
    </row>
    <row r="116" spans="2:22">
      <c r="B116" s="158"/>
      <c r="C116" s="150">
        <f t="shared" si="3"/>
        <v>0</v>
      </c>
      <c r="D116" s="159"/>
      <c r="E116" s="160"/>
      <c r="F116" s="159"/>
      <c r="G116" s="160"/>
      <c r="H116" s="159"/>
      <c r="I116" s="161"/>
      <c r="J116" s="161"/>
      <c r="K116" s="161"/>
      <c r="L116" s="161"/>
      <c r="M116" s="161"/>
      <c r="N116" s="161"/>
      <c r="O116" s="161"/>
      <c r="P116" s="161"/>
      <c r="Q116" s="154">
        <f t="shared" si="4"/>
        <v>0</v>
      </c>
      <c r="R116" s="160"/>
      <c r="S116" s="155">
        <f t="shared" si="5"/>
        <v>0</v>
      </c>
      <c r="T116" s="160"/>
      <c r="U116" s="163"/>
      <c r="V116" s="162"/>
    </row>
    <row r="117" spans="2:22">
      <c r="B117" s="158"/>
      <c r="C117" s="150">
        <f t="shared" si="3"/>
        <v>0</v>
      </c>
      <c r="D117" s="159"/>
      <c r="E117" s="160"/>
      <c r="F117" s="159"/>
      <c r="G117" s="160"/>
      <c r="H117" s="159"/>
      <c r="I117" s="161"/>
      <c r="J117" s="161"/>
      <c r="K117" s="161"/>
      <c r="L117" s="161"/>
      <c r="M117" s="161"/>
      <c r="N117" s="161"/>
      <c r="O117" s="161"/>
      <c r="P117" s="161"/>
      <c r="Q117" s="154">
        <f t="shared" si="4"/>
        <v>0</v>
      </c>
      <c r="R117" s="160"/>
      <c r="S117" s="155">
        <f t="shared" si="5"/>
        <v>0</v>
      </c>
      <c r="T117" s="160"/>
      <c r="U117" s="163"/>
      <c r="V117" s="162"/>
    </row>
    <row r="118" spans="2:22">
      <c r="B118" s="158"/>
      <c r="C118" s="150">
        <f t="shared" si="3"/>
        <v>0</v>
      </c>
      <c r="D118" s="159"/>
      <c r="E118" s="160"/>
      <c r="F118" s="159"/>
      <c r="G118" s="160"/>
      <c r="H118" s="159"/>
      <c r="I118" s="161"/>
      <c r="J118" s="161"/>
      <c r="K118" s="161"/>
      <c r="L118" s="161"/>
      <c r="M118" s="161"/>
      <c r="N118" s="161"/>
      <c r="O118" s="161"/>
      <c r="P118" s="161"/>
      <c r="Q118" s="154">
        <f t="shared" si="4"/>
        <v>0</v>
      </c>
      <c r="R118" s="160"/>
      <c r="S118" s="155">
        <f t="shared" si="5"/>
        <v>0</v>
      </c>
      <c r="T118" s="160"/>
      <c r="U118" s="163"/>
      <c r="V118" s="162"/>
    </row>
    <row r="119" spans="2:22">
      <c r="B119" s="158"/>
      <c r="C119" s="150">
        <f t="shared" si="3"/>
        <v>0</v>
      </c>
      <c r="D119" s="159"/>
      <c r="E119" s="160"/>
      <c r="F119" s="159"/>
      <c r="G119" s="160"/>
      <c r="H119" s="159"/>
      <c r="I119" s="161"/>
      <c r="J119" s="161"/>
      <c r="K119" s="161"/>
      <c r="L119" s="161"/>
      <c r="M119" s="161"/>
      <c r="N119" s="161"/>
      <c r="O119" s="161"/>
      <c r="P119" s="161"/>
      <c r="Q119" s="154">
        <f t="shared" si="4"/>
        <v>0</v>
      </c>
      <c r="R119" s="160"/>
      <c r="S119" s="155">
        <f t="shared" si="5"/>
        <v>0</v>
      </c>
      <c r="T119" s="160"/>
      <c r="U119" s="163"/>
      <c r="V119" s="162"/>
    </row>
    <row r="120" spans="2:22">
      <c r="B120" s="158"/>
      <c r="C120" s="150">
        <f t="shared" si="3"/>
        <v>0</v>
      </c>
      <c r="D120" s="159"/>
      <c r="E120" s="160"/>
      <c r="F120" s="159"/>
      <c r="G120" s="160"/>
      <c r="H120" s="159"/>
      <c r="I120" s="161"/>
      <c r="J120" s="161"/>
      <c r="K120" s="161"/>
      <c r="L120" s="161"/>
      <c r="M120" s="161"/>
      <c r="N120" s="161"/>
      <c r="O120" s="161"/>
      <c r="P120" s="161"/>
      <c r="Q120" s="154">
        <f t="shared" si="4"/>
        <v>0</v>
      </c>
      <c r="R120" s="160"/>
      <c r="S120" s="155">
        <f t="shared" si="5"/>
        <v>0</v>
      </c>
      <c r="T120" s="160"/>
      <c r="U120" s="163"/>
      <c r="V120" s="169"/>
    </row>
    <row r="121" spans="2:22">
      <c r="B121" s="158"/>
      <c r="C121" s="150">
        <f t="shared" si="3"/>
        <v>0</v>
      </c>
      <c r="D121" s="159"/>
      <c r="E121" s="160"/>
      <c r="F121" s="159"/>
      <c r="G121" s="160"/>
      <c r="H121" s="159"/>
      <c r="I121" s="161"/>
      <c r="J121" s="161"/>
      <c r="K121" s="161"/>
      <c r="L121" s="161"/>
      <c r="M121" s="161"/>
      <c r="N121" s="161"/>
      <c r="O121" s="161"/>
      <c r="P121" s="161"/>
      <c r="Q121" s="154">
        <f t="shared" si="4"/>
        <v>0</v>
      </c>
      <c r="R121" s="160"/>
      <c r="S121" s="155">
        <f t="shared" si="5"/>
        <v>0</v>
      </c>
      <c r="T121" s="160"/>
      <c r="U121" s="163"/>
      <c r="V121" s="169"/>
    </row>
    <row r="122" spans="2:22">
      <c r="B122" s="158"/>
      <c r="C122" s="150">
        <f t="shared" si="3"/>
        <v>0</v>
      </c>
      <c r="D122" s="159"/>
      <c r="E122" s="160"/>
      <c r="F122" s="159"/>
      <c r="G122" s="160"/>
      <c r="H122" s="159"/>
      <c r="I122" s="161"/>
      <c r="J122" s="161"/>
      <c r="K122" s="161"/>
      <c r="L122" s="161"/>
      <c r="M122" s="161"/>
      <c r="N122" s="161"/>
      <c r="O122" s="161"/>
      <c r="P122" s="161"/>
      <c r="Q122" s="154">
        <f t="shared" si="4"/>
        <v>0</v>
      </c>
      <c r="R122" s="160"/>
      <c r="S122" s="155">
        <f t="shared" si="5"/>
        <v>0</v>
      </c>
      <c r="T122" s="160"/>
      <c r="U122" s="163"/>
      <c r="V122" s="169"/>
    </row>
    <row r="123" spans="2:22">
      <c r="B123" s="158"/>
      <c r="C123" s="150">
        <f t="shared" si="3"/>
        <v>0</v>
      </c>
      <c r="D123" s="159"/>
      <c r="E123" s="160"/>
      <c r="F123" s="159"/>
      <c r="G123" s="160"/>
      <c r="H123" s="159"/>
      <c r="I123" s="160"/>
      <c r="J123" s="160"/>
      <c r="K123" s="160"/>
      <c r="L123" s="160"/>
      <c r="M123" s="160"/>
      <c r="N123" s="160"/>
      <c r="O123" s="160"/>
      <c r="P123" s="160"/>
      <c r="Q123" s="154">
        <f t="shared" si="4"/>
        <v>0</v>
      </c>
      <c r="R123" s="160"/>
      <c r="S123" s="155">
        <f t="shared" si="5"/>
        <v>0</v>
      </c>
      <c r="T123" s="160"/>
      <c r="U123" s="163"/>
      <c r="V123" s="162"/>
    </row>
    <row r="124" spans="2:22">
      <c r="B124" s="158"/>
      <c r="C124" s="150">
        <f t="shared" si="3"/>
        <v>0</v>
      </c>
      <c r="D124" s="159"/>
      <c r="E124" s="160"/>
      <c r="F124" s="159"/>
      <c r="G124" s="160"/>
      <c r="H124" s="159"/>
      <c r="I124" s="161"/>
      <c r="J124" s="161"/>
      <c r="K124" s="161"/>
      <c r="L124" s="161"/>
      <c r="M124" s="161"/>
      <c r="N124" s="161"/>
      <c r="O124" s="161"/>
      <c r="P124" s="161"/>
      <c r="Q124" s="154">
        <f t="shared" si="4"/>
        <v>0</v>
      </c>
      <c r="R124" s="160"/>
      <c r="S124" s="155">
        <f t="shared" si="5"/>
        <v>0</v>
      </c>
      <c r="T124" s="160"/>
      <c r="U124" s="163"/>
      <c r="V124" s="162"/>
    </row>
    <row r="125" spans="2:22">
      <c r="B125" s="158"/>
      <c r="C125" s="150">
        <f t="shared" si="3"/>
        <v>0</v>
      </c>
      <c r="D125" s="159"/>
      <c r="E125" s="160"/>
      <c r="F125" s="159"/>
      <c r="G125" s="160"/>
      <c r="H125" s="159"/>
      <c r="I125" s="161"/>
      <c r="J125" s="161"/>
      <c r="K125" s="161"/>
      <c r="L125" s="161"/>
      <c r="M125" s="161"/>
      <c r="N125" s="161"/>
      <c r="O125" s="161"/>
      <c r="P125" s="161"/>
      <c r="Q125" s="154">
        <f t="shared" si="4"/>
        <v>0</v>
      </c>
      <c r="R125" s="160"/>
      <c r="S125" s="155">
        <f t="shared" si="5"/>
        <v>0</v>
      </c>
      <c r="T125" s="160"/>
      <c r="U125" s="163"/>
      <c r="V125" s="162"/>
    </row>
    <row r="126" spans="2:22">
      <c r="B126" s="158"/>
      <c r="C126" s="150">
        <f t="shared" si="3"/>
        <v>0</v>
      </c>
      <c r="D126" s="159"/>
      <c r="E126" s="160"/>
      <c r="F126" s="159"/>
      <c r="G126" s="160"/>
      <c r="H126" s="159"/>
      <c r="I126" s="161"/>
      <c r="J126" s="161"/>
      <c r="K126" s="161"/>
      <c r="L126" s="161"/>
      <c r="M126" s="161"/>
      <c r="N126" s="161"/>
      <c r="O126" s="161"/>
      <c r="P126" s="161"/>
      <c r="Q126" s="154">
        <f t="shared" si="4"/>
        <v>0</v>
      </c>
      <c r="R126" s="160"/>
      <c r="S126" s="155">
        <f t="shared" si="5"/>
        <v>0</v>
      </c>
      <c r="T126" s="160"/>
      <c r="U126" s="163"/>
      <c r="V126" s="162"/>
    </row>
    <row r="127" spans="2:22">
      <c r="B127" s="158"/>
      <c r="C127" s="150">
        <f t="shared" si="3"/>
        <v>0</v>
      </c>
      <c r="D127" s="159"/>
      <c r="E127" s="160"/>
      <c r="F127" s="159"/>
      <c r="G127" s="160"/>
      <c r="H127" s="159"/>
      <c r="I127" s="161"/>
      <c r="J127" s="161"/>
      <c r="K127" s="161"/>
      <c r="L127" s="161"/>
      <c r="M127" s="161"/>
      <c r="N127" s="161"/>
      <c r="O127" s="161"/>
      <c r="P127" s="161"/>
      <c r="Q127" s="154">
        <f t="shared" si="4"/>
        <v>0</v>
      </c>
      <c r="R127" s="160"/>
      <c r="S127" s="155">
        <f t="shared" si="5"/>
        <v>0</v>
      </c>
      <c r="T127" s="160"/>
      <c r="U127" s="163"/>
      <c r="V127" s="162"/>
    </row>
    <row r="128" spans="2:22">
      <c r="B128" s="158"/>
      <c r="C128" s="150">
        <f t="shared" si="3"/>
        <v>0</v>
      </c>
      <c r="D128" s="159"/>
      <c r="E128" s="160"/>
      <c r="F128" s="159"/>
      <c r="G128" s="160"/>
      <c r="H128" s="159"/>
      <c r="I128" s="161"/>
      <c r="J128" s="161"/>
      <c r="K128" s="161"/>
      <c r="L128" s="161"/>
      <c r="M128" s="161"/>
      <c r="N128" s="161"/>
      <c r="O128" s="161"/>
      <c r="P128" s="161"/>
      <c r="Q128" s="154">
        <f t="shared" si="4"/>
        <v>0</v>
      </c>
      <c r="R128" s="160"/>
      <c r="S128" s="155">
        <f t="shared" si="5"/>
        <v>0</v>
      </c>
      <c r="T128" s="160"/>
      <c r="U128" s="163"/>
      <c r="V128" s="162"/>
    </row>
    <row r="129" spans="2:22">
      <c r="B129" s="158"/>
      <c r="C129" s="150">
        <f t="shared" si="3"/>
        <v>0</v>
      </c>
      <c r="D129" s="159"/>
      <c r="E129" s="160"/>
      <c r="F129" s="159"/>
      <c r="G129" s="160"/>
      <c r="H129" s="159"/>
      <c r="I129" s="160"/>
      <c r="J129" s="160"/>
      <c r="K129" s="160"/>
      <c r="L129" s="160"/>
      <c r="M129" s="160"/>
      <c r="N129" s="160"/>
      <c r="O129" s="160"/>
      <c r="P129" s="160"/>
      <c r="Q129" s="154">
        <f t="shared" si="4"/>
        <v>0</v>
      </c>
      <c r="R129" s="160"/>
      <c r="S129" s="155">
        <f t="shared" si="5"/>
        <v>0</v>
      </c>
      <c r="T129" s="160"/>
      <c r="U129" s="163"/>
      <c r="V129" s="162"/>
    </row>
    <row r="130" spans="2:22">
      <c r="B130" s="158"/>
      <c r="C130" s="150">
        <f t="shared" si="3"/>
        <v>0</v>
      </c>
      <c r="D130" s="159"/>
      <c r="E130" s="160"/>
      <c r="F130" s="159"/>
      <c r="G130" s="160"/>
      <c r="H130" s="159"/>
      <c r="I130" s="165"/>
      <c r="J130" s="165"/>
      <c r="K130" s="165"/>
      <c r="L130" s="165"/>
      <c r="M130" s="165"/>
      <c r="N130" s="165"/>
      <c r="O130" s="165"/>
      <c r="P130" s="165"/>
      <c r="Q130" s="154">
        <f t="shared" si="4"/>
        <v>0</v>
      </c>
      <c r="R130" s="160"/>
      <c r="S130" s="155">
        <f t="shared" si="5"/>
        <v>0</v>
      </c>
      <c r="T130" s="160"/>
      <c r="U130" s="163"/>
      <c r="V130" s="162"/>
    </row>
    <row r="131" spans="2:22">
      <c r="B131" s="158"/>
      <c r="C131" s="150">
        <f t="shared" si="3"/>
        <v>0</v>
      </c>
      <c r="D131" s="159"/>
      <c r="E131" s="160"/>
      <c r="F131" s="159"/>
      <c r="G131" s="160"/>
      <c r="H131" s="159"/>
      <c r="I131" s="165"/>
      <c r="J131" s="165"/>
      <c r="K131" s="165"/>
      <c r="L131" s="165"/>
      <c r="M131" s="165"/>
      <c r="N131" s="165"/>
      <c r="O131" s="165"/>
      <c r="P131" s="165"/>
      <c r="Q131" s="154">
        <f t="shared" si="4"/>
        <v>0</v>
      </c>
      <c r="R131" s="160"/>
      <c r="S131" s="155">
        <f t="shared" si="5"/>
        <v>0</v>
      </c>
      <c r="T131" s="160"/>
      <c r="U131" s="163"/>
      <c r="V131" s="162"/>
    </row>
    <row r="132" spans="2:22">
      <c r="B132" s="158"/>
      <c r="C132" s="150">
        <f t="shared" si="3"/>
        <v>0</v>
      </c>
      <c r="D132" s="159"/>
      <c r="E132" s="160"/>
      <c r="F132" s="159"/>
      <c r="G132" s="160"/>
      <c r="H132" s="159"/>
      <c r="I132" s="165"/>
      <c r="J132" s="165"/>
      <c r="K132" s="165"/>
      <c r="L132" s="165"/>
      <c r="M132" s="165"/>
      <c r="N132" s="165"/>
      <c r="O132" s="165"/>
      <c r="P132" s="165"/>
      <c r="Q132" s="154">
        <f t="shared" si="4"/>
        <v>0</v>
      </c>
      <c r="R132" s="160"/>
      <c r="S132" s="155">
        <f t="shared" si="5"/>
        <v>0</v>
      </c>
      <c r="T132" s="160"/>
      <c r="U132" s="163"/>
      <c r="V132" s="162"/>
    </row>
    <row r="133" spans="2:22">
      <c r="B133" s="158"/>
      <c r="C133" s="150">
        <f t="shared" si="3"/>
        <v>0</v>
      </c>
      <c r="D133" s="159"/>
      <c r="E133" s="160"/>
      <c r="F133" s="159"/>
      <c r="G133" s="160"/>
      <c r="H133" s="159"/>
      <c r="I133" s="161"/>
      <c r="J133" s="161"/>
      <c r="K133" s="161"/>
      <c r="L133" s="161"/>
      <c r="M133" s="161"/>
      <c r="N133" s="161"/>
      <c r="O133" s="161"/>
      <c r="P133" s="161"/>
      <c r="Q133" s="154">
        <f t="shared" si="4"/>
        <v>0</v>
      </c>
      <c r="R133" s="160"/>
      <c r="S133" s="155">
        <f t="shared" si="5"/>
        <v>0</v>
      </c>
      <c r="T133" s="160"/>
      <c r="U133" s="163"/>
      <c r="V133" s="162"/>
    </row>
    <row r="134" spans="2:22">
      <c r="B134" s="158"/>
      <c r="C134" s="150">
        <f t="shared" si="3"/>
        <v>0</v>
      </c>
      <c r="D134" s="159"/>
      <c r="E134" s="160"/>
      <c r="F134" s="159"/>
      <c r="G134" s="160"/>
      <c r="H134" s="159"/>
      <c r="I134" s="161"/>
      <c r="J134" s="161"/>
      <c r="K134" s="161"/>
      <c r="L134" s="161"/>
      <c r="M134" s="161"/>
      <c r="N134" s="161"/>
      <c r="O134" s="161"/>
      <c r="P134" s="161"/>
      <c r="Q134" s="154">
        <f t="shared" si="4"/>
        <v>0</v>
      </c>
      <c r="R134" s="160"/>
      <c r="S134" s="155">
        <f t="shared" si="5"/>
        <v>0</v>
      </c>
      <c r="T134" s="160"/>
      <c r="U134" s="163"/>
      <c r="V134" s="169"/>
    </row>
    <row r="135" spans="2:22">
      <c r="B135" s="158"/>
      <c r="C135" s="150">
        <f t="shared" si="3"/>
        <v>0</v>
      </c>
      <c r="D135" s="159"/>
      <c r="E135" s="160"/>
      <c r="F135" s="159"/>
      <c r="G135" s="160"/>
      <c r="H135" s="159"/>
      <c r="I135" s="161"/>
      <c r="J135" s="161"/>
      <c r="K135" s="161"/>
      <c r="L135" s="161"/>
      <c r="M135" s="161"/>
      <c r="N135" s="161"/>
      <c r="O135" s="161"/>
      <c r="P135" s="161"/>
      <c r="Q135" s="154">
        <f t="shared" si="4"/>
        <v>0</v>
      </c>
      <c r="R135" s="160"/>
      <c r="S135" s="155">
        <f t="shared" si="5"/>
        <v>0</v>
      </c>
      <c r="T135" s="160"/>
      <c r="U135" s="163"/>
      <c r="V135" s="169"/>
    </row>
    <row r="136" spans="2:22">
      <c r="B136" s="158"/>
      <c r="C136" s="150">
        <f t="shared" si="3"/>
        <v>0</v>
      </c>
      <c r="D136" s="159"/>
      <c r="E136" s="160"/>
      <c r="F136" s="159"/>
      <c r="G136" s="160"/>
      <c r="H136" s="159"/>
      <c r="I136" s="161"/>
      <c r="J136" s="161"/>
      <c r="K136" s="161"/>
      <c r="L136" s="161"/>
      <c r="M136" s="161"/>
      <c r="N136" s="161"/>
      <c r="O136" s="161"/>
      <c r="P136" s="161"/>
      <c r="Q136" s="154">
        <f t="shared" si="4"/>
        <v>0</v>
      </c>
      <c r="R136" s="160"/>
      <c r="S136" s="155">
        <f t="shared" si="5"/>
        <v>0</v>
      </c>
      <c r="T136" s="160"/>
      <c r="U136" s="163"/>
      <c r="V136" s="169"/>
    </row>
    <row r="137" spans="2:22">
      <c r="B137" s="158"/>
      <c r="C137" s="150">
        <f t="shared" si="3"/>
        <v>0</v>
      </c>
      <c r="D137" s="159"/>
      <c r="E137" s="160"/>
      <c r="F137" s="159"/>
      <c r="G137" s="160"/>
      <c r="H137" s="159"/>
      <c r="I137" s="161"/>
      <c r="J137" s="161"/>
      <c r="K137" s="161"/>
      <c r="L137" s="161"/>
      <c r="M137" s="161"/>
      <c r="N137" s="161"/>
      <c r="O137" s="161"/>
      <c r="P137" s="161"/>
      <c r="Q137" s="154">
        <f t="shared" si="4"/>
        <v>0</v>
      </c>
      <c r="R137" s="160"/>
      <c r="S137" s="155">
        <f t="shared" si="5"/>
        <v>0</v>
      </c>
      <c r="T137" s="160"/>
      <c r="U137" s="163"/>
      <c r="V137" s="169"/>
    </row>
    <row r="138" spans="2:22">
      <c r="B138" s="158"/>
      <c r="C138" s="150">
        <f t="shared" si="3"/>
        <v>0</v>
      </c>
      <c r="D138" s="159"/>
      <c r="E138" s="160"/>
      <c r="F138" s="159"/>
      <c r="G138" s="160"/>
      <c r="H138" s="159"/>
      <c r="I138" s="160"/>
      <c r="J138" s="160"/>
      <c r="K138" s="160"/>
      <c r="L138" s="160"/>
      <c r="M138" s="160"/>
      <c r="N138" s="160"/>
      <c r="O138" s="160"/>
      <c r="P138" s="160"/>
      <c r="Q138" s="154">
        <f t="shared" si="4"/>
        <v>0</v>
      </c>
      <c r="R138" s="160"/>
      <c r="S138" s="155">
        <f t="shared" si="5"/>
        <v>0</v>
      </c>
      <c r="T138" s="160"/>
      <c r="U138" s="163"/>
      <c r="V138" s="162"/>
    </row>
    <row r="139" spans="2:22">
      <c r="B139" s="158"/>
      <c r="C139" s="150">
        <f t="shared" si="3"/>
        <v>0</v>
      </c>
      <c r="D139" s="159"/>
      <c r="E139" s="160"/>
      <c r="F139" s="159"/>
      <c r="G139" s="160"/>
      <c r="H139" s="159"/>
      <c r="I139" s="161"/>
      <c r="J139" s="161"/>
      <c r="K139" s="161"/>
      <c r="L139" s="161"/>
      <c r="M139" s="161"/>
      <c r="N139" s="161"/>
      <c r="O139" s="161"/>
      <c r="P139" s="161"/>
      <c r="Q139" s="154">
        <f t="shared" si="4"/>
        <v>0</v>
      </c>
      <c r="R139" s="160"/>
      <c r="S139" s="155">
        <f t="shared" si="5"/>
        <v>0</v>
      </c>
      <c r="T139" s="160"/>
      <c r="U139" s="163"/>
      <c r="V139" s="162"/>
    </row>
    <row r="140" spans="2:22">
      <c r="B140" s="158"/>
      <c r="C140" s="150">
        <f t="shared" ref="C140:C171" si="6">E140+G140+Q140</f>
        <v>0</v>
      </c>
      <c r="D140" s="159"/>
      <c r="E140" s="160"/>
      <c r="F140" s="159"/>
      <c r="G140" s="160"/>
      <c r="H140" s="159"/>
      <c r="I140" s="161"/>
      <c r="J140" s="161"/>
      <c r="K140" s="161"/>
      <c r="L140" s="161"/>
      <c r="M140" s="161"/>
      <c r="N140" s="161"/>
      <c r="O140" s="161"/>
      <c r="P140" s="161"/>
      <c r="Q140" s="154">
        <f t="shared" ref="Q140:Q171" si="7">I140+J140+K140+L140+M140+N140+O140+P140</f>
        <v>0</v>
      </c>
      <c r="R140" s="160"/>
      <c r="S140" s="155">
        <f t="shared" ref="S140:S171" si="8">E140-R140</f>
        <v>0</v>
      </c>
      <c r="T140" s="160"/>
      <c r="U140" s="163"/>
      <c r="V140" s="162"/>
    </row>
    <row r="141" spans="2:22">
      <c r="B141" s="158"/>
      <c r="C141" s="150">
        <f t="shared" si="6"/>
        <v>0</v>
      </c>
      <c r="D141" s="159"/>
      <c r="E141" s="160"/>
      <c r="F141" s="159"/>
      <c r="G141" s="160"/>
      <c r="H141" s="159"/>
      <c r="I141" s="161"/>
      <c r="J141" s="161"/>
      <c r="K141" s="161"/>
      <c r="L141" s="161"/>
      <c r="M141" s="161"/>
      <c r="N141" s="161"/>
      <c r="O141" s="161"/>
      <c r="P141" s="161"/>
      <c r="Q141" s="154">
        <f t="shared" si="7"/>
        <v>0</v>
      </c>
      <c r="R141" s="160"/>
      <c r="S141" s="155">
        <f t="shared" si="8"/>
        <v>0</v>
      </c>
      <c r="T141" s="160"/>
      <c r="U141" s="163"/>
      <c r="V141" s="162"/>
    </row>
    <row r="142" spans="2:22">
      <c r="B142" s="158"/>
      <c r="C142" s="150">
        <f t="shared" si="6"/>
        <v>0</v>
      </c>
      <c r="D142" s="159"/>
      <c r="E142" s="160"/>
      <c r="F142" s="159"/>
      <c r="G142" s="160"/>
      <c r="H142" s="159"/>
      <c r="I142" s="161"/>
      <c r="J142" s="161"/>
      <c r="K142" s="161"/>
      <c r="L142" s="161"/>
      <c r="M142" s="161"/>
      <c r="N142" s="161"/>
      <c r="O142" s="161"/>
      <c r="P142" s="161"/>
      <c r="Q142" s="154">
        <f t="shared" si="7"/>
        <v>0</v>
      </c>
      <c r="R142" s="160"/>
      <c r="S142" s="155">
        <f t="shared" si="8"/>
        <v>0</v>
      </c>
      <c r="T142" s="160"/>
      <c r="U142" s="163"/>
      <c r="V142" s="162"/>
    </row>
    <row r="143" spans="2:22">
      <c r="B143" s="158"/>
      <c r="C143" s="150">
        <f t="shared" si="6"/>
        <v>0</v>
      </c>
      <c r="D143" s="159"/>
      <c r="E143" s="160"/>
      <c r="F143" s="159"/>
      <c r="G143" s="160"/>
      <c r="H143" s="159"/>
      <c r="I143" s="160"/>
      <c r="J143" s="160"/>
      <c r="K143" s="160"/>
      <c r="L143" s="160"/>
      <c r="M143" s="160"/>
      <c r="N143" s="160"/>
      <c r="O143" s="160"/>
      <c r="P143" s="160"/>
      <c r="Q143" s="154">
        <f t="shared" si="7"/>
        <v>0</v>
      </c>
      <c r="R143" s="160"/>
      <c r="S143" s="155">
        <f t="shared" si="8"/>
        <v>0</v>
      </c>
      <c r="T143" s="160"/>
      <c r="U143" s="163"/>
      <c r="V143" s="162"/>
    </row>
    <row r="144" spans="2:22">
      <c r="B144" s="158"/>
      <c r="C144" s="150">
        <f t="shared" si="6"/>
        <v>0</v>
      </c>
      <c r="D144" s="159"/>
      <c r="E144" s="160"/>
      <c r="F144" s="159"/>
      <c r="G144" s="160"/>
      <c r="H144" s="159"/>
      <c r="I144" s="161"/>
      <c r="J144" s="161"/>
      <c r="K144" s="161"/>
      <c r="L144" s="161"/>
      <c r="M144" s="161"/>
      <c r="N144" s="161"/>
      <c r="O144" s="161"/>
      <c r="P144" s="161"/>
      <c r="Q144" s="154">
        <f t="shared" si="7"/>
        <v>0</v>
      </c>
      <c r="R144" s="160"/>
      <c r="S144" s="155">
        <f t="shared" si="8"/>
        <v>0</v>
      </c>
      <c r="T144" s="160"/>
      <c r="U144" s="163"/>
      <c r="V144" s="169"/>
    </row>
    <row r="145" spans="2:22">
      <c r="B145" s="158"/>
      <c r="C145" s="150">
        <f t="shared" si="6"/>
        <v>0</v>
      </c>
      <c r="D145" s="159"/>
      <c r="E145" s="160"/>
      <c r="F145" s="159"/>
      <c r="G145" s="160"/>
      <c r="H145" s="159"/>
      <c r="I145" s="161"/>
      <c r="J145" s="161"/>
      <c r="K145" s="161"/>
      <c r="L145" s="161"/>
      <c r="M145" s="161"/>
      <c r="N145" s="161"/>
      <c r="O145" s="161"/>
      <c r="P145" s="161"/>
      <c r="Q145" s="154">
        <f t="shared" si="7"/>
        <v>0</v>
      </c>
      <c r="R145" s="160"/>
      <c r="S145" s="155">
        <f t="shared" si="8"/>
        <v>0</v>
      </c>
      <c r="T145" s="160"/>
      <c r="U145" s="163"/>
      <c r="V145" s="169"/>
    </row>
    <row r="146" spans="2:22">
      <c r="B146" s="158"/>
      <c r="C146" s="150">
        <f t="shared" si="6"/>
        <v>0</v>
      </c>
      <c r="D146" s="159"/>
      <c r="E146" s="160"/>
      <c r="F146" s="159"/>
      <c r="G146" s="160"/>
      <c r="H146" s="159"/>
      <c r="I146" s="161"/>
      <c r="J146" s="161"/>
      <c r="K146" s="161"/>
      <c r="L146" s="161"/>
      <c r="M146" s="161"/>
      <c r="N146" s="161"/>
      <c r="O146" s="161"/>
      <c r="P146" s="161"/>
      <c r="Q146" s="154">
        <f t="shared" si="7"/>
        <v>0</v>
      </c>
      <c r="R146" s="160"/>
      <c r="S146" s="155">
        <f t="shared" si="8"/>
        <v>0</v>
      </c>
      <c r="T146" s="160"/>
      <c r="U146" s="163"/>
      <c r="V146" s="169"/>
    </row>
    <row r="147" spans="2:22">
      <c r="B147" s="158"/>
      <c r="C147" s="150">
        <f t="shared" si="6"/>
        <v>0</v>
      </c>
      <c r="D147" s="159"/>
      <c r="E147" s="160"/>
      <c r="F147" s="159"/>
      <c r="G147" s="160"/>
      <c r="H147" s="159"/>
      <c r="I147" s="160"/>
      <c r="J147" s="160"/>
      <c r="K147" s="160"/>
      <c r="L147" s="160"/>
      <c r="M147" s="160"/>
      <c r="N147" s="160"/>
      <c r="O147" s="160"/>
      <c r="P147" s="160"/>
      <c r="Q147" s="154">
        <f t="shared" si="7"/>
        <v>0</v>
      </c>
      <c r="R147" s="160"/>
      <c r="S147" s="155">
        <f t="shared" si="8"/>
        <v>0</v>
      </c>
      <c r="T147" s="160"/>
      <c r="U147" s="163"/>
      <c r="V147" s="162"/>
    </row>
    <row r="148" spans="2:22">
      <c r="B148" s="158"/>
      <c r="C148" s="150">
        <f t="shared" si="6"/>
        <v>0</v>
      </c>
      <c r="D148" s="159"/>
      <c r="E148" s="160"/>
      <c r="F148" s="159"/>
      <c r="G148" s="160"/>
      <c r="H148" s="159"/>
      <c r="I148" s="161"/>
      <c r="J148" s="161"/>
      <c r="K148" s="161"/>
      <c r="L148" s="161"/>
      <c r="M148" s="161"/>
      <c r="N148" s="161"/>
      <c r="O148" s="161"/>
      <c r="P148" s="161"/>
      <c r="Q148" s="154">
        <f t="shared" si="7"/>
        <v>0</v>
      </c>
      <c r="R148" s="160"/>
      <c r="S148" s="155">
        <f t="shared" si="8"/>
        <v>0</v>
      </c>
      <c r="T148" s="160"/>
      <c r="U148" s="163"/>
      <c r="V148" s="169"/>
    </row>
    <row r="149" spans="2:22">
      <c r="B149" s="158"/>
      <c r="C149" s="150">
        <f t="shared" si="6"/>
        <v>0</v>
      </c>
      <c r="D149" s="159"/>
      <c r="E149" s="160"/>
      <c r="F149" s="159"/>
      <c r="G149" s="160"/>
      <c r="H149" s="159"/>
      <c r="I149" s="161"/>
      <c r="J149" s="161"/>
      <c r="K149" s="161"/>
      <c r="L149" s="161"/>
      <c r="M149" s="161"/>
      <c r="N149" s="161"/>
      <c r="O149" s="161"/>
      <c r="P149" s="161"/>
      <c r="Q149" s="154">
        <f t="shared" si="7"/>
        <v>0</v>
      </c>
      <c r="R149" s="160"/>
      <c r="S149" s="155">
        <f t="shared" si="8"/>
        <v>0</v>
      </c>
      <c r="T149" s="160"/>
      <c r="U149" s="163"/>
      <c r="V149" s="169"/>
    </row>
    <row r="150" spans="2:22">
      <c r="B150" s="158"/>
      <c r="C150" s="150">
        <f t="shared" si="6"/>
        <v>0</v>
      </c>
      <c r="D150" s="159"/>
      <c r="E150" s="160"/>
      <c r="F150" s="159"/>
      <c r="G150" s="160"/>
      <c r="H150" s="159"/>
      <c r="I150" s="161"/>
      <c r="J150" s="161"/>
      <c r="K150" s="161"/>
      <c r="L150" s="161"/>
      <c r="M150" s="161"/>
      <c r="N150" s="161"/>
      <c r="O150" s="161"/>
      <c r="P150" s="161"/>
      <c r="Q150" s="154">
        <f t="shared" si="7"/>
        <v>0</v>
      </c>
      <c r="R150" s="160"/>
      <c r="S150" s="155">
        <f t="shared" si="8"/>
        <v>0</v>
      </c>
      <c r="T150" s="160"/>
      <c r="U150" s="163"/>
      <c r="V150" s="169"/>
    </row>
    <row r="151" spans="2:22">
      <c r="B151" s="158"/>
      <c r="C151" s="150">
        <f t="shared" si="6"/>
        <v>0</v>
      </c>
      <c r="D151" s="159"/>
      <c r="E151" s="160"/>
      <c r="F151" s="159"/>
      <c r="G151" s="160"/>
      <c r="H151" s="159"/>
      <c r="I151" s="160"/>
      <c r="J151" s="160"/>
      <c r="K151" s="160"/>
      <c r="L151" s="160"/>
      <c r="M151" s="160"/>
      <c r="N151" s="160"/>
      <c r="O151" s="160"/>
      <c r="P151" s="160"/>
      <c r="Q151" s="154">
        <f t="shared" si="7"/>
        <v>0</v>
      </c>
      <c r="R151" s="160"/>
      <c r="S151" s="155">
        <f t="shared" si="8"/>
        <v>0</v>
      </c>
      <c r="T151" s="160"/>
      <c r="U151" s="163"/>
      <c r="V151" s="162"/>
    </row>
    <row r="152" spans="2:22">
      <c r="B152" s="158"/>
      <c r="C152" s="150">
        <f t="shared" si="6"/>
        <v>0</v>
      </c>
      <c r="D152" s="159"/>
      <c r="E152" s="160"/>
      <c r="F152" s="159"/>
      <c r="G152" s="160"/>
      <c r="H152" s="159"/>
      <c r="I152" s="161"/>
      <c r="J152" s="161"/>
      <c r="K152" s="161"/>
      <c r="L152" s="161"/>
      <c r="M152" s="161"/>
      <c r="N152" s="161"/>
      <c r="O152" s="161"/>
      <c r="P152" s="161"/>
      <c r="Q152" s="154">
        <f t="shared" si="7"/>
        <v>0</v>
      </c>
      <c r="R152" s="160"/>
      <c r="S152" s="155">
        <f t="shared" si="8"/>
        <v>0</v>
      </c>
      <c r="T152" s="160"/>
      <c r="U152" s="163"/>
      <c r="V152" s="162"/>
    </row>
    <row r="153" spans="2:22">
      <c r="B153" s="158"/>
      <c r="C153" s="150">
        <f t="shared" si="6"/>
        <v>0</v>
      </c>
      <c r="D153" s="159"/>
      <c r="E153" s="160"/>
      <c r="F153" s="159"/>
      <c r="G153" s="160"/>
      <c r="H153" s="159"/>
      <c r="I153" s="161"/>
      <c r="J153" s="161"/>
      <c r="K153" s="161"/>
      <c r="L153" s="161"/>
      <c r="M153" s="161"/>
      <c r="N153" s="161"/>
      <c r="O153" s="161"/>
      <c r="P153" s="161"/>
      <c r="Q153" s="154">
        <f t="shared" si="7"/>
        <v>0</v>
      </c>
      <c r="R153" s="160"/>
      <c r="S153" s="155">
        <f t="shared" si="8"/>
        <v>0</v>
      </c>
      <c r="T153" s="160"/>
      <c r="U153" s="163"/>
      <c r="V153" s="162"/>
    </row>
    <row r="154" spans="2:22">
      <c r="B154" s="158"/>
      <c r="C154" s="150">
        <f t="shared" si="6"/>
        <v>0</v>
      </c>
      <c r="D154" s="159"/>
      <c r="E154" s="160"/>
      <c r="F154" s="159"/>
      <c r="G154" s="152"/>
      <c r="H154" s="159"/>
      <c r="I154" s="161"/>
      <c r="J154" s="161"/>
      <c r="K154" s="161"/>
      <c r="L154" s="161"/>
      <c r="M154" s="161"/>
      <c r="N154" s="161"/>
      <c r="O154" s="161"/>
      <c r="P154" s="161"/>
      <c r="Q154" s="154">
        <f t="shared" si="7"/>
        <v>0</v>
      </c>
      <c r="R154" s="160"/>
      <c r="S154" s="155">
        <f t="shared" si="8"/>
        <v>0</v>
      </c>
      <c r="T154" s="160"/>
      <c r="U154" s="163"/>
      <c r="V154" s="162"/>
    </row>
    <row r="155" spans="2:22">
      <c r="B155" s="158"/>
      <c r="C155" s="150">
        <f t="shared" si="6"/>
        <v>0</v>
      </c>
      <c r="D155" s="159"/>
      <c r="E155" s="160"/>
      <c r="F155" s="159"/>
      <c r="G155" s="152"/>
      <c r="H155" s="159"/>
      <c r="I155" s="161"/>
      <c r="J155" s="161"/>
      <c r="K155" s="161"/>
      <c r="L155" s="161"/>
      <c r="M155" s="161"/>
      <c r="N155" s="161"/>
      <c r="O155" s="161"/>
      <c r="P155" s="161"/>
      <c r="Q155" s="154">
        <f t="shared" si="7"/>
        <v>0</v>
      </c>
      <c r="R155" s="160"/>
      <c r="S155" s="155">
        <f t="shared" si="8"/>
        <v>0</v>
      </c>
      <c r="T155" s="160"/>
      <c r="U155" s="163"/>
      <c r="V155" s="162"/>
    </row>
    <row r="156" spans="2:22">
      <c r="B156" s="158"/>
      <c r="C156" s="150">
        <f t="shared" si="6"/>
        <v>0</v>
      </c>
      <c r="D156" s="159"/>
      <c r="E156" s="160"/>
      <c r="F156" s="159"/>
      <c r="G156" s="152"/>
      <c r="H156" s="159"/>
      <c r="I156" s="161"/>
      <c r="J156" s="161"/>
      <c r="K156" s="161"/>
      <c r="L156" s="161"/>
      <c r="M156" s="161"/>
      <c r="N156" s="161"/>
      <c r="O156" s="161"/>
      <c r="P156" s="161"/>
      <c r="Q156" s="154">
        <f t="shared" si="7"/>
        <v>0</v>
      </c>
      <c r="R156" s="160"/>
      <c r="S156" s="155">
        <f t="shared" si="8"/>
        <v>0</v>
      </c>
      <c r="T156" s="160"/>
      <c r="U156" s="163"/>
      <c r="V156" s="162"/>
    </row>
    <row r="157" spans="2:22">
      <c r="B157" s="158"/>
      <c r="C157" s="150">
        <f t="shared" si="6"/>
        <v>0</v>
      </c>
      <c r="D157" s="159"/>
      <c r="E157" s="160"/>
      <c r="F157" s="159"/>
      <c r="G157" s="153"/>
      <c r="H157" s="159"/>
      <c r="I157" s="161"/>
      <c r="J157" s="161"/>
      <c r="K157" s="161"/>
      <c r="L157" s="161"/>
      <c r="M157" s="161"/>
      <c r="N157" s="161"/>
      <c r="O157" s="161"/>
      <c r="P157" s="161"/>
      <c r="Q157" s="154">
        <f t="shared" si="7"/>
        <v>0</v>
      </c>
      <c r="R157" s="160"/>
      <c r="S157" s="155">
        <f t="shared" si="8"/>
        <v>0</v>
      </c>
      <c r="T157" s="160"/>
      <c r="U157" s="163"/>
      <c r="V157" s="162"/>
    </row>
    <row r="158" spans="2:22">
      <c r="B158" s="158"/>
      <c r="C158" s="150">
        <f t="shared" si="6"/>
        <v>0</v>
      </c>
      <c r="D158" s="159"/>
      <c r="E158" s="160"/>
      <c r="F158" s="159"/>
      <c r="G158" s="160"/>
      <c r="H158" s="159"/>
      <c r="I158" s="160"/>
      <c r="J158" s="160"/>
      <c r="K158" s="160"/>
      <c r="L158" s="160"/>
      <c r="M158" s="160"/>
      <c r="N158" s="160"/>
      <c r="O158" s="160"/>
      <c r="P158" s="160"/>
      <c r="Q158" s="154">
        <f t="shared" si="7"/>
        <v>0</v>
      </c>
      <c r="R158" s="160"/>
      <c r="S158" s="155">
        <f t="shared" si="8"/>
        <v>0</v>
      </c>
      <c r="T158" s="160"/>
      <c r="U158" s="163"/>
      <c r="V158" s="162"/>
    </row>
    <row r="159" spans="2:22">
      <c r="B159" s="158"/>
      <c r="C159" s="150">
        <f t="shared" si="6"/>
        <v>0</v>
      </c>
      <c r="D159" s="159"/>
      <c r="E159" s="160"/>
      <c r="F159" s="159"/>
      <c r="G159" s="160"/>
      <c r="H159" s="159"/>
      <c r="I159" s="165"/>
      <c r="J159" s="165"/>
      <c r="K159" s="165"/>
      <c r="L159" s="165"/>
      <c r="M159" s="165"/>
      <c r="N159" s="165"/>
      <c r="O159" s="165"/>
      <c r="P159" s="165"/>
      <c r="Q159" s="154">
        <f t="shared" si="7"/>
        <v>0</v>
      </c>
      <c r="R159" s="160"/>
      <c r="S159" s="155">
        <f t="shared" si="8"/>
        <v>0</v>
      </c>
      <c r="T159" s="160"/>
      <c r="U159" s="163"/>
      <c r="V159" s="162"/>
    </row>
    <row r="160" spans="2:22">
      <c r="B160" s="158"/>
      <c r="C160" s="150">
        <f t="shared" si="6"/>
        <v>0</v>
      </c>
      <c r="D160" s="159"/>
      <c r="E160" s="160"/>
      <c r="F160" s="159"/>
      <c r="G160" s="160"/>
      <c r="H160" s="159"/>
      <c r="I160" s="165"/>
      <c r="J160" s="165"/>
      <c r="K160" s="165"/>
      <c r="L160" s="165"/>
      <c r="M160" s="165"/>
      <c r="N160" s="165"/>
      <c r="O160" s="165"/>
      <c r="P160" s="165"/>
      <c r="Q160" s="154">
        <f t="shared" si="7"/>
        <v>0</v>
      </c>
      <c r="R160" s="160"/>
      <c r="S160" s="155">
        <f t="shared" si="8"/>
        <v>0</v>
      </c>
      <c r="T160" s="160"/>
      <c r="U160" s="163"/>
      <c r="V160" s="162"/>
    </row>
    <row r="161" spans="2:22">
      <c r="B161" s="158"/>
      <c r="C161" s="150">
        <f t="shared" si="6"/>
        <v>0</v>
      </c>
      <c r="D161" s="159"/>
      <c r="E161" s="160"/>
      <c r="F161" s="159"/>
      <c r="G161" s="160"/>
      <c r="H161" s="159"/>
      <c r="I161" s="165"/>
      <c r="J161" s="165"/>
      <c r="K161" s="165"/>
      <c r="L161" s="165"/>
      <c r="M161" s="165"/>
      <c r="N161" s="165"/>
      <c r="O161" s="165"/>
      <c r="P161" s="165"/>
      <c r="Q161" s="154">
        <f t="shared" si="7"/>
        <v>0</v>
      </c>
      <c r="R161" s="160"/>
      <c r="S161" s="155">
        <f t="shared" si="8"/>
        <v>0</v>
      </c>
      <c r="T161" s="160"/>
      <c r="U161" s="163"/>
      <c r="V161" s="162"/>
    </row>
    <row r="162" spans="2:22">
      <c r="B162" s="158"/>
      <c r="C162" s="150">
        <f t="shared" si="6"/>
        <v>0</v>
      </c>
      <c r="D162" s="159"/>
      <c r="E162" s="160"/>
      <c r="F162" s="159"/>
      <c r="G162" s="160"/>
      <c r="H162" s="159"/>
      <c r="I162" s="161"/>
      <c r="J162" s="161"/>
      <c r="K162" s="161"/>
      <c r="L162" s="161"/>
      <c r="M162" s="161"/>
      <c r="N162" s="161"/>
      <c r="O162" s="161"/>
      <c r="P162" s="161"/>
      <c r="Q162" s="154">
        <f t="shared" si="7"/>
        <v>0</v>
      </c>
      <c r="R162" s="160"/>
      <c r="S162" s="155">
        <f t="shared" si="8"/>
        <v>0</v>
      </c>
      <c r="T162" s="160"/>
      <c r="U162" s="163"/>
      <c r="V162" s="162"/>
    </row>
    <row r="163" spans="2:22">
      <c r="B163" s="158"/>
      <c r="C163" s="150">
        <f t="shared" si="6"/>
        <v>0</v>
      </c>
      <c r="D163" s="159"/>
      <c r="E163" s="160"/>
      <c r="F163" s="159"/>
      <c r="G163" s="160"/>
      <c r="H163" s="159"/>
      <c r="I163" s="161"/>
      <c r="J163" s="161"/>
      <c r="K163" s="161"/>
      <c r="L163" s="161"/>
      <c r="M163" s="161"/>
      <c r="N163" s="161"/>
      <c r="O163" s="161"/>
      <c r="P163" s="161"/>
      <c r="Q163" s="154">
        <f t="shared" si="7"/>
        <v>0</v>
      </c>
      <c r="R163" s="160"/>
      <c r="S163" s="155">
        <f t="shared" si="8"/>
        <v>0</v>
      </c>
      <c r="T163" s="160"/>
      <c r="U163" s="163"/>
      <c r="V163" s="162"/>
    </row>
    <row r="164" spans="2:22">
      <c r="B164" s="158"/>
      <c r="C164" s="150">
        <f t="shared" si="6"/>
        <v>0</v>
      </c>
      <c r="D164" s="159"/>
      <c r="E164" s="160"/>
      <c r="F164" s="159"/>
      <c r="G164" s="160"/>
      <c r="H164" s="159"/>
      <c r="I164" s="161"/>
      <c r="J164" s="161"/>
      <c r="K164" s="161"/>
      <c r="L164" s="161"/>
      <c r="M164" s="161"/>
      <c r="N164" s="161"/>
      <c r="O164" s="161"/>
      <c r="P164" s="161"/>
      <c r="Q164" s="154">
        <f t="shared" si="7"/>
        <v>0</v>
      </c>
      <c r="R164" s="160"/>
      <c r="S164" s="155">
        <f t="shared" si="8"/>
        <v>0</v>
      </c>
      <c r="T164" s="160"/>
      <c r="U164" s="163"/>
      <c r="V164" s="169"/>
    </row>
    <row r="165" spans="2:22">
      <c r="B165" s="158"/>
      <c r="C165" s="150">
        <f t="shared" si="6"/>
        <v>0</v>
      </c>
      <c r="D165" s="159"/>
      <c r="E165" s="160"/>
      <c r="F165" s="159"/>
      <c r="G165" s="160"/>
      <c r="H165" s="159"/>
      <c r="I165" s="161"/>
      <c r="J165" s="161"/>
      <c r="K165" s="161"/>
      <c r="L165" s="161"/>
      <c r="M165" s="161"/>
      <c r="N165" s="161"/>
      <c r="O165" s="161"/>
      <c r="P165" s="161"/>
      <c r="Q165" s="154">
        <f t="shared" si="7"/>
        <v>0</v>
      </c>
      <c r="R165" s="160"/>
      <c r="S165" s="155">
        <f t="shared" si="8"/>
        <v>0</v>
      </c>
      <c r="T165" s="160"/>
      <c r="U165" s="163"/>
      <c r="V165" s="169"/>
    </row>
    <row r="166" spans="2:22">
      <c r="B166" s="158"/>
      <c r="C166" s="150">
        <f t="shared" si="6"/>
        <v>0</v>
      </c>
      <c r="D166" s="159"/>
      <c r="E166" s="160"/>
      <c r="F166" s="159"/>
      <c r="G166" s="160"/>
      <c r="H166" s="159"/>
      <c r="I166" s="161"/>
      <c r="J166" s="161"/>
      <c r="K166" s="161"/>
      <c r="L166" s="161"/>
      <c r="M166" s="161"/>
      <c r="N166" s="161"/>
      <c r="O166" s="161"/>
      <c r="P166" s="161"/>
      <c r="Q166" s="154">
        <f t="shared" si="7"/>
        <v>0</v>
      </c>
      <c r="R166" s="160"/>
      <c r="S166" s="155">
        <f t="shared" si="8"/>
        <v>0</v>
      </c>
      <c r="T166" s="160"/>
      <c r="U166" s="163"/>
      <c r="V166" s="169"/>
    </row>
    <row r="167" spans="2:22">
      <c r="B167" s="158"/>
      <c r="C167" s="150">
        <f t="shared" si="6"/>
        <v>0</v>
      </c>
      <c r="D167" s="159"/>
      <c r="E167" s="160"/>
      <c r="F167" s="159"/>
      <c r="G167" s="160"/>
      <c r="H167" s="159"/>
      <c r="I167" s="161"/>
      <c r="J167" s="161"/>
      <c r="K167" s="161"/>
      <c r="L167" s="161"/>
      <c r="M167" s="161"/>
      <c r="N167" s="161"/>
      <c r="O167" s="161"/>
      <c r="P167" s="161"/>
      <c r="Q167" s="154">
        <f t="shared" si="7"/>
        <v>0</v>
      </c>
      <c r="R167" s="160"/>
      <c r="S167" s="155">
        <f t="shared" si="8"/>
        <v>0</v>
      </c>
      <c r="T167" s="160"/>
      <c r="U167" s="163"/>
      <c r="V167" s="169"/>
    </row>
    <row r="168" spans="2:22">
      <c r="B168" s="158"/>
      <c r="C168" s="150">
        <f t="shared" si="6"/>
        <v>0</v>
      </c>
      <c r="D168" s="159"/>
      <c r="E168" s="160"/>
      <c r="F168" s="159"/>
      <c r="G168" s="160"/>
      <c r="H168" s="159"/>
      <c r="I168" s="160"/>
      <c r="J168" s="160"/>
      <c r="K168" s="160"/>
      <c r="L168" s="160"/>
      <c r="M168" s="160"/>
      <c r="N168" s="160"/>
      <c r="O168" s="160"/>
      <c r="P168" s="160"/>
      <c r="Q168" s="154">
        <f t="shared" si="7"/>
        <v>0</v>
      </c>
      <c r="R168" s="160"/>
      <c r="S168" s="155">
        <f t="shared" si="8"/>
        <v>0</v>
      </c>
      <c r="T168" s="160"/>
      <c r="U168" s="163"/>
      <c r="V168" s="162"/>
    </row>
    <row r="169" spans="2:22">
      <c r="B169" s="158"/>
      <c r="C169" s="150">
        <f t="shared" si="6"/>
        <v>0</v>
      </c>
      <c r="D169" s="159"/>
      <c r="E169" s="160"/>
      <c r="F169" s="159"/>
      <c r="G169" s="160"/>
      <c r="H169" s="159"/>
      <c r="I169" s="161"/>
      <c r="J169" s="161"/>
      <c r="K169" s="161"/>
      <c r="L169" s="161"/>
      <c r="M169" s="161"/>
      <c r="N169" s="161"/>
      <c r="O169" s="161"/>
      <c r="P169" s="161"/>
      <c r="Q169" s="154">
        <f t="shared" si="7"/>
        <v>0</v>
      </c>
      <c r="R169" s="160"/>
      <c r="S169" s="155">
        <f t="shared" si="8"/>
        <v>0</v>
      </c>
      <c r="T169" s="160"/>
      <c r="U169" s="163"/>
      <c r="V169" s="162"/>
    </row>
    <row r="170" spans="2:22">
      <c r="B170" s="158"/>
      <c r="C170" s="150">
        <f t="shared" si="6"/>
        <v>0</v>
      </c>
      <c r="D170" s="159"/>
      <c r="E170" s="160"/>
      <c r="F170" s="159"/>
      <c r="G170" s="160"/>
      <c r="H170" s="159"/>
      <c r="I170" s="161"/>
      <c r="J170" s="161"/>
      <c r="K170" s="161"/>
      <c r="L170" s="161"/>
      <c r="M170" s="161"/>
      <c r="N170" s="161"/>
      <c r="O170" s="161"/>
      <c r="P170" s="161"/>
      <c r="Q170" s="154">
        <f t="shared" si="7"/>
        <v>0</v>
      </c>
      <c r="R170" s="160"/>
      <c r="S170" s="155">
        <f t="shared" si="8"/>
        <v>0</v>
      </c>
      <c r="T170" s="160"/>
      <c r="U170" s="163"/>
      <c r="V170" s="162"/>
    </row>
    <row r="171" spans="2:22">
      <c r="B171" s="158"/>
      <c r="C171" s="150">
        <f t="shared" si="6"/>
        <v>0</v>
      </c>
      <c r="D171" s="159"/>
      <c r="E171" s="160"/>
      <c r="F171" s="159"/>
      <c r="G171" s="160"/>
      <c r="H171" s="159"/>
      <c r="I171" s="161"/>
      <c r="J171" s="161"/>
      <c r="K171" s="161"/>
      <c r="L171" s="161"/>
      <c r="M171" s="161"/>
      <c r="N171" s="161"/>
      <c r="O171" s="161"/>
      <c r="P171" s="161"/>
      <c r="Q171" s="154">
        <f t="shared" si="7"/>
        <v>0</v>
      </c>
      <c r="R171" s="160"/>
      <c r="S171" s="155">
        <f t="shared" si="8"/>
        <v>0</v>
      </c>
      <c r="T171" s="160"/>
      <c r="U171" s="163"/>
      <c r="V171" s="169"/>
    </row>
    <row r="172" spans="2:22">
      <c r="B172" s="170" t="s">
        <v>124</v>
      </c>
      <c r="C172" s="171">
        <f>SUM(C11:C171)</f>
        <v>82031217</v>
      </c>
      <c r="D172" s="172"/>
      <c r="E172" s="173">
        <f>SUM(E11:E171)</f>
        <v>22660730</v>
      </c>
      <c r="F172" s="174"/>
      <c r="G172" s="173">
        <f>SUM(G11:G171)</f>
        <v>0</v>
      </c>
      <c r="H172" s="174"/>
      <c r="I172" s="173">
        <f t="shared" ref="I172:S172" si="9">SUM(I11:I171)</f>
        <v>24680572</v>
      </c>
      <c r="J172" s="173">
        <v>6347308</v>
      </c>
      <c r="K172" s="173">
        <f t="shared" si="9"/>
        <v>25689346</v>
      </c>
      <c r="L172" s="173">
        <f t="shared" si="9"/>
        <v>0</v>
      </c>
      <c r="M172" s="173">
        <f t="shared" si="9"/>
        <v>0</v>
      </c>
      <c r="N172" s="173">
        <f t="shared" si="9"/>
        <v>0</v>
      </c>
      <c r="O172" s="173">
        <f t="shared" si="9"/>
        <v>0</v>
      </c>
      <c r="P172" s="173">
        <f t="shared" si="9"/>
        <v>0</v>
      </c>
      <c r="Q172" s="171">
        <f t="shared" si="9"/>
        <v>59370487</v>
      </c>
      <c r="R172" s="173">
        <f t="shared" si="9"/>
        <v>0</v>
      </c>
      <c r="S172" s="175">
        <f t="shared" si="9"/>
        <v>22660730</v>
      </c>
      <c r="T172" s="176">
        <f>SUM(T11:T171)</f>
        <v>0</v>
      </c>
      <c r="U172" s="177"/>
      <c r="V172" s="177"/>
    </row>
    <row r="174" spans="2:22">
      <c r="S174" s="178"/>
    </row>
  </sheetData>
  <sheetProtection algorithmName="SHA-512" hashValue="V2sPTEoMLu9q/UT/lxJzHg+gZBDe9bZfVH+oQMPG8VlkaGj9PZ0lVrkzMsxZBH4wxRdUwDy5hC0CUVSrv8VVOQ==" saltValue="FhRrwguOpj5VIXmWEbJ5zw==" spinCount="100000" sheet="1" objects="1" scenarios="1"/>
  <mergeCells count="2">
    <mergeCell ref="I8:P8"/>
    <mergeCell ref="W8:Z8"/>
  </mergeCells>
  <pageMargins left="0.7" right="0.7" top="0.75" bottom="0.75" header="0.3" footer="0.3"/>
  <pageSetup paperSize="9" scale="22" orientation="portrait" useFirstPageNumber="1"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6"/>
  <sheetViews>
    <sheetView showGridLines="0" view="pageBreakPreview" zoomScaleNormal="100" workbookViewId="0">
      <pane ySplit="5" topLeftCell="A6" activePane="bottomLeft" state="frozen"/>
      <selection pane="bottomLeft" activeCell="C6" sqref="C6"/>
    </sheetView>
  </sheetViews>
  <sheetFormatPr defaultColWidth="9" defaultRowHeight="15"/>
  <cols>
    <col min="2" max="2" width="11.42578125" customWidth="1"/>
    <col min="3" max="3" width="15.28515625" customWidth="1"/>
    <col min="4" max="4" width="12.7109375" customWidth="1"/>
    <col min="5" max="5" width="16.7109375" customWidth="1"/>
    <col min="6" max="6" width="15.5703125" customWidth="1"/>
    <col min="7" max="7" width="19.7109375" customWidth="1"/>
    <col min="8" max="8" width="13.28515625" customWidth="1"/>
    <col min="10" max="11" width="12.7109375" customWidth="1"/>
    <col min="13" max="13" width="11" customWidth="1"/>
    <col min="14" max="14" width="7.42578125" customWidth="1"/>
  </cols>
  <sheetData>
    <row r="2" spans="2:13">
      <c r="B2" s="179"/>
      <c r="C2" s="180" t="s">
        <v>125</v>
      </c>
      <c r="D2" s="179"/>
      <c r="E2" s="179"/>
      <c r="F2" s="179"/>
      <c r="G2" s="179"/>
      <c r="H2" s="179"/>
      <c r="I2" s="180"/>
      <c r="J2" s="179"/>
      <c r="K2" s="179"/>
      <c r="L2" s="179"/>
      <c r="M2" s="179"/>
    </row>
    <row r="3" spans="2:13">
      <c r="B3" s="179"/>
      <c r="C3" s="179"/>
      <c r="D3" s="179"/>
      <c r="E3" s="179"/>
      <c r="F3" s="179"/>
      <c r="G3" s="179"/>
      <c r="H3" s="179"/>
      <c r="I3" s="179"/>
      <c r="J3" s="179"/>
      <c r="K3" s="179"/>
      <c r="L3" s="179"/>
      <c r="M3" s="179"/>
    </row>
    <row r="4" spans="2:13">
      <c r="B4" s="179"/>
      <c r="C4" s="179"/>
      <c r="D4" s="179"/>
      <c r="E4" s="179"/>
      <c r="F4" s="179"/>
      <c r="G4" s="179"/>
      <c r="H4" s="179"/>
      <c r="I4" s="179"/>
      <c r="J4" s="179"/>
      <c r="K4" s="179"/>
      <c r="L4" s="179"/>
      <c r="M4" s="179"/>
    </row>
    <row r="5" spans="2:13">
      <c r="B5" s="181" t="s">
        <v>126</v>
      </c>
      <c r="C5" s="182" t="s">
        <v>127</v>
      </c>
      <c r="D5" s="183" t="s">
        <v>128</v>
      </c>
      <c r="E5" s="183" t="s">
        <v>129</v>
      </c>
      <c r="F5" s="183" t="s">
        <v>130</v>
      </c>
      <c r="G5" s="183" t="s">
        <v>43</v>
      </c>
      <c r="H5" s="183" t="s">
        <v>42</v>
      </c>
      <c r="I5" s="182" t="s">
        <v>131</v>
      </c>
      <c r="J5" s="183" t="s">
        <v>44</v>
      </c>
      <c r="K5" s="183" t="s">
        <v>132</v>
      </c>
      <c r="L5" s="183" t="s">
        <v>45</v>
      </c>
      <c r="M5" s="182" t="s">
        <v>133</v>
      </c>
    </row>
    <row r="6" spans="2:13">
      <c r="B6" s="184">
        <v>46081.958333333328</v>
      </c>
      <c r="C6" s="185">
        <v>850</v>
      </c>
      <c r="D6" s="186">
        <v>20</v>
      </c>
      <c r="E6" s="186">
        <v>0</v>
      </c>
      <c r="F6" s="186"/>
      <c r="G6" s="186"/>
      <c r="H6" s="186"/>
      <c r="I6" s="186"/>
      <c r="J6" s="186"/>
      <c r="K6" s="186"/>
      <c r="L6" s="186"/>
      <c r="M6" s="186"/>
    </row>
    <row r="7" spans="2:13">
      <c r="B7" s="184">
        <v>46090.958333333328</v>
      </c>
      <c r="C7" s="185">
        <v>1300</v>
      </c>
      <c r="D7" s="186">
        <v>0</v>
      </c>
      <c r="E7" s="186">
        <v>0</v>
      </c>
      <c r="F7" s="186"/>
      <c r="G7" s="186"/>
      <c r="H7" s="186"/>
      <c r="I7" s="186"/>
      <c r="J7" s="186"/>
      <c r="K7" s="186"/>
      <c r="L7" s="186"/>
      <c r="M7" s="186"/>
    </row>
    <row r="8" spans="2:13">
      <c r="B8" s="184">
        <v>46096.958333333328</v>
      </c>
      <c r="C8" s="185">
        <v>1300</v>
      </c>
      <c r="D8" s="186">
        <v>0</v>
      </c>
      <c r="E8" s="186">
        <v>0</v>
      </c>
      <c r="F8" s="186"/>
      <c r="G8" s="186"/>
      <c r="H8" s="186"/>
      <c r="I8" s="186"/>
      <c r="J8" s="186"/>
      <c r="K8" s="186"/>
      <c r="L8" s="186"/>
      <c r="M8" s="186"/>
    </row>
    <row r="9" spans="2:13">
      <c r="B9" s="184"/>
      <c r="C9" s="185"/>
      <c r="D9" s="186">
        <v>0</v>
      </c>
      <c r="E9" s="186">
        <v>0</v>
      </c>
      <c r="F9" s="186"/>
      <c r="G9" s="186"/>
      <c r="H9" s="186"/>
      <c r="I9" s="186"/>
      <c r="J9" s="186"/>
      <c r="K9" s="186"/>
      <c r="L9" s="186"/>
      <c r="M9" s="186"/>
    </row>
    <row r="10" spans="2:13">
      <c r="B10" s="184"/>
      <c r="C10" s="185"/>
      <c r="D10" s="186">
        <v>0</v>
      </c>
      <c r="E10" s="186">
        <v>0</v>
      </c>
      <c r="F10" s="186"/>
      <c r="G10" s="186"/>
      <c r="H10" s="186"/>
      <c r="I10" s="186"/>
      <c r="J10" s="186"/>
      <c r="K10" s="186"/>
      <c r="L10" s="186"/>
      <c r="M10" s="186"/>
    </row>
    <row r="11" spans="2:13">
      <c r="B11" s="184"/>
      <c r="C11" s="185"/>
      <c r="D11" s="186">
        <v>0</v>
      </c>
      <c r="E11" s="186">
        <v>0</v>
      </c>
      <c r="F11" s="186"/>
      <c r="G11" s="186"/>
      <c r="H11" s="186"/>
      <c r="I11" s="186"/>
      <c r="J11" s="186"/>
      <c r="K11" s="186"/>
      <c r="L11" s="186"/>
      <c r="M11" s="186"/>
    </row>
    <row r="12" spans="2:13">
      <c r="B12" s="184"/>
      <c r="C12" s="185"/>
      <c r="D12" s="186">
        <v>0</v>
      </c>
      <c r="E12" s="186">
        <v>0</v>
      </c>
      <c r="F12" s="186"/>
      <c r="G12" s="186"/>
      <c r="H12" s="186"/>
      <c r="I12" s="186"/>
      <c r="J12" s="186"/>
      <c r="K12" s="186"/>
      <c r="L12" s="186"/>
      <c r="M12" s="186"/>
    </row>
    <row r="13" spans="2:13">
      <c r="B13" s="184"/>
      <c r="C13" s="185"/>
      <c r="D13" s="186"/>
      <c r="E13" s="186"/>
      <c r="F13" s="186"/>
      <c r="G13" s="186"/>
      <c r="H13" s="186"/>
      <c r="I13" s="186"/>
      <c r="J13" s="186"/>
      <c r="K13" s="186"/>
      <c r="L13" s="186"/>
      <c r="M13" s="186"/>
    </row>
    <row r="14" spans="2:13">
      <c r="B14" s="184"/>
      <c r="C14" s="185"/>
      <c r="D14" s="186"/>
      <c r="E14" s="186"/>
      <c r="F14" s="186"/>
      <c r="G14" s="186"/>
      <c r="H14" s="186"/>
      <c r="I14" s="186"/>
      <c r="J14" s="186"/>
      <c r="K14" s="186"/>
      <c r="L14" s="186"/>
      <c r="M14" s="186"/>
    </row>
    <row r="15" spans="2:13">
      <c r="B15" s="184"/>
      <c r="C15" s="185"/>
      <c r="D15" s="186"/>
      <c r="E15" s="186"/>
      <c r="F15" s="186"/>
      <c r="G15" s="186"/>
      <c r="H15" s="186"/>
      <c r="I15" s="186"/>
      <c r="J15" s="186"/>
      <c r="K15" s="186"/>
      <c r="L15" s="186"/>
      <c r="M15" s="186"/>
    </row>
    <row r="16" spans="2:13">
      <c r="B16" s="184"/>
      <c r="C16" s="185"/>
      <c r="D16" s="186"/>
      <c r="E16" s="186"/>
      <c r="F16" s="186"/>
      <c r="G16" s="186"/>
      <c r="H16" s="186"/>
      <c r="I16" s="186"/>
      <c r="J16" s="186"/>
      <c r="K16" s="186"/>
      <c r="L16" s="186"/>
      <c r="M16" s="186"/>
    </row>
    <row r="17" spans="2:13">
      <c r="B17" s="184"/>
      <c r="C17" s="185"/>
      <c r="D17" s="187"/>
      <c r="E17" s="187"/>
      <c r="F17" s="185"/>
      <c r="G17" s="185"/>
      <c r="H17" s="185"/>
      <c r="I17" s="188"/>
      <c r="J17" s="188"/>
      <c r="K17" s="189"/>
      <c r="L17" s="190"/>
      <c r="M17" s="185"/>
    </row>
    <row r="18" spans="2:13">
      <c r="B18" s="184"/>
      <c r="C18" s="185"/>
      <c r="D18" s="187"/>
      <c r="E18" s="187"/>
      <c r="F18" s="185"/>
      <c r="G18" s="185"/>
      <c r="H18" s="185"/>
      <c r="I18" s="188"/>
      <c r="J18" s="188"/>
      <c r="K18" s="189"/>
      <c r="L18" s="190"/>
      <c r="M18" s="185"/>
    </row>
    <row r="19" spans="2:13">
      <c r="B19" s="191"/>
      <c r="C19" s="185"/>
      <c r="D19" s="187"/>
      <c r="E19" s="187"/>
      <c r="F19" s="185"/>
      <c r="G19" s="185"/>
      <c r="H19" s="185"/>
      <c r="I19" s="188"/>
      <c r="J19" s="188"/>
      <c r="K19" s="189"/>
      <c r="L19" s="190"/>
      <c r="M19" s="185"/>
    </row>
    <row r="20" spans="2:13">
      <c r="B20" s="191"/>
      <c r="C20" s="185"/>
      <c r="D20" s="187"/>
      <c r="E20" s="187"/>
      <c r="F20" s="185"/>
      <c r="G20" s="185"/>
      <c r="H20" s="185"/>
      <c r="I20" s="192"/>
      <c r="J20" s="192"/>
      <c r="K20" s="193"/>
      <c r="L20" s="190"/>
      <c r="M20" s="185"/>
    </row>
    <row r="21" spans="2:13">
      <c r="B21" s="191"/>
      <c r="C21" s="185"/>
      <c r="D21" s="187"/>
      <c r="E21" s="187"/>
      <c r="F21" s="185"/>
      <c r="G21" s="185"/>
      <c r="H21" s="185"/>
      <c r="I21" s="188"/>
      <c r="J21" s="188"/>
      <c r="K21" s="189"/>
      <c r="L21" s="190"/>
      <c r="M21" s="185"/>
    </row>
    <row r="22" spans="2:13">
      <c r="B22" s="191"/>
      <c r="C22" s="185"/>
      <c r="D22" s="187"/>
      <c r="E22" s="187"/>
      <c r="F22" s="185"/>
      <c r="G22" s="185"/>
      <c r="H22" s="185"/>
      <c r="I22" s="188"/>
      <c r="J22" s="188"/>
      <c r="K22" s="189"/>
      <c r="L22" s="190"/>
      <c r="M22" s="185"/>
    </row>
    <row r="23" spans="2:13">
      <c r="B23" s="191"/>
      <c r="C23" s="185"/>
      <c r="D23" s="187"/>
      <c r="E23" s="187"/>
      <c r="F23" s="185"/>
      <c r="G23" s="185"/>
      <c r="H23" s="185"/>
      <c r="I23" s="188"/>
      <c r="J23" s="188"/>
      <c r="K23" s="189"/>
      <c r="L23" s="190"/>
      <c r="M23" s="185"/>
    </row>
    <row r="24" spans="2:13">
      <c r="B24" s="191"/>
      <c r="C24" s="185"/>
      <c r="D24" s="187"/>
      <c r="E24" s="187"/>
      <c r="F24" s="185"/>
      <c r="G24" s="185"/>
      <c r="H24" s="185"/>
      <c r="I24" s="188"/>
      <c r="J24" s="188"/>
      <c r="K24" s="189"/>
      <c r="L24" s="190"/>
      <c r="M24" s="185"/>
    </row>
    <row r="25" spans="2:13">
      <c r="B25" s="191"/>
      <c r="C25" s="185"/>
      <c r="D25" s="187"/>
      <c r="E25" s="187"/>
      <c r="F25" s="185"/>
      <c r="G25" s="185"/>
      <c r="H25" s="185"/>
      <c r="I25" s="188"/>
      <c r="J25" s="188"/>
      <c r="K25" s="189"/>
      <c r="L25" s="190"/>
      <c r="M25" s="185"/>
    </row>
    <row r="26" spans="2:13">
      <c r="B26" s="191"/>
      <c r="C26" s="185"/>
      <c r="D26" s="187"/>
      <c r="E26" s="187"/>
      <c r="F26" s="185"/>
      <c r="G26" s="185"/>
      <c r="H26" s="185"/>
      <c r="I26" s="188"/>
      <c r="J26" s="188"/>
      <c r="K26" s="189"/>
      <c r="L26" s="190"/>
      <c r="M26" s="185"/>
    </row>
    <row r="27" spans="2:13">
      <c r="B27" s="191"/>
      <c r="C27" s="185"/>
      <c r="D27" s="187"/>
      <c r="E27" s="187"/>
      <c r="F27" s="185"/>
      <c r="G27" s="185"/>
      <c r="H27" s="185"/>
      <c r="I27" s="188"/>
      <c r="J27" s="188"/>
      <c r="K27" s="189"/>
      <c r="L27" s="190"/>
      <c r="M27" s="185"/>
    </row>
    <row r="28" spans="2:13">
      <c r="B28" s="191"/>
      <c r="C28" s="185"/>
      <c r="D28" s="187"/>
      <c r="E28" s="187"/>
      <c r="F28" s="185"/>
      <c r="G28" s="185"/>
      <c r="H28" s="185"/>
      <c r="I28" s="188"/>
      <c r="J28" s="188"/>
      <c r="K28" s="189"/>
      <c r="L28" s="190"/>
      <c r="M28" s="185"/>
    </row>
    <row r="29" spans="2:13">
      <c r="B29" s="191"/>
      <c r="C29" s="185"/>
      <c r="D29" s="187"/>
      <c r="E29" s="187"/>
      <c r="F29" s="185"/>
      <c r="G29" s="185"/>
      <c r="H29" s="185"/>
      <c r="I29" s="188"/>
      <c r="J29" s="188"/>
      <c r="K29" s="189"/>
      <c r="L29" s="190"/>
      <c r="M29" s="185"/>
    </row>
    <row r="30" spans="2:13">
      <c r="B30" s="191"/>
      <c r="C30" s="185"/>
      <c r="D30" s="187"/>
      <c r="E30" s="187"/>
      <c r="F30" s="185"/>
      <c r="G30" s="185"/>
      <c r="H30" s="185"/>
      <c r="I30" s="188"/>
      <c r="J30" s="188"/>
      <c r="K30" s="189"/>
      <c r="L30" s="190"/>
      <c r="M30" s="185"/>
    </row>
    <row r="31" spans="2:13">
      <c r="B31" s="191"/>
      <c r="C31" s="185"/>
      <c r="D31" s="187"/>
      <c r="E31" s="187"/>
      <c r="F31" s="185"/>
      <c r="G31" s="185"/>
      <c r="H31" s="185"/>
      <c r="I31" s="188"/>
      <c r="J31" s="188"/>
      <c r="K31" s="189"/>
      <c r="L31" s="190"/>
      <c r="M31" s="185"/>
    </row>
    <row r="32" spans="2:13">
      <c r="B32" s="191"/>
      <c r="C32" s="185"/>
      <c r="D32" s="187"/>
      <c r="E32" s="187"/>
      <c r="F32" s="185"/>
      <c r="G32" s="185"/>
      <c r="H32" s="185"/>
      <c r="I32" s="188"/>
      <c r="J32" s="188"/>
      <c r="K32" s="189"/>
      <c r="L32" s="190"/>
      <c r="M32" s="185"/>
    </row>
    <row r="33" spans="2:13">
      <c r="B33" s="191"/>
      <c r="C33" s="185"/>
      <c r="D33" s="187"/>
      <c r="E33" s="187"/>
      <c r="F33" s="185"/>
      <c r="G33" s="185"/>
      <c r="H33" s="185"/>
      <c r="I33" s="188"/>
      <c r="J33" s="188"/>
      <c r="K33" s="189"/>
      <c r="L33" s="190"/>
      <c r="M33" s="185"/>
    </row>
    <row r="34" spans="2:13">
      <c r="B34" s="191"/>
      <c r="C34" s="185"/>
      <c r="D34" s="187"/>
      <c r="E34" s="187"/>
      <c r="F34" s="185"/>
      <c r="G34" s="185"/>
      <c r="H34" s="185"/>
      <c r="I34" s="188"/>
      <c r="J34" s="188"/>
      <c r="K34" s="189"/>
      <c r="L34" s="190"/>
      <c r="M34" s="185"/>
    </row>
    <row r="35" spans="2:13">
      <c r="B35" s="191"/>
      <c r="C35" s="185"/>
      <c r="D35" s="187"/>
      <c r="E35" s="187"/>
      <c r="F35" s="185"/>
      <c r="G35" s="185"/>
      <c r="H35" s="185"/>
      <c r="I35" s="188"/>
      <c r="J35" s="188"/>
      <c r="K35" s="189"/>
      <c r="L35" s="190"/>
      <c r="M35" s="185"/>
    </row>
    <row r="36" spans="2:13">
      <c r="B36" s="191" t="s">
        <v>134</v>
      </c>
      <c r="C36" s="194"/>
      <c r="D36" s="195">
        <f t="shared" ref="D36:M36" si="0">SUM(D6:D35)</f>
        <v>20</v>
      </c>
      <c r="E36" s="196">
        <f t="shared" si="0"/>
        <v>0</v>
      </c>
      <c r="F36" s="197">
        <f t="shared" si="0"/>
        <v>0</v>
      </c>
      <c r="G36" s="197">
        <f t="shared" si="0"/>
        <v>0</v>
      </c>
      <c r="H36" s="197">
        <f t="shared" si="0"/>
        <v>0</v>
      </c>
      <c r="I36" s="197">
        <f t="shared" si="0"/>
        <v>0</v>
      </c>
      <c r="J36" s="197">
        <f t="shared" si="0"/>
        <v>0</v>
      </c>
      <c r="K36" s="198">
        <f t="shared" si="0"/>
        <v>0</v>
      </c>
      <c r="L36" s="198">
        <f t="shared" si="0"/>
        <v>0</v>
      </c>
      <c r="M36" s="197">
        <f t="shared" si="0"/>
        <v>0</v>
      </c>
    </row>
  </sheetData>
  <pageMargins left="0.7" right="0.7" top="0.75" bottom="0.75" header="0.3" footer="0.3"/>
  <pageSetup paperSize="9" scale="44" orientation="portrait" useFirstPageNumber="1"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8"/>
  <sheetViews>
    <sheetView showGridLines="0" view="pageBreakPreview" zoomScale="87" zoomScaleNormal="100" workbookViewId="0">
      <pane ySplit="5" topLeftCell="A6" activePane="bottomLeft" state="frozen"/>
      <selection pane="bottomLeft" activeCell="D6" sqref="D6"/>
    </sheetView>
  </sheetViews>
  <sheetFormatPr defaultColWidth="9" defaultRowHeight="15"/>
  <cols>
    <col min="2" max="2" width="14" customWidth="1"/>
    <col min="3" max="3" width="16.7109375" customWidth="1"/>
    <col min="4" max="4" width="17.7109375" customWidth="1"/>
    <col min="5" max="5" width="17.28515625" customWidth="1"/>
    <col min="6" max="6" width="32.28515625" customWidth="1"/>
    <col min="7" max="7" width="23" customWidth="1"/>
    <col min="8" max="8" width="13.5703125" customWidth="1"/>
    <col min="9" max="9" width="18.28515625" customWidth="1"/>
  </cols>
  <sheetData>
    <row r="2" spans="2:9">
      <c r="B2" s="179"/>
      <c r="C2" s="180" t="s">
        <v>135</v>
      </c>
      <c r="D2" s="179"/>
      <c r="E2" s="179"/>
      <c r="F2" s="180"/>
      <c r="G2" s="180"/>
      <c r="H2" s="179"/>
      <c r="I2" s="179"/>
    </row>
    <row r="3" spans="2:9">
      <c r="B3" s="179"/>
      <c r="C3" s="179"/>
      <c r="D3" s="179"/>
      <c r="E3" s="179"/>
      <c r="F3" s="179"/>
      <c r="G3" s="179"/>
      <c r="H3" s="179"/>
      <c r="I3" s="179"/>
    </row>
    <row r="4" spans="2:9">
      <c r="B4" s="179"/>
      <c r="C4" s="179"/>
      <c r="D4" s="179"/>
      <c r="E4" s="179"/>
      <c r="F4" s="179"/>
      <c r="G4" s="179"/>
      <c r="H4" s="179"/>
      <c r="I4" s="179"/>
    </row>
    <row r="5" spans="2:9" ht="39.75" customHeight="1">
      <c r="B5" s="181" t="s">
        <v>126</v>
      </c>
      <c r="C5" s="182" t="s">
        <v>127</v>
      </c>
      <c r="D5" s="183" t="s">
        <v>136</v>
      </c>
      <c r="E5" s="183" t="s">
        <v>137</v>
      </c>
      <c r="F5" s="183" t="s">
        <v>138</v>
      </c>
      <c r="G5" s="183" t="s">
        <v>139</v>
      </c>
      <c r="H5" s="183" t="s">
        <v>140</v>
      </c>
      <c r="I5" s="183" t="s">
        <v>141</v>
      </c>
    </row>
    <row r="6" spans="2:9">
      <c r="B6" s="184">
        <v>46081.958333333328</v>
      </c>
      <c r="C6" s="186">
        <v>990</v>
      </c>
      <c r="D6" s="199">
        <v>32</v>
      </c>
      <c r="E6" s="186"/>
      <c r="F6" s="186">
        <v>0</v>
      </c>
      <c r="G6" s="186">
        <v>0</v>
      </c>
      <c r="H6" s="186">
        <v>0</v>
      </c>
      <c r="I6" s="186">
        <v>0</v>
      </c>
    </row>
    <row r="7" spans="2:9">
      <c r="B7" s="184">
        <v>46082.958333333328</v>
      </c>
      <c r="C7" s="186">
        <v>990</v>
      </c>
      <c r="D7" s="199">
        <v>32</v>
      </c>
      <c r="E7" s="185"/>
      <c r="F7" s="185">
        <v>0</v>
      </c>
      <c r="G7" s="185">
        <v>0</v>
      </c>
      <c r="H7" s="185">
        <v>0</v>
      </c>
      <c r="I7" s="185">
        <v>0</v>
      </c>
    </row>
    <row r="8" spans="2:9">
      <c r="B8" s="184">
        <v>46083.958333333328</v>
      </c>
      <c r="C8" s="186">
        <v>1050</v>
      </c>
      <c r="D8" s="199">
        <v>33</v>
      </c>
      <c r="E8" s="185"/>
      <c r="F8" s="185">
        <v>0</v>
      </c>
      <c r="G8" s="185">
        <v>0</v>
      </c>
      <c r="H8" s="185">
        <v>0</v>
      </c>
      <c r="I8" s="185">
        <v>0</v>
      </c>
    </row>
    <row r="9" spans="2:9">
      <c r="B9" s="184">
        <v>46084.958333333328</v>
      </c>
      <c r="C9" s="186">
        <v>1050</v>
      </c>
      <c r="D9" s="199">
        <v>32</v>
      </c>
      <c r="E9" s="185"/>
      <c r="F9" s="185">
        <v>0</v>
      </c>
      <c r="G9" s="185">
        <v>0</v>
      </c>
      <c r="H9" s="185">
        <v>0</v>
      </c>
      <c r="I9" s="185">
        <v>0</v>
      </c>
    </row>
    <row r="10" spans="2:9">
      <c r="B10" s="184">
        <v>46085.958333333328</v>
      </c>
      <c r="C10" s="186">
        <v>1180</v>
      </c>
      <c r="D10" s="199">
        <v>32</v>
      </c>
      <c r="E10" s="185"/>
      <c r="F10" s="185">
        <v>0</v>
      </c>
      <c r="G10" s="185">
        <v>0</v>
      </c>
      <c r="H10" s="185">
        <v>0</v>
      </c>
      <c r="I10" s="185">
        <v>0</v>
      </c>
    </row>
    <row r="11" spans="2:9">
      <c r="B11" s="184">
        <v>46086.958333333328</v>
      </c>
      <c r="C11" s="186">
        <v>1450</v>
      </c>
      <c r="D11" s="199">
        <v>32</v>
      </c>
      <c r="E11" s="185"/>
      <c r="F11" s="185">
        <v>0</v>
      </c>
      <c r="G11" s="185">
        <v>0</v>
      </c>
      <c r="H11" s="185">
        <v>0</v>
      </c>
      <c r="I11" s="185">
        <v>0</v>
      </c>
    </row>
    <row r="12" spans="2:9">
      <c r="B12" s="184">
        <v>46087.958333333328</v>
      </c>
      <c r="C12" s="186">
        <v>1450</v>
      </c>
      <c r="D12" s="199">
        <v>40</v>
      </c>
      <c r="E12" s="185"/>
      <c r="F12" s="185">
        <v>0</v>
      </c>
      <c r="G12" s="185">
        <v>0</v>
      </c>
      <c r="H12" s="185">
        <v>0</v>
      </c>
      <c r="I12" s="185">
        <v>0</v>
      </c>
    </row>
    <row r="13" spans="2:9">
      <c r="B13" s="184">
        <v>46088.958333333328</v>
      </c>
      <c r="C13" s="186">
        <v>1450</v>
      </c>
      <c r="D13" s="199">
        <v>32</v>
      </c>
      <c r="E13" s="185"/>
      <c r="F13" s="185"/>
      <c r="G13" s="185"/>
      <c r="H13" s="185"/>
      <c r="I13" s="185"/>
    </row>
    <row r="14" spans="2:9">
      <c r="B14" s="184">
        <v>46089.958333333328</v>
      </c>
      <c r="C14" s="186">
        <v>1770</v>
      </c>
      <c r="D14" s="199">
        <v>32</v>
      </c>
      <c r="E14" s="185"/>
      <c r="F14" s="185"/>
      <c r="G14" s="185"/>
      <c r="H14" s="185"/>
      <c r="I14" s="185"/>
    </row>
    <row r="15" spans="2:9">
      <c r="B15" s="200">
        <v>46090.958333333328</v>
      </c>
      <c r="C15" s="201">
        <v>1770</v>
      </c>
      <c r="D15" s="202">
        <v>42</v>
      </c>
      <c r="E15" s="201"/>
      <c r="F15" s="201"/>
      <c r="G15" s="201"/>
      <c r="H15" s="201"/>
      <c r="I15" s="201"/>
    </row>
    <row r="16" spans="2:9">
      <c r="B16" s="203">
        <v>46091.958333333328</v>
      </c>
      <c r="C16" s="201">
        <v>1770</v>
      </c>
      <c r="D16" s="202">
        <v>32</v>
      </c>
      <c r="E16" s="201"/>
      <c r="F16" s="201"/>
      <c r="G16" s="201"/>
      <c r="H16" s="201"/>
      <c r="I16" s="201"/>
    </row>
    <row r="17" spans="2:9">
      <c r="B17" s="200">
        <v>46092.958333333328</v>
      </c>
      <c r="C17" s="201">
        <v>1770</v>
      </c>
      <c r="D17" s="202">
        <v>32</v>
      </c>
      <c r="E17" s="202"/>
      <c r="F17" s="204"/>
      <c r="G17" s="202"/>
      <c r="H17" s="205"/>
      <c r="I17" s="201"/>
    </row>
    <row r="18" spans="2:9">
      <c r="B18" s="203">
        <v>46093.958333333328</v>
      </c>
      <c r="C18" s="201">
        <v>1700</v>
      </c>
      <c r="D18" s="202">
        <v>32</v>
      </c>
      <c r="E18" s="202"/>
      <c r="F18" s="204"/>
      <c r="G18" s="205"/>
      <c r="H18" s="205"/>
      <c r="I18" s="201"/>
    </row>
    <row r="19" spans="2:9">
      <c r="B19" s="191">
        <v>46094.958333333328</v>
      </c>
      <c r="C19" s="186">
        <v>1700</v>
      </c>
      <c r="D19" s="199">
        <v>32</v>
      </c>
      <c r="E19" s="199"/>
      <c r="F19" s="206"/>
      <c r="G19" s="206"/>
      <c r="H19" s="206"/>
      <c r="I19" s="207"/>
    </row>
    <row r="20" spans="2:9">
      <c r="B20" s="191">
        <v>46095.958333333328</v>
      </c>
      <c r="C20" s="186">
        <v>1700</v>
      </c>
      <c r="D20" s="199">
        <v>32</v>
      </c>
      <c r="E20" s="192"/>
      <c r="F20" s="188"/>
      <c r="G20" s="188"/>
      <c r="H20" s="188"/>
      <c r="I20" s="190"/>
    </row>
    <row r="21" spans="2:9">
      <c r="B21" s="191">
        <v>46096.958333333328</v>
      </c>
      <c r="C21" s="186">
        <v>1670</v>
      </c>
      <c r="D21" s="199"/>
      <c r="E21" s="192"/>
      <c r="F21" s="188"/>
      <c r="G21" s="188"/>
      <c r="H21" s="188"/>
      <c r="I21" s="190"/>
    </row>
    <row r="22" spans="2:9">
      <c r="B22" s="191"/>
      <c r="C22" s="186"/>
      <c r="D22" s="199"/>
      <c r="E22" s="192"/>
      <c r="F22" s="188"/>
      <c r="G22" s="192"/>
      <c r="H22" s="188"/>
      <c r="I22" s="190"/>
    </row>
    <row r="23" spans="2:9">
      <c r="B23" s="191"/>
      <c r="C23" s="186"/>
      <c r="D23" s="199"/>
      <c r="E23" s="192"/>
      <c r="F23" s="188"/>
      <c r="G23" s="188"/>
      <c r="H23" s="188"/>
      <c r="I23" s="208"/>
    </row>
    <row r="24" spans="2:9">
      <c r="B24" s="191"/>
      <c r="C24" s="186"/>
      <c r="D24" s="199"/>
      <c r="E24" s="192"/>
      <c r="F24" s="188"/>
      <c r="G24" s="188"/>
      <c r="H24" s="188"/>
      <c r="I24" s="190"/>
    </row>
    <row r="25" spans="2:9">
      <c r="B25" s="191"/>
      <c r="C25" s="186"/>
      <c r="D25" s="199"/>
      <c r="E25" s="192"/>
      <c r="F25" s="192"/>
      <c r="G25" s="188"/>
      <c r="H25" s="188"/>
      <c r="I25" s="190"/>
    </row>
    <row r="26" spans="2:9">
      <c r="B26" s="191"/>
      <c r="C26" s="186"/>
      <c r="D26" s="199"/>
      <c r="E26" s="192"/>
      <c r="F26" s="188"/>
      <c r="G26" s="188"/>
      <c r="H26" s="188"/>
      <c r="I26" s="208"/>
    </row>
    <row r="27" spans="2:9">
      <c r="B27" s="191"/>
      <c r="C27" s="186"/>
      <c r="D27" s="199"/>
      <c r="E27" s="192"/>
      <c r="F27" s="188"/>
      <c r="G27" s="188"/>
      <c r="H27" s="188"/>
      <c r="I27" s="208"/>
    </row>
    <row r="28" spans="2:9">
      <c r="B28" s="191"/>
      <c r="C28" s="186"/>
      <c r="D28" s="199"/>
      <c r="E28" s="209"/>
      <c r="F28" s="188"/>
      <c r="G28" s="188"/>
      <c r="H28" s="188"/>
      <c r="I28" s="208"/>
    </row>
    <row r="29" spans="2:9">
      <c r="B29" s="191"/>
      <c r="C29" s="186"/>
      <c r="D29" s="192"/>
      <c r="E29" s="185"/>
      <c r="F29" s="188"/>
      <c r="G29" s="188"/>
      <c r="H29" s="188"/>
      <c r="I29" s="208"/>
    </row>
    <row r="30" spans="2:9">
      <c r="B30" s="191"/>
      <c r="C30" s="186"/>
      <c r="D30" s="192"/>
      <c r="E30" s="185"/>
      <c r="F30" s="188"/>
      <c r="G30" s="188"/>
      <c r="H30" s="188"/>
      <c r="I30" s="208"/>
    </row>
    <row r="31" spans="2:9">
      <c r="B31" s="191"/>
      <c r="C31" s="186"/>
      <c r="D31" s="192"/>
      <c r="E31" s="185"/>
      <c r="F31" s="192"/>
      <c r="G31" s="188"/>
      <c r="H31" s="188"/>
      <c r="I31" s="208"/>
    </row>
    <row r="32" spans="2:9">
      <c r="B32" s="191"/>
      <c r="C32" s="186"/>
      <c r="D32" s="192"/>
      <c r="E32" s="185"/>
      <c r="F32" s="188"/>
      <c r="G32" s="192"/>
      <c r="H32" s="188"/>
      <c r="I32" s="208"/>
    </row>
    <row r="33" spans="2:9">
      <c r="B33" s="191"/>
      <c r="C33" s="186"/>
      <c r="D33" s="192"/>
      <c r="E33" s="185"/>
      <c r="F33" s="188"/>
      <c r="G33" s="188"/>
      <c r="H33" s="188"/>
      <c r="I33" s="208"/>
    </row>
    <row r="34" spans="2:9">
      <c r="B34" s="191"/>
      <c r="C34" s="186"/>
      <c r="D34" s="192"/>
      <c r="E34" s="185"/>
      <c r="F34" s="188"/>
      <c r="G34" s="188"/>
      <c r="H34" s="188"/>
      <c r="I34" s="190"/>
    </row>
    <row r="35" spans="2:9">
      <c r="B35" s="191"/>
      <c r="C35" s="186"/>
      <c r="D35" s="192"/>
      <c r="E35" s="185"/>
      <c r="F35" s="188"/>
      <c r="G35" s="188"/>
      <c r="H35" s="188"/>
      <c r="I35" s="190"/>
    </row>
    <row r="36" spans="2:9">
      <c r="B36" s="191"/>
      <c r="C36" s="186"/>
      <c r="D36" s="192"/>
      <c r="E36" s="185"/>
      <c r="F36" s="188"/>
      <c r="G36" s="188"/>
      <c r="H36" s="188"/>
      <c r="I36" s="190"/>
    </row>
    <row r="37" spans="2:9">
      <c r="B37" s="210"/>
      <c r="C37" s="185"/>
      <c r="D37" s="189"/>
      <c r="E37" s="185"/>
      <c r="F37" s="188"/>
      <c r="G37" s="188"/>
      <c r="H37" s="188"/>
      <c r="I37" s="190"/>
    </row>
    <row r="38" spans="2:9">
      <c r="B38" s="211" t="s">
        <v>134</v>
      </c>
      <c r="C38" s="212"/>
      <c r="D38" s="195">
        <f t="shared" ref="D38:I38" si="0">SUM(D6:D37)</f>
        <v>499</v>
      </c>
      <c r="E38" s="195">
        <f t="shared" si="0"/>
        <v>0</v>
      </c>
      <c r="F38" s="196">
        <f t="shared" si="0"/>
        <v>0</v>
      </c>
      <c r="G38" s="195">
        <f t="shared" si="0"/>
        <v>0</v>
      </c>
      <c r="H38" s="195">
        <f t="shared" si="0"/>
        <v>0</v>
      </c>
      <c r="I38" s="198">
        <f t="shared" si="0"/>
        <v>0</v>
      </c>
    </row>
  </sheetData>
  <pageMargins left="0.7" right="0.7" top="0.75" bottom="0.75" header="0.3" footer="0.3"/>
  <pageSetup paperSize="9" scale="50" orientation="portrait" useFirstPageNumber="1"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7"/>
  <sheetViews>
    <sheetView showGridLines="0" view="pageBreakPreview" zoomScaleNormal="100" workbookViewId="0">
      <pane ySplit="6" topLeftCell="A7" activePane="bottomLeft" state="frozen"/>
      <selection pane="bottomLeft" activeCell="C7" sqref="C7"/>
    </sheetView>
  </sheetViews>
  <sheetFormatPr defaultColWidth="9" defaultRowHeight="15"/>
  <cols>
    <col min="2" max="2" width="18.7109375" customWidth="1"/>
    <col min="4" max="4" width="13.5703125" customWidth="1"/>
    <col min="5" max="5" width="17.28515625" customWidth="1"/>
    <col min="6" max="6" width="30.42578125" customWidth="1"/>
    <col min="7" max="7" width="21.5703125" customWidth="1"/>
    <col min="8" max="8" width="11" customWidth="1"/>
  </cols>
  <sheetData>
    <row r="2" spans="2:9">
      <c r="B2" s="179"/>
      <c r="C2" s="179"/>
      <c r="D2" s="179"/>
      <c r="E2" s="179"/>
      <c r="F2" s="179"/>
      <c r="G2" s="179"/>
      <c r="H2" s="179"/>
      <c r="I2" s="179"/>
    </row>
    <row r="3" spans="2:9">
      <c r="B3" s="179"/>
      <c r="C3" s="180" t="s">
        <v>142</v>
      </c>
      <c r="D3" s="179"/>
      <c r="E3" s="179"/>
      <c r="F3" s="180"/>
      <c r="G3" s="180"/>
      <c r="H3" s="179"/>
      <c r="I3" s="179"/>
    </row>
    <row r="4" spans="2:9">
      <c r="B4" s="179"/>
      <c r="C4" s="179"/>
      <c r="D4" s="179"/>
      <c r="E4" s="179"/>
      <c r="F4" s="179"/>
      <c r="G4" s="179"/>
      <c r="H4" s="179"/>
      <c r="I4" s="179"/>
    </row>
    <row r="5" spans="2:9">
      <c r="B5" s="179"/>
      <c r="C5" s="179"/>
      <c r="D5" s="179"/>
      <c r="E5" s="179"/>
      <c r="F5" s="179"/>
      <c r="G5" s="179"/>
      <c r="H5" s="179"/>
      <c r="I5" s="179"/>
    </row>
    <row r="6" spans="2:9">
      <c r="B6" s="181" t="s">
        <v>126</v>
      </c>
      <c r="C6" s="182" t="s">
        <v>127</v>
      </c>
      <c r="D6" s="213" t="s">
        <v>133</v>
      </c>
      <c r="E6" s="214" t="s">
        <v>130</v>
      </c>
      <c r="F6" s="215" t="s">
        <v>138</v>
      </c>
      <c r="G6" s="214" t="s">
        <v>139</v>
      </c>
      <c r="H6" s="214" t="s">
        <v>44</v>
      </c>
      <c r="I6" s="214" t="s">
        <v>132</v>
      </c>
    </row>
    <row r="7" spans="2:9">
      <c r="B7" s="184"/>
      <c r="C7" s="216"/>
      <c r="D7" s="186"/>
      <c r="E7" s="186">
        <v>0</v>
      </c>
      <c r="F7" s="186">
        <v>0</v>
      </c>
      <c r="G7" s="186">
        <v>0</v>
      </c>
      <c r="H7" s="186">
        <v>0</v>
      </c>
      <c r="I7" s="186">
        <v>0</v>
      </c>
    </row>
    <row r="8" spans="2:9">
      <c r="B8" s="184"/>
      <c r="C8" s="216"/>
      <c r="D8" s="185"/>
      <c r="E8" s="185">
        <v>0</v>
      </c>
      <c r="F8" s="185">
        <v>0</v>
      </c>
      <c r="G8" s="185">
        <v>0</v>
      </c>
      <c r="H8" s="185">
        <v>0</v>
      </c>
      <c r="I8" s="185">
        <v>0</v>
      </c>
    </row>
    <row r="9" spans="2:9">
      <c r="B9" s="184"/>
      <c r="C9" s="216"/>
      <c r="D9" s="185"/>
      <c r="E9" s="185">
        <v>0</v>
      </c>
      <c r="F9" s="185">
        <v>0</v>
      </c>
      <c r="G9" s="185">
        <v>0</v>
      </c>
      <c r="H9" s="185">
        <v>0</v>
      </c>
      <c r="I9" s="185">
        <v>0</v>
      </c>
    </row>
    <row r="10" spans="2:9">
      <c r="B10" s="184"/>
      <c r="C10" s="216"/>
      <c r="D10" s="185"/>
      <c r="E10" s="185">
        <v>0</v>
      </c>
      <c r="F10" s="185">
        <v>0</v>
      </c>
      <c r="G10" s="185">
        <v>0</v>
      </c>
      <c r="H10" s="185">
        <v>0</v>
      </c>
      <c r="I10" s="185">
        <v>0</v>
      </c>
    </row>
    <row r="11" spans="2:9">
      <c r="B11" s="184"/>
      <c r="C11" s="216"/>
      <c r="D11" s="185"/>
      <c r="E11" s="185">
        <v>0</v>
      </c>
      <c r="F11" s="185">
        <v>0</v>
      </c>
      <c r="G11" s="185">
        <v>0</v>
      </c>
      <c r="H11" s="185">
        <v>0</v>
      </c>
      <c r="I11" s="185">
        <v>0</v>
      </c>
    </row>
    <row r="12" spans="2:9">
      <c r="B12" s="184"/>
      <c r="C12" s="216"/>
      <c r="D12" s="185"/>
      <c r="E12" s="185">
        <v>0</v>
      </c>
      <c r="F12" s="185">
        <v>0</v>
      </c>
      <c r="G12" s="185">
        <v>0</v>
      </c>
      <c r="H12" s="185">
        <v>0</v>
      </c>
      <c r="I12" s="185">
        <v>0</v>
      </c>
    </row>
    <row r="13" spans="2:9">
      <c r="B13" s="184"/>
      <c r="C13" s="216"/>
      <c r="D13" s="185"/>
      <c r="E13" s="185">
        <v>0</v>
      </c>
      <c r="F13" s="185">
        <v>0</v>
      </c>
      <c r="G13" s="185">
        <v>0</v>
      </c>
      <c r="H13" s="185">
        <v>0</v>
      </c>
      <c r="I13" s="185">
        <v>0</v>
      </c>
    </row>
    <row r="14" spans="2:9">
      <c r="B14" s="184"/>
      <c r="C14" s="216"/>
      <c r="D14" s="185"/>
      <c r="E14" s="185"/>
      <c r="F14" s="185"/>
      <c r="G14" s="185"/>
      <c r="H14" s="185"/>
      <c r="I14" s="185"/>
    </row>
    <row r="15" spans="2:9">
      <c r="B15" s="184"/>
      <c r="C15" s="216"/>
      <c r="D15" s="185"/>
      <c r="E15" s="185"/>
      <c r="F15" s="185"/>
      <c r="G15" s="185"/>
      <c r="H15" s="185"/>
      <c r="I15" s="185"/>
    </row>
    <row r="16" spans="2:9">
      <c r="B16" s="184"/>
      <c r="C16" s="216"/>
      <c r="D16" s="185"/>
      <c r="E16" s="185"/>
      <c r="F16" s="185"/>
      <c r="G16" s="185"/>
      <c r="H16" s="185"/>
      <c r="I16" s="185"/>
    </row>
    <row r="17" spans="2:9">
      <c r="B17" s="184"/>
      <c r="C17" s="185"/>
      <c r="D17" s="185"/>
      <c r="E17" s="185"/>
      <c r="F17" s="185"/>
      <c r="G17" s="185"/>
      <c r="H17" s="185"/>
      <c r="I17" s="190"/>
    </row>
    <row r="18" spans="2:9">
      <c r="B18" s="184"/>
      <c r="C18" s="185"/>
      <c r="D18" s="185"/>
      <c r="E18" s="185"/>
      <c r="F18" s="185"/>
      <c r="G18" s="185"/>
      <c r="H18" s="185"/>
      <c r="I18" s="185"/>
    </row>
    <row r="19" spans="2:9">
      <c r="B19" s="191"/>
      <c r="C19" s="185"/>
      <c r="D19" s="185"/>
      <c r="E19" s="185"/>
      <c r="F19" s="185"/>
      <c r="G19" s="185"/>
      <c r="H19" s="185"/>
      <c r="I19" s="185"/>
    </row>
    <row r="20" spans="2:9">
      <c r="B20" s="184"/>
      <c r="C20" s="185"/>
      <c r="D20" s="185"/>
      <c r="E20" s="185"/>
      <c r="F20" s="188"/>
      <c r="G20" s="188"/>
      <c r="H20" s="188"/>
      <c r="I20" s="190"/>
    </row>
    <row r="21" spans="2:9">
      <c r="B21" s="203"/>
      <c r="C21" s="185"/>
      <c r="D21" s="185"/>
      <c r="E21" s="185"/>
      <c r="F21" s="188"/>
      <c r="G21" s="188"/>
      <c r="H21" s="188"/>
      <c r="I21" s="190"/>
    </row>
    <row r="22" spans="2:9">
      <c r="B22" s="203"/>
      <c r="C22" s="185"/>
      <c r="D22" s="185"/>
      <c r="E22" s="185"/>
      <c r="F22" s="188"/>
      <c r="G22" s="188"/>
      <c r="H22" s="188"/>
      <c r="I22" s="190"/>
    </row>
    <row r="23" spans="2:9">
      <c r="B23" s="203"/>
      <c r="C23" s="185"/>
      <c r="D23" s="185"/>
      <c r="E23" s="185"/>
      <c r="F23" s="188"/>
      <c r="G23" s="188"/>
      <c r="H23" s="188"/>
      <c r="I23" s="190"/>
    </row>
    <row r="24" spans="2:9">
      <c r="B24" s="203"/>
      <c r="C24" s="185"/>
      <c r="D24" s="185"/>
      <c r="E24" s="185"/>
      <c r="F24" s="188"/>
      <c r="G24" s="188"/>
      <c r="H24" s="188"/>
      <c r="I24" s="190"/>
    </row>
    <row r="25" spans="2:9">
      <c r="B25" s="203"/>
      <c r="C25" s="185"/>
      <c r="D25" s="185"/>
      <c r="E25" s="185"/>
      <c r="F25" s="188"/>
      <c r="G25" s="188"/>
      <c r="H25" s="188"/>
      <c r="I25" s="190"/>
    </row>
    <row r="26" spans="2:9">
      <c r="B26" s="203"/>
      <c r="C26" s="185"/>
      <c r="D26" s="185"/>
      <c r="E26" s="185"/>
      <c r="F26" s="188"/>
      <c r="G26" s="188"/>
      <c r="H26" s="188"/>
      <c r="I26" s="190"/>
    </row>
    <row r="27" spans="2:9">
      <c r="B27" s="203"/>
      <c r="C27" s="185"/>
      <c r="D27" s="185"/>
      <c r="E27" s="185"/>
      <c r="F27" s="188"/>
      <c r="G27" s="188"/>
      <c r="H27" s="188"/>
      <c r="I27" s="185"/>
    </row>
    <row r="28" spans="2:9">
      <c r="B28" s="203"/>
      <c r="C28" s="185"/>
      <c r="D28" s="185"/>
      <c r="E28" s="185"/>
      <c r="F28" s="188"/>
      <c r="G28" s="188"/>
      <c r="H28" s="188"/>
      <c r="I28" s="185"/>
    </row>
    <row r="29" spans="2:9">
      <c r="B29" s="203"/>
      <c r="C29" s="185"/>
      <c r="D29" s="185"/>
      <c r="E29" s="185"/>
      <c r="F29" s="188"/>
      <c r="G29" s="188"/>
      <c r="H29" s="188"/>
      <c r="I29" s="185"/>
    </row>
    <row r="30" spans="2:9">
      <c r="B30" s="203"/>
      <c r="C30" s="185"/>
      <c r="D30" s="185"/>
      <c r="E30" s="185"/>
      <c r="F30" s="188"/>
      <c r="G30" s="188"/>
      <c r="H30" s="188"/>
      <c r="I30" s="185"/>
    </row>
    <row r="31" spans="2:9">
      <c r="B31" s="203"/>
      <c r="C31" s="185"/>
      <c r="D31" s="185"/>
      <c r="E31" s="185"/>
      <c r="F31" s="188"/>
      <c r="G31" s="188"/>
      <c r="H31" s="188"/>
      <c r="I31" s="185"/>
    </row>
    <row r="32" spans="2:9">
      <c r="B32" s="203"/>
      <c r="C32" s="185"/>
      <c r="D32" s="185"/>
      <c r="E32" s="185"/>
      <c r="F32" s="188"/>
      <c r="G32" s="188"/>
      <c r="H32" s="188"/>
      <c r="I32" s="185"/>
    </row>
    <row r="33" spans="2:9">
      <c r="B33" s="203"/>
      <c r="C33" s="185"/>
      <c r="D33" s="185"/>
      <c r="E33" s="185"/>
      <c r="F33" s="188"/>
      <c r="G33" s="188"/>
      <c r="H33" s="188"/>
      <c r="I33" s="185"/>
    </row>
    <row r="34" spans="2:9">
      <c r="B34" s="203"/>
      <c r="C34" s="185"/>
      <c r="D34" s="185"/>
      <c r="E34" s="185"/>
      <c r="F34" s="188"/>
      <c r="G34" s="188"/>
      <c r="H34" s="188"/>
      <c r="I34" s="185"/>
    </row>
    <row r="35" spans="2:9">
      <c r="B35" s="203"/>
      <c r="C35" s="185"/>
      <c r="D35" s="185"/>
      <c r="E35" s="185"/>
      <c r="F35" s="188"/>
      <c r="G35" s="188"/>
      <c r="H35" s="188"/>
      <c r="I35" s="185"/>
    </row>
    <row r="36" spans="2:9">
      <c r="B36" s="203"/>
      <c r="C36" s="217"/>
      <c r="D36" s="217"/>
      <c r="E36" s="217"/>
      <c r="F36" s="218"/>
      <c r="G36" s="218"/>
      <c r="H36" s="218"/>
      <c r="I36" s="217"/>
    </row>
    <row r="37" spans="2:9">
      <c r="B37" s="211" t="s">
        <v>134</v>
      </c>
      <c r="C37" s="219"/>
      <c r="D37" s="220">
        <f t="shared" ref="D37:I37" si="0">SUM(D7:D27)</f>
        <v>0</v>
      </c>
      <c r="E37" s="212">
        <f t="shared" si="0"/>
        <v>0</v>
      </c>
      <c r="F37" s="219">
        <f t="shared" si="0"/>
        <v>0</v>
      </c>
      <c r="G37" s="212">
        <f t="shared" si="0"/>
        <v>0</v>
      </c>
      <c r="H37" s="212">
        <f t="shared" si="0"/>
        <v>0</v>
      </c>
      <c r="I37" s="221">
        <f t="shared" si="0"/>
        <v>0</v>
      </c>
    </row>
  </sheetData>
  <pageMargins left="0.7" right="0.7" top="0.75" bottom="0.75" header="0.3" footer="0.3"/>
  <pageSetup paperSize="9" scale="61" orientation="portrait" useFirstPageNumber="1"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52"/>
  <sheetViews>
    <sheetView showGridLines="0" view="pageBreakPreview" zoomScaleNormal="100" workbookViewId="0">
      <pane ySplit="8" topLeftCell="A9" activePane="bottomLeft" state="frozen"/>
      <selection pane="bottomLeft" activeCell="D9" sqref="D9"/>
    </sheetView>
  </sheetViews>
  <sheetFormatPr defaultColWidth="9" defaultRowHeight="15"/>
  <cols>
    <col min="2" max="3" width="14.28515625" customWidth="1"/>
    <col min="4" max="4" width="11.7109375" customWidth="1"/>
    <col min="5" max="5" width="1.42578125" customWidth="1"/>
    <col min="6" max="6" width="12" customWidth="1"/>
    <col min="7" max="7" width="2.28515625" customWidth="1"/>
    <col min="8" max="8" width="8.7109375" customWidth="1"/>
    <col min="9" max="9" width="11.28515625" customWidth="1"/>
    <col min="10" max="10" width="3" customWidth="1"/>
    <col min="11" max="11" width="11.28515625" customWidth="1"/>
    <col min="12" max="12" width="0.7109375" customWidth="1"/>
    <col min="13" max="13" width="9.7109375" customWidth="1"/>
    <col min="14" max="14" width="11.42578125" customWidth="1"/>
    <col min="15" max="15" width="2.7109375" customWidth="1"/>
    <col min="16" max="16" width="11.5703125" customWidth="1"/>
  </cols>
  <sheetData>
    <row r="2" spans="2:16">
      <c r="B2" s="1"/>
      <c r="C2" s="1"/>
      <c r="D2" s="1"/>
      <c r="E2" s="1"/>
      <c r="F2" s="1"/>
      <c r="G2" s="1"/>
      <c r="H2" s="1"/>
      <c r="I2" s="1"/>
      <c r="J2" s="1"/>
      <c r="K2" s="1"/>
      <c r="L2" s="1"/>
      <c r="M2" s="1"/>
      <c r="N2" s="1"/>
      <c r="O2" s="1"/>
      <c r="P2" s="1"/>
    </row>
    <row r="3" spans="2:16">
      <c r="B3" s="1"/>
      <c r="C3" s="1"/>
      <c r="D3" s="1"/>
      <c r="E3" s="1"/>
      <c r="F3" s="1"/>
      <c r="G3" s="1"/>
      <c r="H3" s="1"/>
      <c r="I3" s="1"/>
      <c r="J3" s="1"/>
      <c r="K3" s="1"/>
      <c r="L3" s="1"/>
      <c r="M3" s="1"/>
      <c r="N3" s="1"/>
      <c r="O3" s="1"/>
      <c r="P3" s="1"/>
    </row>
    <row r="4" spans="2:16">
      <c r="B4" s="1"/>
      <c r="C4" s="1"/>
      <c r="D4" s="1"/>
      <c r="E4" s="1"/>
      <c r="F4" s="1"/>
      <c r="G4" s="1"/>
      <c r="H4" s="1"/>
      <c r="I4" s="1"/>
      <c r="J4" s="1"/>
      <c r="K4" s="1"/>
      <c r="L4" s="1"/>
      <c r="M4" s="1"/>
      <c r="N4" s="1"/>
      <c r="O4" s="1"/>
      <c r="P4" s="1"/>
    </row>
    <row r="5" spans="2:16">
      <c r="B5" s="1"/>
      <c r="C5" s="1"/>
      <c r="D5" s="1"/>
      <c r="E5" s="1"/>
      <c r="F5" s="6" t="s">
        <v>143</v>
      </c>
      <c r="G5" s="1"/>
      <c r="H5" s="1"/>
      <c r="I5" s="1"/>
      <c r="J5" s="1"/>
      <c r="K5" s="1"/>
      <c r="L5" s="1"/>
      <c r="M5" s="1"/>
      <c r="N5" s="1"/>
      <c r="O5" s="1"/>
      <c r="P5" s="1"/>
    </row>
    <row r="6" spans="2:16">
      <c r="B6" s="1"/>
      <c r="C6" s="1"/>
      <c r="D6" s="1"/>
      <c r="E6" s="1"/>
      <c r="F6" s="6"/>
      <c r="G6" s="1"/>
      <c r="H6" s="1"/>
      <c r="I6" s="1"/>
      <c r="J6" s="1"/>
      <c r="K6" s="1"/>
      <c r="L6" s="1"/>
      <c r="M6" s="1"/>
      <c r="N6" s="1"/>
      <c r="O6" s="1"/>
      <c r="P6" s="1"/>
    </row>
    <row r="7" spans="2:16">
      <c r="B7" s="222" t="s">
        <v>144</v>
      </c>
      <c r="C7" s="223" t="s">
        <v>145</v>
      </c>
      <c r="D7" s="408" t="s">
        <v>146</v>
      </c>
      <c r="E7" s="409"/>
      <c r="F7" s="409"/>
      <c r="G7" s="410"/>
      <c r="H7" s="224"/>
      <c r="I7" s="411" t="s">
        <v>147</v>
      </c>
      <c r="J7" s="412"/>
      <c r="K7" s="412"/>
      <c r="L7" s="413"/>
      <c r="M7" s="225"/>
      <c r="N7" s="408" t="s">
        <v>148</v>
      </c>
      <c r="O7" s="409"/>
      <c r="P7" s="410"/>
    </row>
    <row r="8" spans="2:16">
      <c r="B8" s="226" t="s">
        <v>149</v>
      </c>
      <c r="C8" s="222" t="s">
        <v>149</v>
      </c>
      <c r="D8" s="227" t="s">
        <v>150</v>
      </c>
      <c r="E8" s="228"/>
      <c r="F8" s="228" t="s">
        <v>151</v>
      </c>
      <c r="G8" s="229"/>
      <c r="H8" s="230"/>
      <c r="I8" s="227" t="s">
        <v>150</v>
      </c>
      <c r="J8" s="228"/>
      <c r="K8" s="228" t="s">
        <v>151</v>
      </c>
      <c r="L8" s="229"/>
      <c r="M8" s="231"/>
      <c r="N8" s="228" t="s">
        <v>150</v>
      </c>
      <c r="O8" s="228"/>
      <c r="P8" s="229" t="s">
        <v>151</v>
      </c>
    </row>
    <row r="9" spans="2:16">
      <c r="B9" s="232">
        <v>46081.958333333328</v>
      </c>
      <c r="C9" s="232">
        <v>46081.958333333328</v>
      </c>
      <c r="D9" s="233"/>
      <c r="E9" s="234"/>
      <c r="F9" s="233"/>
      <c r="G9" s="235"/>
      <c r="H9" s="236"/>
      <c r="I9" s="237"/>
      <c r="J9" s="238"/>
      <c r="K9" s="239">
        <v>14800</v>
      </c>
      <c r="L9" s="237"/>
      <c r="M9" s="236"/>
      <c r="N9" s="237"/>
      <c r="O9" s="237">
        <v>0</v>
      </c>
      <c r="P9" s="240"/>
    </row>
    <row r="10" spans="2:16">
      <c r="B10" s="232">
        <v>46089.958333333328</v>
      </c>
      <c r="C10" s="232">
        <v>46089.958333333328</v>
      </c>
      <c r="D10" s="233"/>
      <c r="E10" s="234"/>
      <c r="F10" s="233">
        <v>44600</v>
      </c>
      <c r="G10" s="241"/>
      <c r="H10" s="242"/>
      <c r="I10" s="243"/>
      <c r="J10" s="244"/>
      <c r="K10" s="239"/>
      <c r="L10" s="243"/>
      <c r="M10" s="245"/>
      <c r="N10" s="243"/>
      <c r="O10" s="246"/>
      <c r="P10" s="247"/>
    </row>
    <row r="11" spans="2:16">
      <c r="B11" s="248"/>
      <c r="C11" s="248"/>
      <c r="D11" s="243"/>
      <c r="E11" s="249"/>
      <c r="F11" s="243"/>
      <c r="G11" s="241"/>
      <c r="H11" s="242"/>
      <c r="I11" s="246"/>
      <c r="J11" s="244"/>
      <c r="K11" s="239"/>
      <c r="L11" s="246"/>
      <c r="M11" s="242"/>
      <c r="N11" s="243"/>
      <c r="O11" s="243"/>
      <c r="P11" s="250"/>
    </row>
    <row r="12" spans="2:16">
      <c r="B12" s="248"/>
      <c r="C12" s="248"/>
      <c r="D12" s="243"/>
      <c r="E12" s="249"/>
      <c r="F12" s="243"/>
      <c r="G12" s="241"/>
      <c r="H12" s="242"/>
      <c r="I12" s="246"/>
      <c r="J12" s="244"/>
      <c r="K12" s="239"/>
      <c r="L12" s="246"/>
      <c r="M12" s="242"/>
      <c r="N12" s="246"/>
      <c r="O12" s="246"/>
      <c r="P12" s="247"/>
    </row>
    <row r="13" spans="2:16">
      <c r="B13" s="248"/>
      <c r="C13" s="251"/>
      <c r="D13" s="243"/>
      <c r="E13" s="249"/>
      <c r="F13" s="243"/>
      <c r="G13" s="241"/>
      <c r="H13" s="242"/>
      <c r="I13" s="246"/>
      <c r="J13" s="244"/>
      <c r="K13" s="239"/>
      <c r="L13" s="246"/>
      <c r="M13" s="242"/>
      <c r="N13" s="246"/>
      <c r="O13" s="246"/>
      <c r="P13" s="247"/>
    </row>
    <row r="14" spans="2:16">
      <c r="B14" s="248"/>
      <c r="C14" s="251"/>
      <c r="D14" s="243"/>
      <c r="E14" s="249"/>
      <c r="F14" s="243"/>
      <c r="G14" s="241"/>
      <c r="H14" s="242"/>
      <c r="I14" s="246"/>
      <c r="J14" s="244"/>
      <c r="K14" s="239"/>
      <c r="L14" s="246"/>
      <c r="M14" s="242"/>
      <c r="N14" s="243"/>
      <c r="O14" s="243"/>
      <c r="P14" s="250"/>
    </row>
    <row r="15" spans="2:16">
      <c r="B15" s="248"/>
      <c r="C15" s="251"/>
      <c r="D15" s="243"/>
      <c r="E15" s="241"/>
      <c r="F15" s="243"/>
      <c r="G15" s="241"/>
      <c r="H15" s="242"/>
      <c r="I15" s="246"/>
      <c r="J15" s="244"/>
      <c r="K15" s="239"/>
      <c r="L15" s="246"/>
      <c r="M15" s="242"/>
      <c r="N15" s="246"/>
      <c r="O15" s="246"/>
      <c r="P15" s="247"/>
    </row>
    <row r="16" spans="2:16">
      <c r="B16" s="248"/>
      <c r="C16" s="251"/>
      <c r="D16" s="243"/>
      <c r="E16" s="241"/>
      <c r="F16" s="243"/>
      <c r="G16" s="241"/>
      <c r="H16" s="242"/>
      <c r="I16" s="246"/>
      <c r="J16" s="244"/>
      <c r="K16" s="239"/>
      <c r="L16" s="246"/>
      <c r="M16" s="242"/>
      <c r="N16" s="246"/>
      <c r="O16" s="246"/>
      <c r="P16" s="247"/>
    </row>
    <row r="17" spans="2:16">
      <c r="B17" s="248"/>
      <c r="C17" s="251"/>
      <c r="D17" s="243"/>
      <c r="E17" s="241"/>
      <c r="F17" s="243"/>
      <c r="G17" s="241"/>
      <c r="H17" s="242"/>
      <c r="I17" s="246"/>
      <c r="J17" s="244"/>
      <c r="K17" s="239"/>
      <c r="L17" s="246"/>
      <c r="M17" s="242"/>
      <c r="N17" s="246"/>
      <c r="O17" s="246"/>
      <c r="P17" s="247"/>
    </row>
    <row r="18" spans="2:16">
      <c r="B18" s="248"/>
      <c r="C18" s="251"/>
      <c r="D18" s="243"/>
      <c r="E18" s="241"/>
      <c r="F18" s="243"/>
      <c r="G18" s="241"/>
      <c r="H18" s="242"/>
      <c r="I18" s="243"/>
      <c r="J18" s="252"/>
      <c r="K18" s="239"/>
      <c r="L18" s="243"/>
      <c r="M18" s="242"/>
      <c r="N18" s="246"/>
      <c r="O18" s="246"/>
      <c r="P18" s="247"/>
    </row>
    <row r="19" spans="2:16">
      <c r="B19" s="248"/>
      <c r="C19" s="251"/>
      <c r="D19" s="243"/>
      <c r="E19" s="241"/>
      <c r="F19" s="243"/>
      <c r="G19" s="241"/>
      <c r="H19" s="242"/>
      <c r="I19" s="243"/>
      <c r="J19" s="252"/>
      <c r="K19" s="239"/>
      <c r="L19" s="243"/>
      <c r="M19" s="242"/>
      <c r="N19" s="246"/>
      <c r="O19" s="246"/>
      <c r="P19" s="253"/>
    </row>
    <row r="20" spans="2:16">
      <c r="B20" s="248"/>
      <c r="C20" s="251"/>
      <c r="D20" s="243"/>
      <c r="E20" s="241"/>
      <c r="F20" s="243"/>
      <c r="G20" s="241"/>
      <c r="H20" s="242"/>
      <c r="I20" s="246"/>
      <c r="J20" s="244"/>
      <c r="K20" s="239"/>
      <c r="L20" s="246"/>
      <c r="M20" s="242"/>
      <c r="N20" s="246"/>
      <c r="O20" s="246"/>
      <c r="P20" s="247"/>
    </row>
    <row r="21" spans="2:16">
      <c r="B21" s="248"/>
      <c r="C21" s="251"/>
      <c r="D21" s="243"/>
      <c r="E21" s="241"/>
      <c r="F21" s="243"/>
      <c r="G21" s="241"/>
      <c r="H21" s="242"/>
      <c r="I21" s="246"/>
      <c r="J21" s="244"/>
      <c r="K21" s="239"/>
      <c r="L21" s="246"/>
      <c r="M21" s="242"/>
      <c r="N21" s="246"/>
      <c r="O21" s="246"/>
      <c r="P21" s="247"/>
    </row>
    <row r="22" spans="2:16">
      <c r="B22" s="248"/>
      <c r="C22" s="251"/>
      <c r="D22" s="254"/>
      <c r="E22" s="241"/>
      <c r="F22" s="246"/>
      <c r="G22" s="241"/>
      <c r="H22" s="242"/>
      <c r="I22" s="246"/>
      <c r="J22" s="244"/>
      <c r="K22" s="239"/>
      <c r="L22" s="246"/>
      <c r="M22" s="242"/>
      <c r="N22" s="246"/>
      <c r="O22" s="246"/>
      <c r="P22" s="247"/>
    </row>
    <row r="23" spans="2:16">
      <c r="B23" s="248"/>
      <c r="C23" s="251"/>
      <c r="D23" s="243"/>
      <c r="E23" s="241"/>
      <c r="F23" s="246"/>
      <c r="G23" s="241"/>
      <c r="H23" s="242"/>
      <c r="I23" s="246"/>
      <c r="J23" s="244"/>
      <c r="K23" s="239"/>
      <c r="L23" s="246"/>
      <c r="M23" s="242"/>
      <c r="N23" s="246"/>
      <c r="O23" s="246"/>
      <c r="P23" s="247"/>
    </row>
    <row r="24" spans="2:16">
      <c r="B24" s="248"/>
      <c r="C24" s="251"/>
      <c r="D24" s="243"/>
      <c r="E24" s="241"/>
      <c r="F24" s="246"/>
      <c r="G24" s="241"/>
      <c r="H24" s="242"/>
      <c r="I24" s="246"/>
      <c r="J24" s="244"/>
      <c r="K24" s="239"/>
      <c r="L24" s="246"/>
      <c r="M24" s="242"/>
      <c r="N24" s="246"/>
      <c r="O24" s="246"/>
      <c r="P24" s="247"/>
    </row>
    <row r="25" spans="2:16">
      <c r="B25" s="248"/>
      <c r="C25" s="251"/>
      <c r="D25" s="243"/>
      <c r="E25" s="241"/>
      <c r="F25" s="246"/>
      <c r="G25" s="241"/>
      <c r="H25" s="242"/>
      <c r="I25" s="246"/>
      <c r="J25" s="244"/>
      <c r="K25" s="239"/>
      <c r="L25" s="246"/>
      <c r="M25" s="242"/>
      <c r="N25" s="246"/>
      <c r="O25" s="246"/>
      <c r="P25" s="247"/>
    </row>
    <row r="26" spans="2:16">
      <c r="B26" s="255"/>
      <c r="C26" s="209"/>
      <c r="D26" s="243"/>
      <c r="E26" s="241"/>
      <c r="F26" s="246"/>
      <c r="G26" s="241"/>
      <c r="H26" s="242"/>
      <c r="I26" s="246"/>
      <c r="J26" s="244"/>
      <c r="K26" s="239"/>
      <c r="L26" s="246"/>
      <c r="M26" s="242"/>
      <c r="N26" s="246"/>
      <c r="O26" s="246"/>
      <c r="P26" s="247"/>
    </row>
    <row r="27" spans="2:16">
      <c r="B27" s="248"/>
      <c r="C27" s="251"/>
      <c r="D27" s="243"/>
      <c r="E27" s="241"/>
      <c r="F27" s="246"/>
      <c r="G27" s="241"/>
      <c r="H27" s="242"/>
      <c r="I27" s="246"/>
      <c r="J27" s="244"/>
      <c r="K27" s="239"/>
      <c r="L27" s="246"/>
      <c r="M27" s="242"/>
      <c r="N27" s="246"/>
      <c r="O27" s="246"/>
      <c r="P27" s="247"/>
    </row>
    <row r="28" spans="2:16">
      <c r="B28" s="255"/>
      <c r="C28" s="209"/>
      <c r="D28" s="243"/>
      <c r="E28" s="241"/>
      <c r="F28" s="246"/>
      <c r="G28" s="241"/>
      <c r="H28" s="242"/>
      <c r="I28" s="246"/>
      <c r="J28" s="244"/>
      <c r="K28" s="239"/>
      <c r="L28" s="246"/>
      <c r="M28" s="242"/>
      <c r="N28" s="246"/>
      <c r="O28" s="246"/>
      <c r="P28" s="247"/>
    </row>
    <row r="29" spans="2:16">
      <c r="B29" s="248"/>
      <c r="C29" s="251"/>
      <c r="D29" s="243"/>
      <c r="E29" s="241"/>
      <c r="F29" s="246"/>
      <c r="G29" s="241"/>
      <c r="H29" s="242"/>
      <c r="I29" s="246"/>
      <c r="J29" s="244"/>
      <c r="K29" s="239"/>
      <c r="L29" s="246"/>
      <c r="M29" s="242"/>
      <c r="N29" s="246"/>
      <c r="O29" s="246"/>
      <c r="P29" s="247"/>
    </row>
    <row r="30" spans="2:16">
      <c r="B30" s="255"/>
      <c r="C30" s="209"/>
      <c r="D30" s="243"/>
      <c r="E30" s="241"/>
      <c r="F30" s="246"/>
      <c r="G30" s="241"/>
      <c r="H30" s="242"/>
      <c r="I30" s="246"/>
      <c r="J30" s="244"/>
      <c r="K30" s="239"/>
      <c r="L30" s="246"/>
      <c r="M30" s="242"/>
      <c r="N30" s="246"/>
      <c r="O30" s="246"/>
      <c r="P30" s="247"/>
    </row>
    <row r="31" spans="2:16">
      <c r="B31" s="248"/>
      <c r="C31" s="251"/>
      <c r="D31" s="243"/>
      <c r="E31" s="241"/>
      <c r="F31" s="246"/>
      <c r="G31" s="241"/>
      <c r="H31" s="242"/>
      <c r="I31" s="246"/>
      <c r="J31" s="244"/>
      <c r="K31" s="239"/>
      <c r="L31" s="246"/>
      <c r="M31" s="242"/>
      <c r="N31" s="246"/>
      <c r="O31" s="246"/>
      <c r="P31" s="247"/>
    </row>
    <row r="32" spans="2:16">
      <c r="B32" s="255"/>
      <c r="C32" s="209"/>
      <c r="D32" s="243"/>
      <c r="E32" s="241"/>
      <c r="F32" s="246"/>
      <c r="G32" s="241"/>
      <c r="H32" s="242"/>
      <c r="I32" s="246"/>
      <c r="J32" s="244"/>
      <c r="K32" s="239"/>
      <c r="L32" s="246"/>
      <c r="M32" s="242"/>
      <c r="N32" s="246"/>
      <c r="O32" s="246"/>
      <c r="P32" s="247"/>
    </row>
    <row r="33" spans="2:16">
      <c r="B33" s="248"/>
      <c r="C33" s="251"/>
      <c r="D33" s="243"/>
      <c r="E33" s="241"/>
      <c r="F33" s="246"/>
      <c r="G33" s="241"/>
      <c r="H33" s="242"/>
      <c r="I33" s="246"/>
      <c r="J33" s="244"/>
      <c r="K33" s="239"/>
      <c r="L33" s="246"/>
      <c r="M33" s="242"/>
      <c r="N33" s="246"/>
      <c r="O33" s="246"/>
      <c r="P33" s="247"/>
    </row>
    <row r="34" spans="2:16">
      <c r="B34" s="255"/>
      <c r="C34" s="209"/>
      <c r="D34" s="243"/>
      <c r="E34" s="241"/>
      <c r="F34" s="246"/>
      <c r="G34" s="241"/>
      <c r="H34" s="242"/>
      <c r="I34" s="246"/>
      <c r="J34" s="244"/>
      <c r="K34" s="239"/>
      <c r="L34" s="246"/>
      <c r="M34" s="242"/>
      <c r="N34" s="246"/>
      <c r="O34" s="246"/>
      <c r="P34" s="247"/>
    </row>
    <row r="35" spans="2:16">
      <c r="B35" s="255"/>
      <c r="C35" s="209"/>
      <c r="D35" s="243"/>
      <c r="E35" s="241"/>
      <c r="F35" s="246"/>
      <c r="G35" s="241"/>
      <c r="H35" s="242"/>
      <c r="I35" s="246"/>
      <c r="J35" s="244"/>
      <c r="K35" s="239"/>
      <c r="L35" s="246"/>
      <c r="M35" s="242"/>
      <c r="N35" s="246"/>
      <c r="O35" s="246"/>
      <c r="P35" s="247"/>
    </row>
    <row r="36" spans="2:16">
      <c r="B36" s="255"/>
      <c r="C36" s="209"/>
      <c r="D36" s="243"/>
      <c r="E36" s="241"/>
      <c r="F36" s="246"/>
      <c r="G36" s="241"/>
      <c r="H36" s="242"/>
      <c r="I36" s="246"/>
      <c r="J36" s="244"/>
      <c r="K36" s="239"/>
      <c r="L36" s="246"/>
      <c r="M36" s="242"/>
      <c r="N36" s="246"/>
      <c r="O36" s="246"/>
      <c r="P36" s="247"/>
    </row>
    <row r="37" spans="2:16">
      <c r="B37" s="255"/>
      <c r="C37" s="209"/>
      <c r="D37" s="243"/>
      <c r="E37" s="241"/>
      <c r="F37" s="246"/>
      <c r="G37" s="241"/>
      <c r="H37" s="242"/>
      <c r="I37" s="246"/>
      <c r="J37" s="244"/>
      <c r="K37" s="239"/>
      <c r="L37" s="246"/>
      <c r="M37" s="242"/>
      <c r="N37" s="246"/>
      <c r="O37" s="246"/>
      <c r="P37" s="247"/>
    </row>
    <row r="38" spans="2:16">
      <c r="B38" s="255"/>
      <c r="C38" s="209"/>
      <c r="D38" s="243"/>
      <c r="E38" s="241"/>
      <c r="F38" s="246"/>
      <c r="G38" s="241"/>
      <c r="H38" s="242"/>
      <c r="I38" s="246"/>
      <c r="J38" s="244"/>
      <c r="K38" s="239"/>
      <c r="L38" s="246"/>
      <c r="M38" s="242"/>
      <c r="N38" s="246"/>
      <c r="O38" s="246"/>
      <c r="P38" s="247"/>
    </row>
    <row r="39" spans="2:16">
      <c r="B39" s="255"/>
      <c r="C39" s="209"/>
      <c r="D39" s="243"/>
      <c r="E39" s="241"/>
      <c r="F39" s="246"/>
      <c r="G39" s="241"/>
      <c r="H39" s="242"/>
      <c r="I39" s="246"/>
      <c r="J39" s="244"/>
      <c r="K39" s="239"/>
      <c r="L39" s="246"/>
      <c r="M39" s="242"/>
      <c r="N39" s="246"/>
      <c r="O39" s="246"/>
      <c r="P39" s="247"/>
    </row>
    <row r="40" spans="2:16">
      <c r="B40" s="255"/>
      <c r="C40" s="209"/>
      <c r="D40" s="243"/>
      <c r="E40" s="241"/>
      <c r="F40" s="246"/>
      <c r="G40" s="241"/>
      <c r="H40" s="242"/>
      <c r="I40" s="246"/>
      <c r="J40" s="244"/>
      <c r="K40" s="246"/>
      <c r="L40" s="246"/>
      <c r="M40" s="242"/>
      <c r="N40" s="246"/>
      <c r="O40" s="246"/>
      <c r="P40" s="247"/>
    </row>
    <row r="41" spans="2:16">
      <c r="B41" s="255"/>
      <c r="C41" s="209"/>
      <c r="D41" s="243"/>
      <c r="E41" s="241"/>
      <c r="F41" s="246"/>
      <c r="G41" s="241"/>
      <c r="H41" s="242"/>
      <c r="I41" s="246"/>
      <c r="J41" s="244"/>
      <c r="K41" s="246"/>
      <c r="L41" s="246"/>
      <c r="M41" s="242"/>
      <c r="N41" s="246"/>
      <c r="O41" s="246"/>
      <c r="P41" s="247"/>
    </row>
    <row r="42" spans="2:16">
      <c r="B42" s="255"/>
      <c r="C42" s="209"/>
      <c r="D42" s="243"/>
      <c r="E42" s="241"/>
      <c r="F42" s="246"/>
      <c r="G42" s="241"/>
      <c r="H42" s="242"/>
      <c r="I42" s="246"/>
      <c r="J42" s="244"/>
      <c r="K42" s="246"/>
      <c r="L42" s="246"/>
      <c r="M42" s="242"/>
      <c r="N42" s="246"/>
      <c r="O42" s="246"/>
      <c r="P42" s="247"/>
    </row>
    <row r="43" spans="2:16">
      <c r="B43" s="255"/>
      <c r="C43" s="209"/>
      <c r="D43" s="243"/>
      <c r="E43" s="241"/>
      <c r="F43" s="246"/>
      <c r="G43" s="241"/>
      <c r="H43" s="242"/>
      <c r="I43" s="246"/>
      <c r="J43" s="244"/>
      <c r="K43" s="246"/>
      <c r="L43" s="246"/>
      <c r="M43" s="242"/>
      <c r="N43" s="246"/>
      <c r="O43" s="246"/>
      <c r="P43" s="247"/>
    </row>
    <row r="44" spans="2:16">
      <c r="B44" s="255"/>
      <c r="C44" s="209"/>
      <c r="D44" s="243"/>
      <c r="E44" s="241"/>
      <c r="F44" s="246"/>
      <c r="G44" s="241"/>
      <c r="H44" s="242"/>
      <c r="I44" s="246"/>
      <c r="J44" s="244"/>
      <c r="K44" s="246"/>
      <c r="L44" s="246"/>
      <c r="M44" s="242"/>
      <c r="N44" s="246"/>
      <c r="O44" s="246"/>
      <c r="P44" s="247"/>
    </row>
    <row r="45" spans="2:16">
      <c r="B45" s="255"/>
      <c r="C45" s="209"/>
      <c r="D45" s="243"/>
      <c r="E45" s="241"/>
      <c r="F45" s="246"/>
      <c r="G45" s="241"/>
      <c r="H45" s="242"/>
      <c r="I45" s="246"/>
      <c r="J45" s="244"/>
      <c r="K45" s="246"/>
      <c r="L45" s="246"/>
      <c r="M45" s="242"/>
      <c r="N45" s="246"/>
      <c r="O45" s="246"/>
      <c r="P45" s="247"/>
    </row>
    <row r="46" spans="2:16">
      <c r="B46" s="255"/>
      <c r="C46" s="209"/>
      <c r="D46" s="243"/>
      <c r="E46" s="241"/>
      <c r="F46" s="246"/>
      <c r="G46" s="241"/>
      <c r="H46" s="242"/>
      <c r="I46" s="246"/>
      <c r="J46" s="244"/>
      <c r="K46" s="246"/>
      <c r="L46" s="246"/>
      <c r="M46" s="242"/>
      <c r="N46" s="246"/>
      <c r="O46" s="246"/>
      <c r="P46" s="247"/>
    </row>
    <row r="47" spans="2:16">
      <c r="B47" s="255"/>
      <c r="C47" s="209"/>
      <c r="D47" s="243"/>
      <c r="E47" s="241"/>
      <c r="F47" s="246"/>
      <c r="G47" s="241"/>
      <c r="H47" s="242"/>
      <c r="I47" s="246"/>
      <c r="J47" s="244"/>
      <c r="K47" s="246"/>
      <c r="L47" s="246"/>
      <c r="M47" s="242"/>
      <c r="N47" s="246"/>
      <c r="O47" s="246"/>
      <c r="P47" s="247"/>
    </row>
    <row r="48" spans="2:16">
      <c r="B48" s="255"/>
      <c r="C48" s="209"/>
      <c r="D48" s="243"/>
      <c r="E48" s="241"/>
      <c r="F48" s="246"/>
      <c r="G48" s="241"/>
      <c r="H48" s="242"/>
      <c r="I48" s="246"/>
      <c r="J48" s="244"/>
      <c r="K48" s="246"/>
      <c r="L48" s="246"/>
      <c r="M48" s="242"/>
      <c r="N48" s="246"/>
      <c r="O48" s="246"/>
      <c r="P48" s="247"/>
    </row>
    <row r="49" spans="2:16">
      <c r="B49" s="255"/>
      <c r="C49" s="209"/>
      <c r="D49" s="243"/>
      <c r="E49" s="241"/>
      <c r="F49" s="246"/>
      <c r="G49" s="241"/>
      <c r="H49" s="242"/>
      <c r="I49" s="246"/>
      <c r="J49" s="244"/>
      <c r="K49" s="246"/>
      <c r="L49" s="246"/>
      <c r="M49" s="242"/>
      <c r="N49" s="246"/>
      <c r="O49" s="246"/>
      <c r="P49" s="247"/>
    </row>
    <row r="50" spans="2:16">
      <c r="B50" s="255"/>
      <c r="C50" s="209"/>
      <c r="D50" s="243"/>
      <c r="E50" s="241"/>
      <c r="F50" s="246"/>
      <c r="G50" s="241"/>
      <c r="H50" s="242"/>
      <c r="I50" s="246"/>
      <c r="J50" s="244"/>
      <c r="K50" s="246"/>
      <c r="L50" s="246"/>
      <c r="M50" s="242"/>
      <c r="N50" s="246"/>
      <c r="O50" s="246"/>
      <c r="P50" s="247"/>
    </row>
    <row r="51" spans="2:16">
      <c r="B51" s="256"/>
      <c r="C51" s="257"/>
      <c r="D51" s="258"/>
      <c r="E51" s="259"/>
      <c r="F51" s="260"/>
      <c r="G51" s="259"/>
      <c r="H51" s="261"/>
      <c r="I51" s="260"/>
      <c r="J51" s="262"/>
      <c r="K51" s="260"/>
      <c r="L51" s="260"/>
      <c r="M51" s="261"/>
      <c r="N51" s="260"/>
      <c r="O51" s="260"/>
      <c r="P51" s="263"/>
    </row>
    <row r="52" spans="2:16">
      <c r="B52" s="211" t="s">
        <v>152</v>
      </c>
      <c r="C52" s="264"/>
      <c r="D52" s="265">
        <f>SUM(D9:D51)</f>
        <v>0</v>
      </c>
      <c r="E52" s="266"/>
      <c r="F52" s="265">
        <f>SUM(F9:F51)</f>
        <v>44600</v>
      </c>
      <c r="G52" s="266"/>
      <c r="H52" s="267"/>
      <c r="I52" s="265">
        <f>SUM(I9:I51)</f>
        <v>0</v>
      </c>
      <c r="J52" s="266"/>
      <c r="K52" s="268">
        <f>SUM(K9:K51)</f>
        <v>14800</v>
      </c>
      <c r="L52" s="268"/>
      <c r="M52" s="269"/>
      <c r="N52" s="268">
        <f>SUM(N9:N51)</f>
        <v>0</v>
      </c>
      <c r="O52" s="266"/>
      <c r="P52" s="270">
        <f>SUM(P9:P51)</f>
        <v>0</v>
      </c>
    </row>
  </sheetData>
  <mergeCells count="3">
    <mergeCell ref="D7:G7"/>
    <mergeCell ref="I7:L7"/>
    <mergeCell ref="N7:P7"/>
  </mergeCells>
  <pageMargins left="0.7" right="0.7" top="0.75" bottom="0.75" header="0.3" footer="0.3"/>
  <pageSetup paperSize="9" scale="53" orientation="portrait" useFirstPageNumber="1"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38"/>
  <sheetViews>
    <sheetView showGridLines="0" view="pageBreakPreview" zoomScaleNormal="100" workbookViewId="0">
      <pane ySplit="6" topLeftCell="A7" activePane="bottomLeft" state="frozen"/>
      <selection pane="bottomLeft" activeCell="C7" sqref="C7"/>
    </sheetView>
  </sheetViews>
  <sheetFormatPr defaultColWidth="9" defaultRowHeight="15"/>
  <cols>
    <col min="2" max="2" width="12.5703125" customWidth="1"/>
    <col min="3" max="3" width="16.28515625" customWidth="1"/>
    <col min="4" max="4" width="44" customWidth="1"/>
    <col min="5" max="5" width="18" customWidth="1"/>
    <col min="6" max="6" width="17.7109375" customWidth="1"/>
    <col min="7" max="7" width="2.7109375" customWidth="1"/>
  </cols>
  <sheetData>
    <row r="4" spans="2:6">
      <c r="B4" s="179"/>
      <c r="C4" s="179"/>
      <c r="D4" s="180" t="s">
        <v>153</v>
      </c>
      <c r="E4" s="179"/>
      <c r="F4" s="179"/>
    </row>
    <row r="5" spans="2:6">
      <c r="B5" s="179"/>
      <c r="C5" s="271"/>
      <c r="D5" s="272"/>
      <c r="E5" s="273"/>
      <c r="F5" s="179"/>
    </row>
    <row r="6" spans="2:6">
      <c r="B6" s="274" t="s">
        <v>154</v>
      </c>
      <c r="C6" s="275" t="s">
        <v>149</v>
      </c>
      <c r="D6" s="276" t="s">
        <v>155</v>
      </c>
      <c r="E6" s="277" t="s">
        <v>156</v>
      </c>
      <c r="F6" s="278" t="s">
        <v>157</v>
      </c>
    </row>
    <row r="7" spans="2:6">
      <c r="B7" s="279">
        <v>1</v>
      </c>
      <c r="C7" s="280"/>
      <c r="D7" s="281"/>
      <c r="E7" s="282"/>
      <c r="F7" s="186"/>
    </row>
    <row r="8" spans="2:6">
      <c r="B8" s="209">
        <v>2</v>
      </c>
      <c r="C8" s="283"/>
      <c r="D8" s="284"/>
      <c r="E8" s="285"/>
      <c r="F8" s="185"/>
    </row>
    <row r="9" spans="2:6">
      <c r="B9" s="209">
        <v>3</v>
      </c>
      <c r="C9" s="283"/>
      <c r="D9" s="284"/>
      <c r="E9" s="285"/>
      <c r="F9" s="185"/>
    </row>
    <row r="10" spans="2:6">
      <c r="B10" s="209">
        <v>4</v>
      </c>
      <c r="C10" s="283"/>
      <c r="D10" s="284"/>
      <c r="E10" s="285"/>
      <c r="F10" s="185"/>
    </row>
    <row r="11" spans="2:6">
      <c r="B11" s="209">
        <v>5</v>
      </c>
      <c r="C11" s="283"/>
      <c r="D11" s="284"/>
      <c r="E11" s="285"/>
      <c r="F11" s="185"/>
    </row>
    <row r="12" spans="2:6">
      <c r="B12" s="209">
        <v>6</v>
      </c>
      <c r="C12" s="283"/>
      <c r="D12" s="284"/>
      <c r="E12" s="285"/>
      <c r="F12" s="185"/>
    </row>
    <row r="13" spans="2:6">
      <c r="B13" s="209">
        <v>7</v>
      </c>
      <c r="C13" s="283"/>
      <c r="D13" s="284"/>
      <c r="E13" s="285"/>
      <c r="F13" s="185"/>
    </row>
    <row r="14" spans="2:6">
      <c r="B14" s="209">
        <v>8</v>
      </c>
      <c r="C14" s="209"/>
      <c r="D14" s="284"/>
      <c r="E14" s="286"/>
      <c r="F14" s="185"/>
    </row>
    <row r="15" spans="2:6">
      <c r="B15" s="209">
        <v>9</v>
      </c>
      <c r="C15" s="209"/>
      <c r="D15" s="284"/>
      <c r="E15" s="286"/>
      <c r="F15" s="185"/>
    </row>
    <row r="16" spans="2:6">
      <c r="B16" s="209">
        <v>10</v>
      </c>
      <c r="C16" s="209"/>
      <c r="D16" s="284"/>
      <c r="E16" s="287"/>
      <c r="F16" s="185"/>
    </row>
    <row r="17" spans="2:6">
      <c r="B17" s="209">
        <v>11</v>
      </c>
      <c r="C17" s="209"/>
      <c r="D17" s="185"/>
      <c r="E17" s="185"/>
      <c r="F17" s="185"/>
    </row>
    <row r="18" spans="2:6">
      <c r="B18" s="209">
        <v>12</v>
      </c>
      <c r="C18" s="209"/>
      <c r="D18" s="185"/>
      <c r="E18" s="185"/>
      <c r="F18" s="185"/>
    </row>
    <row r="19" spans="2:6">
      <c r="B19" s="209">
        <v>13</v>
      </c>
      <c r="C19" s="209"/>
      <c r="D19" s="185"/>
      <c r="E19" s="185"/>
      <c r="F19" s="185"/>
    </row>
    <row r="20" spans="2:6">
      <c r="B20" s="209">
        <v>14</v>
      </c>
      <c r="C20" s="209"/>
      <c r="D20" s="185"/>
      <c r="E20" s="185"/>
      <c r="F20" s="185"/>
    </row>
    <row r="21" spans="2:6">
      <c r="B21" s="209">
        <v>15</v>
      </c>
      <c r="C21" s="209"/>
      <c r="D21" s="185"/>
      <c r="E21" s="185"/>
      <c r="F21" s="185"/>
    </row>
    <row r="22" spans="2:6">
      <c r="B22" s="209">
        <v>16</v>
      </c>
      <c r="C22" s="209"/>
      <c r="D22" s="185"/>
      <c r="E22" s="185"/>
      <c r="F22" s="185"/>
    </row>
    <row r="23" spans="2:6">
      <c r="B23" s="209">
        <v>17</v>
      </c>
      <c r="C23" s="209"/>
      <c r="D23" s="185"/>
      <c r="E23" s="185"/>
      <c r="F23" s="185"/>
    </row>
    <row r="24" spans="2:6">
      <c r="B24" s="209">
        <v>18</v>
      </c>
      <c r="C24" s="209"/>
      <c r="D24" s="185"/>
      <c r="E24" s="185"/>
      <c r="F24" s="185"/>
    </row>
    <row r="25" spans="2:6">
      <c r="B25" s="209">
        <v>19</v>
      </c>
      <c r="C25" s="209"/>
      <c r="D25" s="185"/>
      <c r="E25" s="185"/>
      <c r="F25" s="185"/>
    </row>
    <row r="26" spans="2:6">
      <c r="B26" s="209">
        <v>20</v>
      </c>
      <c r="C26" s="209"/>
      <c r="D26" s="185"/>
      <c r="E26" s="185"/>
      <c r="F26" s="185"/>
    </row>
    <row r="27" spans="2:6">
      <c r="B27" s="209">
        <v>21</v>
      </c>
      <c r="C27" s="209"/>
      <c r="D27" s="185"/>
      <c r="E27" s="185"/>
      <c r="F27" s="185"/>
    </row>
    <row r="28" spans="2:6">
      <c r="B28" s="209">
        <v>22</v>
      </c>
      <c r="C28" s="209"/>
      <c r="D28" s="185"/>
      <c r="E28" s="185"/>
      <c r="F28" s="185"/>
    </row>
    <row r="29" spans="2:6">
      <c r="B29" s="209">
        <v>23</v>
      </c>
      <c r="C29" s="209"/>
      <c r="D29" s="185"/>
      <c r="E29" s="185"/>
      <c r="F29" s="185"/>
    </row>
    <row r="30" spans="2:6">
      <c r="B30" s="209">
        <v>24</v>
      </c>
      <c r="C30" s="209"/>
      <c r="D30" s="185"/>
      <c r="E30" s="185"/>
      <c r="F30" s="185"/>
    </row>
    <row r="31" spans="2:6">
      <c r="B31" s="209">
        <v>25</v>
      </c>
      <c r="C31" s="209"/>
      <c r="D31" s="185"/>
      <c r="E31" s="185"/>
      <c r="F31" s="185"/>
    </row>
    <row r="32" spans="2:6">
      <c r="B32" s="209">
        <v>26</v>
      </c>
      <c r="C32" s="209"/>
      <c r="D32" s="185"/>
      <c r="E32" s="185"/>
      <c r="F32" s="185"/>
    </row>
    <row r="33" spans="2:6">
      <c r="B33" s="209">
        <v>27</v>
      </c>
      <c r="C33" s="209"/>
      <c r="D33" s="185"/>
      <c r="E33" s="185"/>
      <c r="F33" s="185"/>
    </row>
    <row r="34" spans="2:6">
      <c r="B34" s="209">
        <v>28</v>
      </c>
      <c r="C34" s="209"/>
      <c r="D34" s="185"/>
      <c r="E34" s="185"/>
      <c r="F34" s="185"/>
    </row>
    <row r="35" spans="2:6">
      <c r="B35" s="209">
        <v>29</v>
      </c>
      <c r="C35" s="209"/>
      <c r="D35" s="185"/>
      <c r="E35" s="185"/>
      <c r="F35" s="185"/>
    </row>
    <row r="36" spans="2:6">
      <c r="B36" s="209">
        <v>30</v>
      </c>
      <c r="C36" s="209"/>
      <c r="D36" s="185"/>
      <c r="E36" s="185"/>
      <c r="F36" s="185"/>
    </row>
    <row r="37" spans="2:6">
      <c r="B37" s="209">
        <v>31</v>
      </c>
      <c r="C37" s="209"/>
      <c r="D37" s="185"/>
      <c r="E37" s="185"/>
      <c r="F37" s="185"/>
    </row>
    <row r="38" spans="2:6">
      <c r="B38" s="288"/>
      <c r="C38" s="289" t="s">
        <v>134</v>
      </c>
      <c r="D38" s="290"/>
      <c r="E38" s="291">
        <f>SUM(E7:E37)</f>
        <v>0</v>
      </c>
      <c r="F38" s="290"/>
    </row>
  </sheetData>
  <pageMargins left="0.7" right="0.7" top="0.75" bottom="0.75" header="0.3" footer="0.3"/>
  <pageSetup paperSize="9" scale="62" orientation="portrait" useFirstPageNumber="1"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6:R40"/>
  <sheetViews>
    <sheetView showGridLines="0" view="pageBreakPreview" zoomScale="89" zoomScaleNormal="89" workbookViewId="0">
      <pane xSplit="1" ySplit="7" topLeftCell="B8" activePane="bottomRight" state="frozen"/>
      <selection pane="topRight"/>
      <selection pane="bottomLeft"/>
      <selection pane="bottomRight" activeCell="R39" sqref="R39"/>
    </sheetView>
  </sheetViews>
  <sheetFormatPr defaultColWidth="9.28515625" defaultRowHeight="15"/>
  <cols>
    <col min="1" max="1" width="5" style="1" customWidth="1"/>
    <col min="2" max="2" width="12.42578125" style="1" customWidth="1"/>
    <col min="3" max="3" width="16" style="1" customWidth="1"/>
    <col min="4" max="4" width="26.7109375" style="1" customWidth="1"/>
    <col min="5" max="5" width="15.7109375" style="1" customWidth="1"/>
    <col min="6" max="6" width="19" style="1" customWidth="1"/>
    <col min="7" max="7" width="9.28515625" style="1" customWidth="1"/>
    <col min="8" max="8" width="13.7109375" style="1" customWidth="1"/>
    <col min="9" max="9" width="17.5703125" style="1" customWidth="1"/>
    <col min="10" max="10" width="23" style="1" customWidth="1"/>
    <col min="11" max="11" width="19.28515625" style="1" customWidth="1"/>
    <col min="12" max="12" width="15.28515625" style="1" customWidth="1"/>
    <col min="13" max="13" width="9.28515625" style="1" customWidth="1"/>
    <col min="14" max="14" width="17.7109375" style="1" customWidth="1"/>
    <col min="15" max="15" width="17" style="1" customWidth="1"/>
    <col min="16" max="16" width="24.7109375" style="1" customWidth="1"/>
    <col min="17" max="17" width="17.28515625" style="1" customWidth="1"/>
    <col min="18" max="18" width="12.5703125" style="1" customWidth="1"/>
    <col min="19" max="19" width="4.28515625" style="1" customWidth="1"/>
    <col min="20" max="20" width="9.28515625" style="1" customWidth="1"/>
    <col min="21" max="16384" width="9.28515625" style="1"/>
  </cols>
  <sheetData>
    <row r="6" spans="2:18">
      <c r="B6" s="414" t="s">
        <v>146</v>
      </c>
      <c r="C6" s="415"/>
      <c r="D6" s="415"/>
      <c r="E6" s="415"/>
      <c r="F6" s="416"/>
      <c r="H6" s="414" t="s">
        <v>147</v>
      </c>
      <c r="I6" s="415"/>
      <c r="J6" s="415"/>
      <c r="K6" s="415"/>
      <c r="L6" s="416"/>
      <c r="N6" s="408" t="s">
        <v>148</v>
      </c>
      <c r="O6" s="409"/>
      <c r="P6" s="409"/>
      <c r="Q6" s="409"/>
      <c r="R6" s="410"/>
    </row>
    <row r="7" spans="2:18">
      <c r="B7" s="145" t="s">
        <v>126</v>
      </c>
      <c r="C7" s="146" t="s">
        <v>158</v>
      </c>
      <c r="D7" s="148" t="s">
        <v>159</v>
      </c>
      <c r="E7" s="146" t="s">
        <v>160</v>
      </c>
      <c r="F7" s="141" t="s">
        <v>161</v>
      </c>
      <c r="G7" s="137"/>
      <c r="H7" s="145" t="s">
        <v>126</v>
      </c>
      <c r="I7" s="146" t="s">
        <v>158</v>
      </c>
      <c r="J7" s="148" t="s">
        <v>159</v>
      </c>
      <c r="K7" s="146" t="s">
        <v>160</v>
      </c>
      <c r="L7" s="141" t="s">
        <v>161</v>
      </c>
      <c r="N7" s="145" t="s">
        <v>126</v>
      </c>
      <c r="O7" s="146" t="s">
        <v>158</v>
      </c>
      <c r="P7" s="148" t="s">
        <v>159</v>
      </c>
      <c r="Q7" s="146" t="s">
        <v>160</v>
      </c>
      <c r="R7" s="147" t="s">
        <v>161</v>
      </c>
    </row>
    <row r="8" spans="2:18">
      <c r="B8" s="184">
        <v>46081.958333333328</v>
      </c>
      <c r="C8" s="292">
        <v>43950</v>
      </c>
      <c r="D8" s="293"/>
      <c r="E8" s="294">
        <f t="shared" ref="E8:E14" si="0">C8+D8-F8</f>
        <v>4750</v>
      </c>
      <c r="F8" s="295">
        <v>39200</v>
      </c>
      <c r="H8" s="184">
        <v>46081.958333333328</v>
      </c>
      <c r="I8" s="153">
        <v>10750</v>
      </c>
      <c r="J8" s="293">
        <v>14800</v>
      </c>
      <c r="K8" s="294">
        <f t="shared" ref="K8:K14" si="1">I8+J8-L8</f>
        <v>550</v>
      </c>
      <c r="L8" s="153">
        <v>25000</v>
      </c>
      <c r="N8" s="184">
        <v>46081.958333333328</v>
      </c>
      <c r="O8" s="239">
        <v>1100</v>
      </c>
      <c r="P8" s="293"/>
      <c r="Q8" s="294">
        <f>O8+P8-R8</f>
        <v>0</v>
      </c>
      <c r="R8" s="239">
        <v>1100</v>
      </c>
    </row>
    <row r="9" spans="2:18">
      <c r="B9" s="184">
        <v>46082.958333333328</v>
      </c>
      <c r="C9" s="292">
        <v>39200</v>
      </c>
      <c r="D9" s="296"/>
      <c r="E9" s="245">
        <f t="shared" si="0"/>
        <v>4900</v>
      </c>
      <c r="F9" s="295">
        <v>34300</v>
      </c>
      <c r="H9" s="184">
        <v>46082.958333333328</v>
      </c>
      <c r="I9" s="153">
        <v>25000</v>
      </c>
      <c r="J9" s="296"/>
      <c r="K9" s="245">
        <f t="shared" si="1"/>
        <v>500</v>
      </c>
      <c r="L9" s="153">
        <v>24500</v>
      </c>
      <c r="N9" s="184">
        <v>46082.958333333328</v>
      </c>
      <c r="O9" s="239">
        <v>1100</v>
      </c>
      <c r="P9" s="296"/>
      <c r="Q9" s="245">
        <f t="shared" ref="Q9:Q38" si="2">O9+P9-R9</f>
        <v>0</v>
      </c>
      <c r="R9" s="239">
        <v>1100</v>
      </c>
    </row>
    <row r="10" spans="2:18">
      <c r="B10" s="184">
        <v>46083.958333333328</v>
      </c>
      <c r="C10" s="292">
        <v>34300</v>
      </c>
      <c r="D10" s="296"/>
      <c r="E10" s="245">
        <f t="shared" si="0"/>
        <v>4100</v>
      </c>
      <c r="F10" s="295">
        <v>30200</v>
      </c>
      <c r="H10" s="184">
        <v>46083.958333333328</v>
      </c>
      <c r="I10" s="153">
        <v>24500</v>
      </c>
      <c r="J10" s="296"/>
      <c r="K10" s="245">
        <f t="shared" si="1"/>
        <v>200</v>
      </c>
      <c r="L10" s="153">
        <v>24300</v>
      </c>
      <c r="N10" s="184">
        <v>46083.958333333328</v>
      </c>
      <c r="O10" s="239">
        <v>1100</v>
      </c>
      <c r="P10" s="296"/>
      <c r="Q10" s="245">
        <f t="shared" si="2"/>
        <v>0</v>
      </c>
      <c r="R10" s="239">
        <v>1100</v>
      </c>
    </row>
    <row r="11" spans="2:18">
      <c r="B11" s="184">
        <v>46084.958333333328</v>
      </c>
      <c r="C11" s="292">
        <v>30200</v>
      </c>
      <c r="D11" s="297"/>
      <c r="E11" s="245">
        <f t="shared" si="0"/>
        <v>4750</v>
      </c>
      <c r="F11" s="295">
        <v>25450</v>
      </c>
      <c r="H11" s="184">
        <v>46084.958333333328</v>
      </c>
      <c r="I11" s="153">
        <v>24300</v>
      </c>
      <c r="J11" s="297"/>
      <c r="K11" s="245">
        <f t="shared" si="1"/>
        <v>300</v>
      </c>
      <c r="L11" s="153">
        <v>24000</v>
      </c>
      <c r="N11" s="184">
        <v>46084.958333333328</v>
      </c>
      <c r="O11" s="239">
        <v>1100</v>
      </c>
      <c r="P11" s="297"/>
      <c r="Q11" s="245">
        <f t="shared" si="2"/>
        <v>0</v>
      </c>
      <c r="R11" s="239">
        <v>1100</v>
      </c>
    </row>
    <row r="12" spans="2:18">
      <c r="B12" s="184">
        <v>46085.958333333328</v>
      </c>
      <c r="C12" s="292">
        <v>25450</v>
      </c>
      <c r="D12" s="297"/>
      <c r="E12" s="245">
        <f t="shared" si="0"/>
        <v>4400</v>
      </c>
      <c r="F12" s="295">
        <v>21050</v>
      </c>
      <c r="H12" s="184">
        <v>46085.958333333328</v>
      </c>
      <c r="I12" s="153">
        <v>24000</v>
      </c>
      <c r="J12" s="297"/>
      <c r="K12" s="245">
        <f t="shared" si="1"/>
        <v>300</v>
      </c>
      <c r="L12" s="153">
        <v>23700</v>
      </c>
      <c r="N12" s="184">
        <v>46085.958333333328</v>
      </c>
      <c r="O12" s="239">
        <v>1100</v>
      </c>
      <c r="P12" s="297"/>
      <c r="Q12" s="245">
        <f t="shared" si="2"/>
        <v>0</v>
      </c>
      <c r="R12" s="239">
        <v>1100</v>
      </c>
    </row>
    <row r="13" spans="2:18">
      <c r="B13" s="184">
        <v>46086.958333333328</v>
      </c>
      <c r="C13" s="292">
        <v>21050</v>
      </c>
      <c r="D13" s="298"/>
      <c r="E13" s="245">
        <f t="shared" si="0"/>
        <v>5800</v>
      </c>
      <c r="F13" s="295">
        <v>15250</v>
      </c>
      <c r="H13" s="184">
        <v>46086.958333333328</v>
      </c>
      <c r="I13" s="153">
        <v>23700</v>
      </c>
      <c r="J13" s="298"/>
      <c r="K13" s="245">
        <f t="shared" si="1"/>
        <v>600</v>
      </c>
      <c r="L13" s="153">
        <v>23100</v>
      </c>
      <c r="N13" s="184">
        <v>46086.958333333328</v>
      </c>
      <c r="O13" s="239">
        <v>1100</v>
      </c>
      <c r="P13" s="298"/>
      <c r="Q13" s="245">
        <f t="shared" si="2"/>
        <v>0</v>
      </c>
      <c r="R13" s="239">
        <v>1100</v>
      </c>
    </row>
    <row r="14" spans="2:18">
      <c r="B14" s="184">
        <v>46087.958333333328</v>
      </c>
      <c r="C14" s="292">
        <v>15250</v>
      </c>
      <c r="D14" s="298"/>
      <c r="E14" s="245">
        <f t="shared" si="0"/>
        <v>4550</v>
      </c>
      <c r="F14" s="295">
        <v>10700</v>
      </c>
      <c r="H14" s="184">
        <v>46087.958333333328</v>
      </c>
      <c r="I14" s="153">
        <v>23100</v>
      </c>
      <c r="J14" s="298"/>
      <c r="K14" s="245">
        <f t="shared" si="1"/>
        <v>500</v>
      </c>
      <c r="L14" s="153">
        <v>22600</v>
      </c>
      <c r="N14" s="184">
        <v>46087.958333333328</v>
      </c>
      <c r="O14" s="239">
        <v>1100</v>
      </c>
      <c r="P14" s="298"/>
      <c r="Q14" s="245">
        <f t="shared" si="2"/>
        <v>0</v>
      </c>
      <c r="R14" s="239">
        <v>1100</v>
      </c>
    </row>
    <row r="15" spans="2:18">
      <c r="B15" s="184">
        <v>46088.958333333328</v>
      </c>
      <c r="C15" s="292">
        <v>10700</v>
      </c>
      <c r="D15" s="297"/>
      <c r="E15" s="245">
        <f t="shared" ref="E15:E36" si="3">C15+D15-F15</f>
        <v>3700</v>
      </c>
      <c r="F15" s="295">
        <v>7000</v>
      </c>
      <c r="H15" s="184">
        <v>46088.958333333328</v>
      </c>
      <c r="I15" s="153">
        <v>22600</v>
      </c>
      <c r="J15" s="297"/>
      <c r="K15" s="245">
        <f t="shared" ref="K15:K38" si="4">I15+J15-L15</f>
        <v>100</v>
      </c>
      <c r="L15" s="153">
        <v>22500</v>
      </c>
      <c r="N15" s="184">
        <v>46088.958333333328</v>
      </c>
      <c r="O15" s="239">
        <v>1100</v>
      </c>
      <c r="P15" s="297"/>
      <c r="Q15" s="245">
        <f t="shared" si="2"/>
        <v>0</v>
      </c>
      <c r="R15" s="239">
        <v>1100</v>
      </c>
    </row>
    <row r="16" spans="2:18">
      <c r="B16" s="184">
        <v>46089.958333333328</v>
      </c>
      <c r="C16" s="292">
        <v>7000</v>
      </c>
      <c r="D16" s="298">
        <v>44600</v>
      </c>
      <c r="E16" s="245">
        <f t="shared" si="3"/>
        <v>3400</v>
      </c>
      <c r="F16" s="295">
        <v>48200</v>
      </c>
      <c r="H16" s="184">
        <v>46089.958333333328</v>
      </c>
      <c r="I16" s="153">
        <v>22500</v>
      </c>
      <c r="J16" s="298"/>
      <c r="K16" s="245">
        <f t="shared" si="4"/>
        <v>200</v>
      </c>
      <c r="L16" s="153">
        <v>22300</v>
      </c>
      <c r="N16" s="184">
        <v>46089.958333333328</v>
      </c>
      <c r="O16" s="239">
        <v>1100</v>
      </c>
      <c r="P16" s="298"/>
      <c r="Q16" s="245">
        <f t="shared" si="2"/>
        <v>0</v>
      </c>
      <c r="R16" s="239">
        <v>1100</v>
      </c>
    </row>
    <row r="17" spans="2:18">
      <c r="B17" s="184">
        <v>46090.958333333328</v>
      </c>
      <c r="C17" s="292">
        <v>48200</v>
      </c>
      <c r="D17" s="298"/>
      <c r="E17" s="245">
        <f t="shared" si="3"/>
        <v>4300</v>
      </c>
      <c r="F17" s="295">
        <v>43900</v>
      </c>
      <c r="H17" s="184">
        <v>46090.958333333328</v>
      </c>
      <c r="I17" s="153">
        <v>22300</v>
      </c>
      <c r="J17" s="298"/>
      <c r="K17" s="245">
        <f t="shared" si="4"/>
        <v>400</v>
      </c>
      <c r="L17" s="153">
        <v>21900</v>
      </c>
      <c r="N17" s="184">
        <v>46090.958333333328</v>
      </c>
      <c r="O17" s="239">
        <v>1100</v>
      </c>
      <c r="P17" s="298"/>
      <c r="Q17" s="245">
        <f t="shared" si="2"/>
        <v>0</v>
      </c>
      <c r="R17" s="239">
        <v>1100</v>
      </c>
    </row>
    <row r="18" spans="2:18">
      <c r="B18" s="184">
        <v>46091.958333333328</v>
      </c>
      <c r="C18" s="292">
        <v>43900</v>
      </c>
      <c r="D18" s="298"/>
      <c r="E18" s="245">
        <f t="shared" si="3"/>
        <v>0</v>
      </c>
      <c r="F18" s="295">
        <v>43900</v>
      </c>
      <c r="H18" s="184">
        <v>46091.958333333328</v>
      </c>
      <c r="I18" s="153">
        <v>21900</v>
      </c>
      <c r="J18" s="298"/>
      <c r="K18" s="245">
        <f t="shared" si="4"/>
        <v>0</v>
      </c>
      <c r="L18" s="153">
        <v>21900</v>
      </c>
      <c r="N18" s="184">
        <v>46091.958333333328</v>
      </c>
      <c r="O18" s="239">
        <v>1100</v>
      </c>
      <c r="P18" s="298"/>
      <c r="Q18" s="245">
        <f t="shared" si="2"/>
        <v>0</v>
      </c>
      <c r="R18" s="239">
        <v>1100</v>
      </c>
    </row>
    <row r="19" spans="2:18">
      <c r="B19" s="184">
        <v>46092.958333333328</v>
      </c>
      <c r="C19" s="292">
        <v>43950</v>
      </c>
      <c r="D19" s="297"/>
      <c r="E19" s="245">
        <f t="shared" si="3"/>
        <v>0</v>
      </c>
      <c r="F19" s="295">
        <v>43950</v>
      </c>
      <c r="H19" s="184">
        <v>46092.958333333328</v>
      </c>
      <c r="I19" s="153">
        <v>10750</v>
      </c>
      <c r="J19" s="297"/>
      <c r="K19" s="245">
        <f t="shared" si="4"/>
        <v>0</v>
      </c>
      <c r="L19" s="153">
        <v>10750</v>
      </c>
      <c r="N19" s="184">
        <v>46092.958333333328</v>
      </c>
      <c r="O19" s="239">
        <v>1100</v>
      </c>
      <c r="P19" s="297"/>
      <c r="Q19" s="245">
        <f t="shared" si="2"/>
        <v>0</v>
      </c>
      <c r="R19" s="239">
        <v>1100</v>
      </c>
    </row>
    <row r="20" spans="2:18">
      <c r="B20" s="184">
        <v>46093.958333333328</v>
      </c>
      <c r="C20" s="292">
        <v>43950</v>
      </c>
      <c r="D20" s="298"/>
      <c r="E20" s="245">
        <f t="shared" si="3"/>
        <v>0</v>
      </c>
      <c r="F20" s="295">
        <v>43950</v>
      </c>
      <c r="H20" s="184">
        <v>46093.958333333328</v>
      </c>
      <c r="I20" s="153">
        <v>10750</v>
      </c>
      <c r="J20" s="298"/>
      <c r="K20" s="245">
        <f t="shared" si="4"/>
        <v>0</v>
      </c>
      <c r="L20" s="153">
        <v>10750</v>
      </c>
      <c r="N20" s="184">
        <v>46093.958333333328</v>
      </c>
      <c r="O20" s="239">
        <v>1100</v>
      </c>
      <c r="P20" s="298"/>
      <c r="Q20" s="245">
        <f t="shared" si="2"/>
        <v>0</v>
      </c>
      <c r="R20" s="239">
        <v>1100</v>
      </c>
    </row>
    <row r="21" spans="2:18">
      <c r="B21" s="184">
        <v>46094.958333333328</v>
      </c>
      <c r="C21" s="292">
        <v>43950</v>
      </c>
      <c r="D21" s="298"/>
      <c r="E21" s="245">
        <f t="shared" si="3"/>
        <v>15950</v>
      </c>
      <c r="F21" s="295">
        <v>28000</v>
      </c>
      <c r="H21" s="184">
        <v>46094.958333333328</v>
      </c>
      <c r="I21" s="153">
        <v>10750</v>
      </c>
      <c r="J21" s="298"/>
      <c r="K21" s="245">
        <f t="shared" si="4"/>
        <v>-24150</v>
      </c>
      <c r="L21" s="153">
        <v>34900</v>
      </c>
      <c r="N21" s="184">
        <v>46094.958333333328</v>
      </c>
      <c r="O21" s="239">
        <v>1100</v>
      </c>
      <c r="P21" s="298"/>
      <c r="Q21" s="245">
        <f t="shared" si="2"/>
        <v>0</v>
      </c>
      <c r="R21" s="239">
        <v>1100</v>
      </c>
    </row>
    <row r="22" spans="2:18">
      <c r="B22" s="184">
        <v>46095.958333333328</v>
      </c>
      <c r="C22" s="292">
        <v>28000</v>
      </c>
      <c r="D22" s="298"/>
      <c r="E22" s="245">
        <f t="shared" si="3"/>
        <v>3450</v>
      </c>
      <c r="F22" s="295">
        <v>24550</v>
      </c>
      <c r="H22" s="184">
        <v>46095.958333333328</v>
      </c>
      <c r="I22" s="153">
        <v>34900</v>
      </c>
      <c r="J22" s="298"/>
      <c r="K22" s="245">
        <f t="shared" si="4"/>
        <v>300</v>
      </c>
      <c r="L22" s="153">
        <v>34600</v>
      </c>
      <c r="N22" s="184">
        <v>46095.958333333328</v>
      </c>
      <c r="O22" s="239">
        <v>1100</v>
      </c>
      <c r="P22" s="298"/>
      <c r="Q22" s="245">
        <f t="shared" si="2"/>
        <v>0</v>
      </c>
      <c r="R22" s="239">
        <v>1100</v>
      </c>
    </row>
    <row r="23" spans="2:18">
      <c r="B23" s="184">
        <v>46096.958333333328</v>
      </c>
      <c r="C23" s="292">
        <v>24550</v>
      </c>
      <c r="D23" s="298"/>
      <c r="E23" s="245">
        <f t="shared" si="3"/>
        <v>4050</v>
      </c>
      <c r="F23" s="295">
        <v>20500</v>
      </c>
      <c r="H23" s="184">
        <v>46096.958333333328</v>
      </c>
      <c r="I23" s="153">
        <v>34600</v>
      </c>
      <c r="J23" s="298"/>
      <c r="K23" s="245">
        <f t="shared" si="4"/>
        <v>200</v>
      </c>
      <c r="L23" s="153">
        <v>34400</v>
      </c>
      <c r="N23" s="184">
        <v>46096.958333333328</v>
      </c>
      <c r="O23" s="239">
        <v>1100</v>
      </c>
      <c r="P23" s="298"/>
      <c r="Q23" s="245">
        <f t="shared" si="2"/>
        <v>0</v>
      </c>
      <c r="R23" s="239">
        <v>1100</v>
      </c>
    </row>
    <row r="24" spans="2:18">
      <c r="B24" s="184"/>
      <c r="C24" s="292"/>
      <c r="D24" s="297"/>
      <c r="E24" s="245">
        <f t="shared" si="3"/>
        <v>0</v>
      </c>
      <c r="F24" s="295"/>
      <c r="H24" s="184"/>
      <c r="I24" s="153"/>
      <c r="J24" s="297"/>
      <c r="K24" s="245">
        <f t="shared" si="4"/>
        <v>0</v>
      </c>
      <c r="L24" s="153"/>
      <c r="N24" s="184"/>
      <c r="O24" s="239"/>
      <c r="P24" s="297"/>
      <c r="Q24" s="245">
        <f t="shared" si="2"/>
        <v>0</v>
      </c>
      <c r="R24" s="239"/>
    </row>
    <row r="25" spans="2:18">
      <c r="B25" s="184"/>
      <c r="C25" s="292"/>
      <c r="D25" s="297"/>
      <c r="E25" s="245">
        <f t="shared" si="3"/>
        <v>0</v>
      </c>
      <c r="F25" s="295"/>
      <c r="H25" s="184"/>
      <c r="I25" s="153"/>
      <c r="J25" s="297"/>
      <c r="K25" s="245">
        <f t="shared" si="4"/>
        <v>0</v>
      </c>
      <c r="L25" s="153"/>
      <c r="N25" s="184"/>
      <c r="O25" s="239"/>
      <c r="P25" s="297"/>
      <c r="Q25" s="245">
        <f t="shared" si="2"/>
        <v>0</v>
      </c>
      <c r="R25" s="239"/>
    </row>
    <row r="26" spans="2:18">
      <c r="B26" s="184"/>
      <c r="C26" s="292"/>
      <c r="D26" s="297"/>
      <c r="E26" s="245">
        <f t="shared" si="3"/>
        <v>0</v>
      </c>
      <c r="F26" s="295"/>
      <c r="H26" s="184"/>
      <c r="I26" s="153"/>
      <c r="J26" s="297"/>
      <c r="K26" s="245">
        <f t="shared" si="4"/>
        <v>0</v>
      </c>
      <c r="L26" s="153"/>
      <c r="N26" s="184"/>
      <c r="O26" s="239"/>
      <c r="P26" s="297"/>
      <c r="Q26" s="245">
        <f t="shared" si="2"/>
        <v>0</v>
      </c>
      <c r="R26" s="239"/>
    </row>
    <row r="27" spans="2:18">
      <c r="B27" s="184"/>
      <c r="C27" s="292"/>
      <c r="D27" s="298"/>
      <c r="E27" s="245">
        <f t="shared" si="3"/>
        <v>0</v>
      </c>
      <c r="F27" s="295"/>
      <c r="H27" s="184"/>
      <c r="I27" s="153"/>
      <c r="J27" s="298"/>
      <c r="K27" s="245">
        <f t="shared" si="4"/>
        <v>0</v>
      </c>
      <c r="L27" s="153"/>
      <c r="N27" s="184"/>
      <c r="O27" s="239"/>
      <c r="P27" s="298"/>
      <c r="Q27" s="245">
        <f t="shared" si="2"/>
        <v>0</v>
      </c>
      <c r="R27" s="239"/>
    </row>
    <row r="28" spans="2:18">
      <c r="B28" s="184"/>
      <c r="C28" s="292"/>
      <c r="D28" s="298"/>
      <c r="E28" s="245">
        <f t="shared" si="3"/>
        <v>0</v>
      </c>
      <c r="F28" s="295"/>
      <c r="H28" s="184"/>
      <c r="I28" s="153"/>
      <c r="J28" s="298"/>
      <c r="K28" s="245">
        <f t="shared" si="4"/>
        <v>0</v>
      </c>
      <c r="L28" s="153"/>
      <c r="N28" s="184"/>
      <c r="O28" s="239"/>
      <c r="P28" s="298"/>
      <c r="Q28" s="245">
        <f t="shared" si="2"/>
        <v>0</v>
      </c>
      <c r="R28" s="239"/>
    </row>
    <row r="29" spans="2:18">
      <c r="B29" s="184"/>
      <c r="C29" s="292"/>
      <c r="D29" s="298"/>
      <c r="E29" s="245">
        <f t="shared" si="3"/>
        <v>0</v>
      </c>
      <c r="F29" s="295"/>
      <c r="H29" s="184"/>
      <c r="I29" s="153"/>
      <c r="J29" s="298"/>
      <c r="K29" s="245">
        <f t="shared" si="4"/>
        <v>0</v>
      </c>
      <c r="L29" s="153"/>
      <c r="N29" s="184"/>
      <c r="O29" s="239"/>
      <c r="P29" s="298"/>
      <c r="Q29" s="245">
        <f t="shared" si="2"/>
        <v>0</v>
      </c>
      <c r="R29" s="239"/>
    </row>
    <row r="30" spans="2:18">
      <c r="B30" s="184"/>
      <c r="C30" s="292"/>
      <c r="D30" s="297"/>
      <c r="E30" s="245">
        <f t="shared" si="3"/>
        <v>0</v>
      </c>
      <c r="F30" s="295"/>
      <c r="H30" s="184"/>
      <c r="I30" s="153"/>
      <c r="J30" s="297"/>
      <c r="K30" s="245">
        <f t="shared" si="4"/>
        <v>0</v>
      </c>
      <c r="L30" s="153"/>
      <c r="N30" s="184"/>
      <c r="O30" s="239"/>
      <c r="P30" s="297"/>
      <c r="Q30" s="245">
        <f t="shared" si="2"/>
        <v>0</v>
      </c>
      <c r="R30" s="239"/>
    </row>
    <row r="31" spans="2:18">
      <c r="B31" s="184"/>
      <c r="C31" s="292"/>
      <c r="D31" s="298"/>
      <c r="E31" s="245">
        <f t="shared" si="3"/>
        <v>0</v>
      </c>
      <c r="F31" s="295"/>
      <c r="H31" s="184"/>
      <c r="I31" s="153"/>
      <c r="J31" s="298"/>
      <c r="K31" s="245">
        <f t="shared" si="4"/>
        <v>0</v>
      </c>
      <c r="L31" s="153"/>
      <c r="N31" s="184"/>
      <c r="O31" s="239"/>
      <c r="P31" s="298"/>
      <c r="Q31" s="245">
        <f t="shared" si="2"/>
        <v>0</v>
      </c>
      <c r="R31" s="239"/>
    </row>
    <row r="32" spans="2:18">
      <c r="B32" s="184"/>
      <c r="C32" s="292"/>
      <c r="D32" s="298"/>
      <c r="E32" s="245">
        <f t="shared" si="3"/>
        <v>0</v>
      </c>
      <c r="F32" s="295"/>
      <c r="H32" s="184"/>
      <c r="I32" s="153"/>
      <c r="J32" s="298"/>
      <c r="K32" s="245">
        <f t="shared" si="4"/>
        <v>0</v>
      </c>
      <c r="L32" s="153"/>
      <c r="N32" s="184"/>
      <c r="O32" s="239"/>
      <c r="P32" s="298"/>
      <c r="Q32" s="245">
        <f t="shared" si="2"/>
        <v>0</v>
      </c>
      <c r="R32" s="239"/>
    </row>
    <row r="33" spans="2:18">
      <c r="B33" s="184"/>
      <c r="C33" s="292"/>
      <c r="D33" s="297"/>
      <c r="E33" s="245">
        <f t="shared" si="3"/>
        <v>0</v>
      </c>
      <c r="F33" s="295"/>
      <c r="H33" s="184"/>
      <c r="I33" s="153"/>
      <c r="J33" s="297"/>
      <c r="K33" s="245">
        <f t="shared" si="4"/>
        <v>0</v>
      </c>
      <c r="L33" s="153"/>
      <c r="N33" s="184"/>
      <c r="O33" s="239"/>
      <c r="P33" s="297"/>
      <c r="Q33" s="245">
        <f t="shared" si="2"/>
        <v>0</v>
      </c>
      <c r="R33" s="239"/>
    </row>
    <row r="34" spans="2:18">
      <c r="B34" s="184"/>
      <c r="C34" s="292"/>
      <c r="D34" s="298"/>
      <c r="E34" s="245">
        <f t="shared" si="3"/>
        <v>0</v>
      </c>
      <c r="F34" s="295"/>
      <c r="H34" s="184"/>
      <c r="I34" s="153"/>
      <c r="J34" s="298"/>
      <c r="K34" s="245">
        <f t="shared" si="4"/>
        <v>0</v>
      </c>
      <c r="L34" s="153"/>
      <c r="N34" s="184"/>
      <c r="O34" s="239"/>
      <c r="P34" s="298"/>
      <c r="Q34" s="245">
        <f t="shared" si="2"/>
        <v>0</v>
      </c>
      <c r="R34" s="239"/>
    </row>
    <row r="35" spans="2:18">
      <c r="B35" s="184"/>
      <c r="C35" s="292"/>
      <c r="D35" s="298"/>
      <c r="E35" s="245">
        <f t="shared" si="3"/>
        <v>0</v>
      </c>
      <c r="F35" s="295"/>
      <c r="H35" s="184"/>
      <c r="I35" s="153"/>
      <c r="J35" s="298"/>
      <c r="K35" s="245">
        <f t="shared" si="4"/>
        <v>0</v>
      </c>
      <c r="L35" s="153"/>
      <c r="N35" s="184"/>
      <c r="O35" s="239"/>
      <c r="P35" s="298"/>
      <c r="Q35" s="245">
        <f t="shared" si="2"/>
        <v>0</v>
      </c>
      <c r="R35" s="239"/>
    </row>
    <row r="36" spans="2:18">
      <c r="B36" s="184"/>
      <c r="C36" s="292"/>
      <c r="D36" s="297"/>
      <c r="E36" s="245">
        <f t="shared" si="3"/>
        <v>0</v>
      </c>
      <c r="F36" s="295"/>
      <c r="H36" s="184"/>
      <c r="I36" s="153"/>
      <c r="J36" s="297"/>
      <c r="K36" s="245">
        <f t="shared" si="4"/>
        <v>0</v>
      </c>
      <c r="L36" s="153"/>
      <c r="N36" s="184"/>
      <c r="O36" s="239"/>
      <c r="P36" s="297"/>
      <c r="Q36" s="245">
        <f t="shared" si="2"/>
        <v>0</v>
      </c>
      <c r="R36" s="239"/>
    </row>
    <row r="37" spans="2:18">
      <c r="B37" s="184"/>
      <c r="C37" s="292"/>
      <c r="D37" s="298"/>
      <c r="E37" s="245">
        <f>C37+D37-F37</f>
        <v>0</v>
      </c>
      <c r="F37" s="295"/>
      <c r="H37" s="184"/>
      <c r="I37" s="153"/>
      <c r="J37" s="298"/>
      <c r="K37" s="245">
        <f t="shared" si="4"/>
        <v>0</v>
      </c>
      <c r="L37" s="153"/>
      <c r="N37" s="184"/>
      <c r="O37" s="239"/>
      <c r="P37" s="298"/>
      <c r="Q37" s="245">
        <f t="shared" si="2"/>
        <v>0</v>
      </c>
      <c r="R37" s="239"/>
    </row>
    <row r="38" spans="2:18">
      <c r="B38" s="184"/>
      <c r="C38" s="292"/>
      <c r="D38" s="299"/>
      <c r="E38" s="300">
        <f>C38+D38-F38</f>
        <v>0</v>
      </c>
      <c r="F38" s="295"/>
      <c r="H38" s="184"/>
      <c r="I38" s="153"/>
      <c r="J38" s="299"/>
      <c r="K38" s="300">
        <f t="shared" si="4"/>
        <v>0</v>
      </c>
      <c r="L38" s="153"/>
      <c r="N38" s="184"/>
      <c r="O38" s="239"/>
      <c r="P38" s="299"/>
      <c r="Q38" s="300">
        <f t="shared" si="2"/>
        <v>0</v>
      </c>
      <c r="R38" s="239"/>
    </row>
    <row r="40" spans="2:18">
      <c r="F40" s="301">
        <f>IF(C38&gt;0,F38,F37)</f>
        <v>0</v>
      </c>
      <c r="L40" s="301">
        <f>IF(I38&gt;0,L38,L37)</f>
        <v>0</v>
      </c>
      <c r="R40" s="301">
        <f>IF(O38&gt;0,R38,R37)</f>
        <v>0</v>
      </c>
    </row>
  </sheetData>
  <sheetProtection algorithmName="SHA-512" hashValue="eP0PCq9Y3eB/r1BMXxXgAzgPh9xu9VAUUZ5gampMwsfE7T4QUDDuUo3bWo/rS1G6OnbtlyAXmjwQckFdmOHs1A==" saltValue="2cAw/bzVoAr10oKNGf9XJA==" spinCount="100000" sheet="1" objects="1" scenarios="1"/>
  <mergeCells count="3">
    <mergeCell ref="B6:F6"/>
    <mergeCell ref="H6:L6"/>
    <mergeCell ref="N6:R6"/>
  </mergeCells>
  <pageMargins left="0.7" right="0.7" top="0.75" bottom="0.75" header="0.3" footer="0.3"/>
  <pageSetup paperSize="9" scale="27" orientation="portrait" useFirstPageNumber="1"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3"/>
  <sheetViews>
    <sheetView showGridLines="0" zoomScaleNormal="100" workbookViewId="0">
      <pane xSplit="1" ySplit="2" topLeftCell="B3" activePane="bottomRight" state="frozen"/>
      <selection pane="topRight"/>
      <selection pane="bottomLeft"/>
      <selection pane="bottomRight" activeCell="G36" sqref="G36"/>
    </sheetView>
  </sheetViews>
  <sheetFormatPr defaultColWidth="3.5703125" defaultRowHeight="15"/>
  <cols>
    <col min="1" max="1" width="7" style="302" customWidth="1"/>
    <col min="2" max="2" width="29.5703125" style="133" customWidth="1"/>
    <col min="3" max="3" width="16.28515625" style="133" customWidth="1"/>
    <col min="4" max="4" width="2.7109375" style="133" customWidth="1"/>
    <col min="5" max="5" width="15.28515625" style="302" customWidth="1"/>
    <col min="6" max="6" width="11.42578125" style="133" customWidth="1"/>
    <col min="7" max="7" width="14.28515625" style="303" customWidth="1"/>
    <col min="8" max="8" width="3.5703125" style="303" customWidth="1"/>
    <col min="9" max="9" width="13.28515625" style="178" customWidth="1"/>
    <col min="10" max="10" width="19.7109375" style="178" customWidth="1"/>
    <col min="11" max="14" width="3.5703125" style="133" customWidth="1"/>
    <col min="15" max="15" width="11.28515625" style="133" customWidth="1"/>
    <col min="16" max="16" width="3.5703125" style="133" customWidth="1"/>
    <col min="17" max="16384" width="3.5703125" style="133"/>
  </cols>
  <sheetData>
    <row r="1" spans="1:15" s="304" customFormat="1" ht="19.149999999999999" customHeight="1">
      <c r="A1" s="417" t="s">
        <v>162</v>
      </c>
      <c r="B1" s="418"/>
      <c r="C1" s="418"/>
      <c r="D1" s="418"/>
      <c r="E1" s="418"/>
      <c r="F1" s="418"/>
      <c r="G1" s="418"/>
      <c r="H1" s="418"/>
      <c r="I1" s="418"/>
      <c r="J1" s="418"/>
    </row>
    <row r="2" spans="1:15" s="305" customFormat="1" ht="45" customHeight="1">
      <c r="A2" s="306" t="s">
        <v>154</v>
      </c>
      <c r="B2" s="307" t="s">
        <v>163</v>
      </c>
      <c r="C2" s="308" t="s">
        <v>164</v>
      </c>
      <c r="D2" s="309"/>
      <c r="E2" s="310" t="s">
        <v>165</v>
      </c>
      <c r="F2" s="307" t="s">
        <v>166</v>
      </c>
      <c r="G2" s="311" t="s">
        <v>167</v>
      </c>
      <c r="H2" s="312"/>
      <c r="I2" s="313" t="s">
        <v>168</v>
      </c>
      <c r="J2" s="314" t="s">
        <v>169</v>
      </c>
    </row>
    <row r="3" spans="1:15">
      <c r="A3" s="315">
        <v>1</v>
      </c>
      <c r="B3" s="316"/>
      <c r="C3" s="317"/>
      <c r="D3" s="318"/>
      <c r="E3" s="319"/>
      <c r="F3" s="320"/>
      <c r="G3" s="321"/>
      <c r="H3" s="322"/>
      <c r="I3" s="323"/>
      <c r="J3" s="324">
        <f>C3+G3-I3</f>
        <v>0</v>
      </c>
      <c r="O3" s="178"/>
    </row>
    <row r="4" spans="1:15">
      <c r="A4" s="325"/>
      <c r="B4" s="326"/>
      <c r="C4" s="327"/>
      <c r="D4" s="328"/>
      <c r="E4" s="329"/>
      <c r="F4" s="327"/>
      <c r="G4" s="321"/>
      <c r="H4" s="328"/>
      <c r="I4" s="330"/>
      <c r="J4" s="324">
        <f t="shared" ref="J4:J42" si="0">C4+G4-I4</f>
        <v>0</v>
      </c>
      <c r="O4" s="178"/>
    </row>
    <row r="5" spans="1:15">
      <c r="A5" s="325"/>
      <c r="B5" s="326"/>
      <c r="C5" s="327"/>
      <c r="D5" s="328"/>
      <c r="E5" s="329"/>
      <c r="F5" s="327"/>
      <c r="G5" s="321"/>
      <c r="H5" s="328"/>
      <c r="I5" s="330"/>
      <c r="J5" s="324">
        <f t="shared" si="0"/>
        <v>0</v>
      </c>
      <c r="O5" s="178"/>
    </row>
    <row r="6" spans="1:15">
      <c r="A6" s="325"/>
      <c r="B6" s="326"/>
      <c r="C6" s="327"/>
      <c r="D6" s="328"/>
      <c r="E6" s="329"/>
      <c r="F6" s="327"/>
      <c r="G6" s="321"/>
      <c r="H6" s="328"/>
      <c r="I6" s="330"/>
      <c r="J6" s="324">
        <f t="shared" si="0"/>
        <v>0</v>
      </c>
      <c r="O6" s="178"/>
    </row>
    <row r="7" spans="1:15">
      <c r="A7" s="325"/>
      <c r="B7" s="326"/>
      <c r="C7" s="327"/>
      <c r="D7" s="328"/>
      <c r="E7" s="329"/>
      <c r="F7" s="327"/>
      <c r="G7" s="321"/>
      <c r="H7" s="328"/>
      <c r="I7" s="330"/>
      <c r="J7" s="324">
        <f t="shared" si="0"/>
        <v>0</v>
      </c>
      <c r="O7" s="178"/>
    </row>
    <row r="8" spans="1:15">
      <c r="A8" s="325"/>
      <c r="B8" s="326"/>
      <c r="C8" s="327"/>
      <c r="D8" s="328"/>
      <c r="E8" s="329"/>
      <c r="F8" s="327"/>
      <c r="G8" s="321"/>
      <c r="H8" s="328"/>
      <c r="I8" s="330"/>
      <c r="J8" s="324">
        <f t="shared" si="0"/>
        <v>0</v>
      </c>
      <c r="O8" s="178"/>
    </row>
    <row r="9" spans="1:15">
      <c r="A9" s="325"/>
      <c r="B9" s="326"/>
      <c r="C9" s="331"/>
      <c r="D9" s="328"/>
      <c r="E9" s="329"/>
      <c r="F9" s="327"/>
      <c r="G9" s="321"/>
      <c r="H9" s="328"/>
      <c r="I9" s="330"/>
      <c r="J9" s="324">
        <f t="shared" si="0"/>
        <v>0</v>
      </c>
      <c r="O9" s="178"/>
    </row>
    <row r="10" spans="1:15">
      <c r="A10" s="325">
        <v>2</v>
      </c>
      <c r="B10" s="326"/>
      <c r="C10" s="331"/>
      <c r="D10" s="328"/>
      <c r="E10" s="319"/>
      <c r="F10" s="327"/>
      <c r="G10" s="321"/>
      <c r="H10" s="328"/>
      <c r="I10" s="330"/>
      <c r="J10" s="324">
        <f t="shared" si="0"/>
        <v>0</v>
      </c>
      <c r="O10" s="178"/>
    </row>
    <row r="11" spans="1:15">
      <c r="A11" s="325"/>
      <c r="B11" s="326"/>
      <c r="C11" s="331"/>
      <c r="D11" s="328"/>
      <c r="E11" s="329"/>
      <c r="F11" s="327"/>
      <c r="G11" s="321"/>
      <c r="H11" s="328"/>
      <c r="I11" s="330"/>
      <c r="J11" s="324">
        <f t="shared" si="0"/>
        <v>0</v>
      </c>
      <c r="O11" s="178"/>
    </row>
    <row r="12" spans="1:15">
      <c r="A12" s="325"/>
      <c r="B12" s="326"/>
      <c r="C12" s="331"/>
      <c r="D12" s="328"/>
      <c r="E12" s="329"/>
      <c r="F12" s="332"/>
      <c r="G12" s="333"/>
      <c r="H12" s="328"/>
      <c r="I12" s="330"/>
      <c r="J12" s="324">
        <f t="shared" si="0"/>
        <v>0</v>
      </c>
      <c r="O12" s="178"/>
    </row>
    <row r="13" spans="1:15">
      <c r="A13" s="325"/>
      <c r="B13" s="326"/>
      <c r="C13" s="331"/>
      <c r="D13" s="328"/>
      <c r="E13" s="329"/>
      <c r="F13" s="332"/>
      <c r="G13" s="333"/>
      <c r="H13" s="328"/>
      <c r="I13" s="330"/>
      <c r="J13" s="324">
        <f t="shared" si="0"/>
        <v>0</v>
      </c>
      <c r="O13" s="178"/>
    </row>
    <row r="14" spans="1:15">
      <c r="A14" s="325"/>
      <c r="B14" s="326"/>
      <c r="C14" s="331"/>
      <c r="D14" s="328"/>
      <c r="E14" s="329"/>
      <c r="F14" s="327"/>
      <c r="G14" s="321"/>
      <c r="H14" s="328"/>
      <c r="I14" s="330"/>
      <c r="J14" s="324">
        <f t="shared" si="0"/>
        <v>0</v>
      </c>
      <c r="O14" s="178"/>
    </row>
    <row r="15" spans="1:15">
      <c r="A15" s="325"/>
      <c r="B15" s="326"/>
      <c r="C15" s="331"/>
      <c r="D15" s="328"/>
      <c r="E15" s="329"/>
      <c r="F15" s="332"/>
      <c r="G15" s="321"/>
      <c r="H15" s="328"/>
      <c r="I15" s="330"/>
      <c r="J15" s="324">
        <f t="shared" si="0"/>
        <v>0</v>
      </c>
      <c r="O15" s="178"/>
    </row>
    <row r="16" spans="1:15">
      <c r="A16" s="325"/>
      <c r="B16" s="326"/>
      <c r="C16" s="331"/>
      <c r="D16" s="328"/>
      <c r="E16" s="329"/>
      <c r="F16" s="332"/>
      <c r="G16" s="321"/>
      <c r="H16" s="328"/>
      <c r="I16" s="330"/>
      <c r="J16" s="324">
        <f t="shared" si="0"/>
        <v>0</v>
      </c>
      <c r="O16" s="178"/>
    </row>
    <row r="17" spans="1:15">
      <c r="A17" s="325">
        <v>3</v>
      </c>
      <c r="B17" s="326"/>
      <c r="C17" s="331"/>
      <c r="D17" s="328"/>
      <c r="E17" s="319"/>
      <c r="F17" s="327"/>
      <c r="G17" s="321"/>
      <c r="H17" s="328"/>
      <c r="I17" s="330"/>
      <c r="J17" s="324">
        <f t="shared" si="0"/>
        <v>0</v>
      </c>
      <c r="O17" s="178"/>
    </row>
    <row r="18" spans="1:15">
      <c r="A18" s="325"/>
      <c r="B18" s="326"/>
      <c r="C18" s="331"/>
      <c r="D18" s="328"/>
      <c r="E18" s="319"/>
      <c r="F18" s="327"/>
      <c r="G18" s="321"/>
      <c r="H18" s="328"/>
      <c r="I18" s="330"/>
      <c r="J18" s="324">
        <f t="shared" si="0"/>
        <v>0</v>
      </c>
      <c r="O18" s="178"/>
    </row>
    <row r="19" spans="1:15">
      <c r="A19" s="325"/>
      <c r="B19" s="326"/>
      <c r="C19" s="331"/>
      <c r="D19" s="328"/>
      <c r="E19" s="329"/>
      <c r="F19" s="327"/>
      <c r="G19" s="321"/>
      <c r="H19" s="328"/>
      <c r="I19" s="330"/>
      <c r="J19" s="324">
        <f t="shared" si="0"/>
        <v>0</v>
      </c>
      <c r="O19" s="178"/>
    </row>
    <row r="20" spans="1:15">
      <c r="A20" s="325"/>
      <c r="B20" s="326"/>
      <c r="C20" s="331"/>
      <c r="D20" s="328"/>
      <c r="E20" s="329"/>
      <c r="F20" s="327"/>
      <c r="G20" s="321"/>
      <c r="H20" s="328"/>
      <c r="I20" s="330"/>
      <c r="J20" s="324">
        <f t="shared" si="0"/>
        <v>0</v>
      </c>
      <c r="O20" s="178"/>
    </row>
    <row r="21" spans="1:15">
      <c r="A21" s="325"/>
      <c r="B21" s="326"/>
      <c r="C21" s="331"/>
      <c r="D21" s="328"/>
      <c r="E21" s="329"/>
      <c r="F21" s="327"/>
      <c r="G21" s="321"/>
      <c r="H21" s="328"/>
      <c r="I21" s="330"/>
      <c r="J21" s="324">
        <f t="shared" si="0"/>
        <v>0</v>
      </c>
      <c r="O21" s="178"/>
    </row>
    <row r="22" spans="1:15">
      <c r="A22" s="325"/>
      <c r="B22" s="326"/>
      <c r="C22" s="331"/>
      <c r="D22" s="328"/>
      <c r="E22" s="329"/>
      <c r="F22" s="327"/>
      <c r="G22" s="321"/>
      <c r="H22" s="328"/>
      <c r="I22" s="330"/>
      <c r="J22" s="324">
        <f t="shared" si="0"/>
        <v>0</v>
      </c>
      <c r="O22" s="178"/>
    </row>
    <row r="23" spans="1:15">
      <c r="A23" s="325"/>
      <c r="B23" s="326"/>
      <c r="C23" s="331"/>
      <c r="D23" s="328"/>
      <c r="E23" s="329"/>
      <c r="F23" s="327"/>
      <c r="G23" s="321"/>
      <c r="H23" s="328"/>
      <c r="I23" s="330"/>
      <c r="J23" s="324">
        <f t="shared" si="0"/>
        <v>0</v>
      </c>
      <c r="O23" s="178"/>
    </row>
    <row r="24" spans="1:15">
      <c r="A24" s="325"/>
      <c r="B24" s="326"/>
      <c r="C24" s="331"/>
      <c r="D24" s="328"/>
      <c r="E24" s="329"/>
      <c r="F24" s="327"/>
      <c r="G24" s="321"/>
      <c r="H24" s="328"/>
      <c r="I24" s="330"/>
      <c r="J24" s="324">
        <f t="shared" si="0"/>
        <v>0</v>
      </c>
      <c r="O24" s="178"/>
    </row>
    <row r="25" spans="1:15">
      <c r="A25" s="325"/>
      <c r="B25" s="326"/>
      <c r="C25" s="331"/>
      <c r="D25" s="328"/>
      <c r="E25" s="329"/>
      <c r="F25" s="327"/>
      <c r="G25" s="321"/>
      <c r="H25" s="328"/>
      <c r="I25" s="330"/>
      <c r="J25" s="324">
        <f t="shared" si="0"/>
        <v>0</v>
      </c>
      <c r="O25" s="178"/>
    </row>
    <row r="26" spans="1:15">
      <c r="A26" s="325"/>
      <c r="B26" s="326"/>
      <c r="C26" s="331"/>
      <c r="D26" s="328"/>
      <c r="E26" s="329"/>
      <c r="F26" s="327"/>
      <c r="G26" s="321"/>
      <c r="H26" s="328"/>
      <c r="I26" s="330"/>
      <c r="J26" s="324">
        <f t="shared" si="0"/>
        <v>0</v>
      </c>
      <c r="O26" s="178"/>
    </row>
    <row r="27" spans="1:15">
      <c r="A27" s="334"/>
      <c r="B27" s="326"/>
      <c r="C27" s="331"/>
      <c r="D27" s="328"/>
      <c r="E27" s="329"/>
      <c r="F27" s="327"/>
      <c r="G27" s="321"/>
      <c r="H27" s="328"/>
      <c r="I27" s="330"/>
      <c r="J27" s="324">
        <f t="shared" si="0"/>
        <v>0</v>
      </c>
      <c r="O27" s="178"/>
    </row>
    <row r="28" spans="1:15">
      <c r="A28" s="334"/>
      <c r="B28" s="326"/>
      <c r="C28" s="331"/>
      <c r="D28" s="328"/>
      <c r="E28" s="329"/>
      <c r="F28" s="327"/>
      <c r="G28" s="321"/>
      <c r="H28" s="328"/>
      <c r="I28" s="330"/>
      <c r="J28" s="324">
        <f t="shared" si="0"/>
        <v>0</v>
      </c>
      <c r="O28" s="178"/>
    </row>
    <row r="29" spans="1:15">
      <c r="A29" s="334"/>
      <c r="B29" s="326"/>
      <c r="C29" s="331"/>
      <c r="D29" s="328"/>
      <c r="E29" s="329"/>
      <c r="F29" s="327"/>
      <c r="G29" s="321"/>
      <c r="H29" s="328"/>
      <c r="I29" s="330"/>
      <c r="J29" s="324">
        <f t="shared" si="0"/>
        <v>0</v>
      </c>
      <c r="O29" s="178"/>
    </row>
    <row r="30" spans="1:15">
      <c r="A30" s="335"/>
      <c r="B30" s="326"/>
      <c r="C30" s="331"/>
      <c r="D30" s="328"/>
      <c r="E30" s="329"/>
      <c r="F30" s="327"/>
      <c r="G30" s="321"/>
      <c r="H30" s="328"/>
      <c r="I30" s="330"/>
      <c r="J30" s="324">
        <f t="shared" si="0"/>
        <v>0</v>
      </c>
      <c r="O30" s="178"/>
    </row>
    <row r="31" spans="1:15">
      <c r="A31" s="335"/>
      <c r="B31" s="326"/>
      <c r="C31" s="331"/>
      <c r="D31" s="328"/>
      <c r="E31" s="329"/>
      <c r="F31" s="327"/>
      <c r="G31" s="321"/>
      <c r="H31" s="328"/>
      <c r="I31" s="330"/>
      <c r="J31" s="324">
        <f t="shared" si="0"/>
        <v>0</v>
      </c>
      <c r="O31" s="178"/>
    </row>
    <row r="32" spans="1:15">
      <c r="A32" s="325"/>
      <c r="B32" s="326"/>
      <c r="C32" s="331"/>
      <c r="D32" s="328"/>
      <c r="E32" s="329"/>
      <c r="F32" s="327"/>
      <c r="G32" s="321"/>
      <c r="H32" s="328"/>
      <c r="I32" s="330"/>
      <c r="J32" s="324">
        <f t="shared" si="0"/>
        <v>0</v>
      </c>
      <c r="O32" s="178"/>
    </row>
    <row r="33" spans="1:15">
      <c r="A33" s="325"/>
      <c r="B33" s="326"/>
      <c r="C33" s="331"/>
      <c r="D33" s="328"/>
      <c r="E33" s="329"/>
      <c r="F33" s="327"/>
      <c r="G33" s="321"/>
      <c r="H33" s="328"/>
      <c r="I33" s="330"/>
      <c r="J33" s="324">
        <f t="shared" si="0"/>
        <v>0</v>
      </c>
      <c r="O33" s="178"/>
    </row>
    <row r="34" spans="1:15">
      <c r="A34" s="335"/>
      <c r="B34" s="326"/>
      <c r="C34" s="331"/>
      <c r="D34" s="328"/>
      <c r="E34" s="329"/>
      <c r="F34" s="327"/>
      <c r="G34" s="321"/>
      <c r="H34" s="328"/>
      <c r="I34" s="330"/>
      <c r="J34" s="324">
        <f t="shared" si="0"/>
        <v>0</v>
      </c>
      <c r="O34" s="178"/>
    </row>
    <row r="35" spans="1:15">
      <c r="A35" s="335"/>
      <c r="B35" s="326"/>
      <c r="C35" s="331"/>
      <c r="D35" s="328"/>
      <c r="E35" s="329"/>
      <c r="F35" s="327"/>
      <c r="G35" s="321"/>
      <c r="H35" s="328"/>
      <c r="I35" s="330"/>
      <c r="J35" s="324">
        <f t="shared" si="0"/>
        <v>0</v>
      </c>
      <c r="O35" s="178"/>
    </row>
    <row r="36" spans="1:15">
      <c r="A36" s="335"/>
      <c r="B36" s="326"/>
      <c r="C36" s="331"/>
      <c r="D36" s="328"/>
      <c r="E36" s="329"/>
      <c r="F36" s="327"/>
      <c r="G36" s="321"/>
      <c r="H36" s="328"/>
      <c r="I36" s="330"/>
      <c r="J36" s="324">
        <f t="shared" si="0"/>
        <v>0</v>
      </c>
      <c r="O36" s="178"/>
    </row>
    <row r="37" spans="1:15">
      <c r="A37" s="335"/>
      <c r="B37" s="326"/>
      <c r="C37" s="331"/>
      <c r="D37" s="328"/>
      <c r="E37" s="329"/>
      <c r="F37" s="327"/>
      <c r="G37" s="321"/>
      <c r="H37" s="328"/>
      <c r="I37" s="330"/>
      <c r="J37" s="324">
        <f t="shared" si="0"/>
        <v>0</v>
      </c>
      <c r="O37" s="178"/>
    </row>
    <row r="38" spans="1:15">
      <c r="A38" s="335"/>
      <c r="B38" s="326"/>
      <c r="C38" s="331"/>
      <c r="D38" s="328"/>
      <c r="E38" s="329"/>
      <c r="F38" s="327"/>
      <c r="G38" s="321"/>
      <c r="H38" s="328"/>
      <c r="I38" s="330"/>
      <c r="J38" s="324">
        <f t="shared" si="0"/>
        <v>0</v>
      </c>
      <c r="O38" s="178"/>
    </row>
    <row r="39" spans="1:15">
      <c r="A39" s="335"/>
      <c r="B39" s="326"/>
      <c r="C39" s="331"/>
      <c r="D39" s="328"/>
      <c r="E39" s="329"/>
      <c r="F39" s="327"/>
      <c r="G39" s="321"/>
      <c r="H39" s="328"/>
      <c r="I39" s="330"/>
      <c r="J39" s="324">
        <f t="shared" si="0"/>
        <v>0</v>
      </c>
      <c r="O39" s="178"/>
    </row>
    <row r="40" spans="1:15">
      <c r="A40" s="325"/>
      <c r="B40" s="326"/>
      <c r="C40" s="331"/>
      <c r="D40" s="328"/>
      <c r="E40" s="329"/>
      <c r="F40" s="327"/>
      <c r="G40" s="321"/>
      <c r="H40" s="328"/>
      <c r="I40" s="330"/>
      <c r="J40" s="324">
        <f t="shared" si="0"/>
        <v>0</v>
      </c>
      <c r="O40" s="178"/>
    </row>
    <row r="41" spans="1:15">
      <c r="A41" s="336"/>
      <c r="B41" s="337"/>
      <c r="C41" s="338"/>
      <c r="D41" s="339"/>
      <c r="E41" s="340"/>
      <c r="F41" s="341"/>
      <c r="G41" s="342"/>
      <c r="H41" s="339"/>
      <c r="I41" s="330"/>
      <c r="J41" s="324">
        <f t="shared" si="0"/>
        <v>0</v>
      </c>
      <c r="O41" s="178"/>
    </row>
    <row r="42" spans="1:15">
      <c r="A42" s="336"/>
      <c r="B42" s="337"/>
      <c r="C42" s="338"/>
      <c r="D42" s="339"/>
      <c r="E42" s="340"/>
      <c r="F42" s="341"/>
      <c r="G42" s="342"/>
      <c r="H42" s="339"/>
      <c r="I42" s="343"/>
      <c r="J42" s="324">
        <f t="shared" si="0"/>
        <v>0</v>
      </c>
      <c r="O42" s="178"/>
    </row>
    <row r="43" spans="1:15">
      <c r="A43" s="344"/>
      <c r="B43" s="345" t="s">
        <v>152</v>
      </c>
      <c r="C43" s="346">
        <f>SUM(C3:C42)</f>
        <v>0</v>
      </c>
      <c r="D43" s="347"/>
      <c r="E43" s="348"/>
      <c r="F43" s="349"/>
      <c r="G43" s="346">
        <f>SUM(G3:G42)</f>
        <v>0</v>
      </c>
      <c r="H43" s="347"/>
      <c r="I43" s="350">
        <f>SUM(I3:I42)</f>
        <v>0</v>
      </c>
      <c r="J43" s="351">
        <f>SUM(J3:J42)</f>
        <v>0</v>
      </c>
    </row>
  </sheetData>
  <sheetProtection algorithmName="SHA-512" hashValue="GJrfja5X2CC/XFd1xdu2KN1U6f0UwfScVuW3V2EAg5cvBcaNKj0K8dIy23HqvNW8182/YJODS3wfdkCMx3trnw==" saltValue="rlViecNd/TJZ+R/wmgOE3Q==" spinCount="100000" sheet="1" objects="1" scenarios="1"/>
  <mergeCells count="1">
    <mergeCell ref="A1:J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2:K36"/>
  <sheetViews>
    <sheetView showGridLines="0" zoomScaleNormal="100" workbookViewId="0">
      <selection activeCell="H24" sqref="H24"/>
    </sheetView>
  </sheetViews>
  <sheetFormatPr defaultColWidth="8.7109375" defaultRowHeight="15"/>
  <cols>
    <col min="1" max="1" width="6.28515625" style="133" customWidth="1"/>
    <col min="2" max="2" width="8.7109375" style="133" customWidth="1"/>
    <col min="3" max="3" width="28" style="133" customWidth="1"/>
    <col min="4" max="5" width="8.7109375" style="133" customWidth="1"/>
    <col min="6" max="6" width="10.42578125" style="133" customWidth="1"/>
    <col min="7" max="7" width="11.5703125" style="133" customWidth="1"/>
    <col min="8" max="8" width="8.7109375" style="133" customWidth="1"/>
    <col min="9" max="9" width="9.85546875" style="133" customWidth="1"/>
    <col min="10" max="10" width="16.5703125" style="133" customWidth="1"/>
    <col min="11" max="11" width="8.7109375" style="133" customWidth="1"/>
    <col min="12" max="16384" width="8.7109375" style="133"/>
  </cols>
  <sheetData>
    <row r="2" spans="2:11">
      <c r="J2" s="352"/>
    </row>
    <row r="3" spans="2:11" ht="15.75" customHeight="1">
      <c r="B3" s="419" t="s">
        <v>170</v>
      </c>
      <c r="C3" s="420"/>
      <c r="D3" s="420"/>
      <c r="E3" s="420"/>
      <c r="F3" s="420"/>
      <c r="G3" s="420"/>
      <c r="H3" s="420"/>
      <c r="I3" s="420"/>
      <c r="J3" s="421"/>
    </row>
    <row r="4" spans="2:11" ht="45.75" customHeight="1">
      <c r="B4" s="353" t="s">
        <v>154</v>
      </c>
      <c r="C4" s="354" t="s">
        <v>171</v>
      </c>
      <c r="D4" s="354" t="s">
        <v>172</v>
      </c>
      <c r="E4" s="354" t="s">
        <v>173</v>
      </c>
      <c r="F4" s="354" t="s">
        <v>174</v>
      </c>
      <c r="G4" s="355" t="s">
        <v>175</v>
      </c>
      <c r="H4" s="354" t="s">
        <v>176</v>
      </c>
      <c r="I4" s="354" t="s">
        <v>177</v>
      </c>
      <c r="J4" s="356" t="s">
        <v>178</v>
      </c>
      <c r="K4" s="357" t="s">
        <v>126</v>
      </c>
    </row>
    <row r="5" spans="2:11">
      <c r="B5" s="358">
        <v>1</v>
      </c>
      <c r="C5" s="359" t="s">
        <v>179</v>
      </c>
      <c r="D5" s="360">
        <v>4</v>
      </c>
      <c r="E5" s="360"/>
      <c r="F5" s="360"/>
      <c r="G5" s="361">
        <f>E5+F5-H5</f>
        <v>0</v>
      </c>
      <c r="H5" s="360"/>
      <c r="I5" s="362"/>
      <c r="J5" s="363">
        <f>G5*I5</f>
        <v>0</v>
      </c>
    </row>
    <row r="6" spans="2:11">
      <c r="B6" s="358">
        <v>2</v>
      </c>
      <c r="C6" s="359" t="s">
        <v>180</v>
      </c>
      <c r="D6" s="360">
        <v>4</v>
      </c>
      <c r="E6" s="360"/>
      <c r="F6" s="360"/>
      <c r="G6" s="361">
        <f t="shared" ref="G6:G29" si="0">E6+F6-H6</f>
        <v>0</v>
      </c>
      <c r="H6" s="360"/>
      <c r="I6" s="362"/>
      <c r="J6" s="363">
        <f>G6*I6</f>
        <v>0</v>
      </c>
    </row>
    <row r="7" spans="2:11">
      <c r="B7" s="358">
        <v>3</v>
      </c>
      <c r="C7" s="359" t="s">
        <v>180</v>
      </c>
      <c r="D7" s="360">
        <v>25</v>
      </c>
      <c r="E7" s="360"/>
      <c r="F7" s="360"/>
      <c r="G7" s="361">
        <f t="shared" si="0"/>
        <v>0</v>
      </c>
      <c r="H7" s="360"/>
      <c r="I7" s="362"/>
      <c r="J7" s="363">
        <f t="shared" ref="J7:J25" si="1">G7*I7</f>
        <v>0</v>
      </c>
    </row>
    <row r="8" spans="2:11">
      <c r="B8" s="358">
        <v>4</v>
      </c>
      <c r="C8" s="359" t="s">
        <v>181</v>
      </c>
      <c r="D8" s="360">
        <v>4</v>
      </c>
      <c r="E8" s="360"/>
      <c r="F8" s="360"/>
      <c r="G8" s="361">
        <f t="shared" si="0"/>
        <v>0</v>
      </c>
      <c r="H8" s="360"/>
      <c r="I8" s="362"/>
      <c r="J8" s="363">
        <f t="shared" si="1"/>
        <v>0</v>
      </c>
    </row>
    <row r="9" spans="2:11">
      <c r="B9" s="358">
        <v>5</v>
      </c>
      <c r="C9" s="359" t="s">
        <v>182</v>
      </c>
      <c r="D9" s="360">
        <v>0.35</v>
      </c>
      <c r="E9" s="360">
        <v>0</v>
      </c>
      <c r="F9" s="360"/>
      <c r="G9" s="361">
        <f t="shared" si="0"/>
        <v>0</v>
      </c>
      <c r="H9" s="360">
        <v>0</v>
      </c>
      <c r="I9" s="362">
        <v>0</v>
      </c>
      <c r="J9" s="363">
        <f t="shared" si="1"/>
        <v>0</v>
      </c>
    </row>
    <row r="10" spans="2:11">
      <c r="B10" s="358">
        <v>6</v>
      </c>
      <c r="C10" s="359" t="s">
        <v>183</v>
      </c>
      <c r="D10" s="360">
        <v>1</v>
      </c>
      <c r="E10" s="360"/>
      <c r="F10" s="360"/>
      <c r="G10" s="361">
        <f t="shared" si="0"/>
        <v>0</v>
      </c>
      <c r="H10" s="360"/>
      <c r="I10" s="362"/>
      <c r="J10" s="363">
        <f t="shared" si="1"/>
        <v>0</v>
      </c>
    </row>
    <row r="11" spans="2:11">
      <c r="B11" s="358">
        <v>7</v>
      </c>
      <c r="C11" s="359" t="s">
        <v>183</v>
      </c>
      <c r="D11" s="360">
        <v>4</v>
      </c>
      <c r="E11" s="360"/>
      <c r="F11" s="360"/>
      <c r="G11" s="361">
        <f t="shared" si="0"/>
        <v>0</v>
      </c>
      <c r="H11" s="360"/>
      <c r="I11" s="362"/>
      <c r="J11" s="363">
        <f t="shared" si="1"/>
        <v>0</v>
      </c>
    </row>
    <row r="12" spans="2:11">
      <c r="B12" s="358">
        <v>8</v>
      </c>
      <c r="C12" s="359" t="s">
        <v>184</v>
      </c>
      <c r="D12" s="360">
        <v>5</v>
      </c>
      <c r="E12" s="360">
        <v>0</v>
      </c>
      <c r="F12" s="360"/>
      <c r="G12" s="361">
        <f t="shared" si="0"/>
        <v>0</v>
      </c>
      <c r="H12" s="360">
        <v>0</v>
      </c>
      <c r="I12" s="362">
        <v>0</v>
      </c>
      <c r="J12" s="363">
        <f t="shared" si="1"/>
        <v>0</v>
      </c>
    </row>
    <row r="13" spans="2:11">
      <c r="B13" s="358">
        <v>9</v>
      </c>
      <c r="C13" s="359" t="s">
        <v>179</v>
      </c>
      <c r="D13" s="360">
        <v>1</v>
      </c>
      <c r="E13" s="360"/>
      <c r="F13" s="360"/>
      <c r="G13" s="361">
        <f t="shared" si="0"/>
        <v>0</v>
      </c>
      <c r="H13" s="360"/>
      <c r="I13" s="362"/>
      <c r="J13" s="363">
        <f t="shared" si="1"/>
        <v>0</v>
      </c>
    </row>
    <row r="14" spans="2:11">
      <c r="B14" s="358">
        <v>10</v>
      </c>
      <c r="C14" s="359" t="s">
        <v>185</v>
      </c>
      <c r="D14" s="360">
        <v>5</v>
      </c>
      <c r="E14" s="360">
        <v>0</v>
      </c>
      <c r="F14" s="360"/>
      <c r="G14" s="361">
        <f t="shared" si="0"/>
        <v>0</v>
      </c>
      <c r="H14" s="360">
        <v>0</v>
      </c>
      <c r="I14" s="362">
        <v>0</v>
      </c>
      <c r="J14" s="363">
        <f t="shared" si="1"/>
        <v>0</v>
      </c>
    </row>
    <row r="15" spans="2:11">
      <c r="B15" s="358">
        <v>11</v>
      </c>
      <c r="C15" s="359" t="s">
        <v>186</v>
      </c>
      <c r="D15" s="360">
        <v>0.2</v>
      </c>
      <c r="E15" s="360"/>
      <c r="F15" s="360"/>
      <c r="G15" s="361">
        <f t="shared" si="0"/>
        <v>0</v>
      </c>
      <c r="H15" s="360"/>
      <c r="I15" s="362"/>
      <c r="J15" s="363">
        <f t="shared" si="1"/>
        <v>0</v>
      </c>
    </row>
    <row r="16" spans="2:11">
      <c r="B16" s="358">
        <v>12</v>
      </c>
      <c r="C16" s="359" t="s">
        <v>186</v>
      </c>
      <c r="D16" s="360">
        <v>0.5</v>
      </c>
      <c r="E16" s="360"/>
      <c r="F16" s="360"/>
      <c r="G16" s="361">
        <f t="shared" si="0"/>
        <v>0</v>
      </c>
      <c r="H16" s="360"/>
      <c r="I16" s="362"/>
      <c r="J16" s="363">
        <f t="shared" si="1"/>
        <v>0</v>
      </c>
    </row>
    <row r="17" spans="2:11">
      <c r="B17" s="358">
        <v>13</v>
      </c>
      <c r="C17" s="359" t="s">
        <v>187</v>
      </c>
      <c r="D17" s="360">
        <v>1</v>
      </c>
      <c r="E17" s="360"/>
      <c r="F17" s="360"/>
      <c r="G17" s="361">
        <f t="shared" si="0"/>
        <v>0</v>
      </c>
      <c r="H17" s="360"/>
      <c r="I17" s="362"/>
      <c r="J17" s="363">
        <f t="shared" si="1"/>
        <v>0</v>
      </c>
    </row>
    <row r="18" spans="2:11">
      <c r="B18" s="358">
        <v>14</v>
      </c>
      <c r="C18" s="359" t="s">
        <v>187</v>
      </c>
      <c r="D18" s="360">
        <v>4</v>
      </c>
      <c r="E18" s="360"/>
      <c r="F18" s="360"/>
      <c r="G18" s="361">
        <f t="shared" si="0"/>
        <v>0</v>
      </c>
      <c r="H18" s="360"/>
      <c r="I18" s="362"/>
      <c r="J18" s="363">
        <f t="shared" si="1"/>
        <v>0</v>
      </c>
    </row>
    <row r="19" spans="2:11">
      <c r="B19" s="358">
        <v>15</v>
      </c>
      <c r="C19" s="359" t="s">
        <v>188</v>
      </c>
      <c r="D19" s="360">
        <v>1</v>
      </c>
      <c r="E19" s="360">
        <v>0</v>
      </c>
      <c r="F19" s="360"/>
      <c r="G19" s="361">
        <f t="shared" si="0"/>
        <v>0</v>
      </c>
      <c r="H19" s="360">
        <v>0</v>
      </c>
      <c r="I19" s="362">
        <v>0</v>
      </c>
      <c r="J19" s="363">
        <f t="shared" si="1"/>
        <v>0</v>
      </c>
    </row>
    <row r="20" spans="2:11">
      <c r="B20" s="358">
        <v>16</v>
      </c>
      <c r="C20" s="359" t="s">
        <v>189</v>
      </c>
      <c r="D20" s="360">
        <v>4</v>
      </c>
      <c r="E20" s="360">
        <v>0</v>
      </c>
      <c r="F20" s="360"/>
      <c r="G20" s="361">
        <f t="shared" si="0"/>
        <v>0</v>
      </c>
      <c r="H20" s="360">
        <v>0</v>
      </c>
      <c r="I20" s="362">
        <v>0</v>
      </c>
      <c r="J20" s="363">
        <f t="shared" si="1"/>
        <v>0</v>
      </c>
    </row>
    <row r="21" spans="2:11">
      <c r="B21" s="358">
        <v>17</v>
      </c>
      <c r="C21" s="359" t="s">
        <v>190</v>
      </c>
      <c r="D21" s="360">
        <v>1</v>
      </c>
      <c r="E21" s="360">
        <v>0</v>
      </c>
      <c r="F21" s="360"/>
      <c r="G21" s="361">
        <f t="shared" si="0"/>
        <v>0</v>
      </c>
      <c r="H21" s="360">
        <v>0</v>
      </c>
      <c r="I21" s="360">
        <v>0</v>
      </c>
      <c r="J21" s="363">
        <f t="shared" si="1"/>
        <v>0</v>
      </c>
    </row>
    <row r="22" spans="2:11">
      <c r="B22" s="358">
        <v>18</v>
      </c>
      <c r="C22" s="359" t="s">
        <v>191</v>
      </c>
      <c r="D22" s="360">
        <v>4</v>
      </c>
      <c r="E22" s="360"/>
      <c r="F22" s="360"/>
      <c r="G22" s="361">
        <f t="shared" si="0"/>
        <v>0</v>
      </c>
      <c r="H22" s="360"/>
      <c r="I22" s="362"/>
      <c r="J22" s="363">
        <f t="shared" si="1"/>
        <v>0</v>
      </c>
    </row>
    <row r="23" spans="2:11">
      <c r="B23" s="358">
        <v>19</v>
      </c>
      <c r="C23" s="359" t="s">
        <v>191</v>
      </c>
      <c r="D23" s="360">
        <v>5</v>
      </c>
      <c r="E23" s="360"/>
      <c r="F23" s="360"/>
      <c r="G23" s="361">
        <f t="shared" si="0"/>
        <v>0</v>
      </c>
      <c r="H23" s="360"/>
      <c r="I23" s="362"/>
      <c r="J23" s="363">
        <f t="shared" si="1"/>
        <v>0</v>
      </c>
    </row>
    <row r="24" spans="2:11">
      <c r="B24" s="358">
        <v>20</v>
      </c>
      <c r="C24" s="359" t="s">
        <v>192</v>
      </c>
      <c r="D24" s="360">
        <v>1</v>
      </c>
      <c r="E24" s="360">
        <v>0</v>
      </c>
      <c r="F24" s="360"/>
      <c r="G24" s="361">
        <f t="shared" si="0"/>
        <v>0</v>
      </c>
      <c r="H24" s="360">
        <v>0</v>
      </c>
      <c r="I24" s="360">
        <v>0</v>
      </c>
      <c r="J24" s="363">
        <f t="shared" si="1"/>
        <v>0</v>
      </c>
    </row>
    <row r="25" spans="2:11">
      <c r="B25" s="358">
        <v>21</v>
      </c>
      <c r="C25" s="359" t="s">
        <v>193</v>
      </c>
      <c r="D25" s="360">
        <v>1</v>
      </c>
      <c r="E25" s="360">
        <v>0</v>
      </c>
      <c r="F25" s="360"/>
      <c r="G25" s="361">
        <f t="shared" si="0"/>
        <v>0</v>
      </c>
      <c r="H25" s="360">
        <v>0</v>
      </c>
      <c r="I25" s="362">
        <v>0</v>
      </c>
      <c r="J25" s="363">
        <f t="shared" si="1"/>
        <v>0</v>
      </c>
    </row>
    <row r="26" spans="2:11">
      <c r="B26" s="358"/>
      <c r="C26" s="359"/>
      <c r="D26" s="360"/>
      <c r="E26" s="360"/>
      <c r="F26" s="360"/>
      <c r="G26" s="361">
        <f t="shared" si="0"/>
        <v>0</v>
      </c>
      <c r="H26" s="360"/>
      <c r="I26" s="362"/>
      <c r="J26" s="363"/>
    </row>
    <row r="27" spans="2:11">
      <c r="B27" s="358"/>
      <c r="C27" s="359"/>
      <c r="D27" s="360"/>
      <c r="E27" s="360"/>
      <c r="F27" s="360"/>
      <c r="G27" s="361">
        <f t="shared" si="0"/>
        <v>0</v>
      </c>
      <c r="H27" s="360"/>
      <c r="I27" s="362"/>
      <c r="J27" s="363"/>
    </row>
    <row r="28" spans="2:11">
      <c r="B28" s="358"/>
      <c r="C28" s="360"/>
      <c r="D28" s="360"/>
      <c r="E28" s="360"/>
      <c r="F28" s="360"/>
      <c r="G28" s="361">
        <f t="shared" si="0"/>
        <v>0</v>
      </c>
      <c r="H28" s="360"/>
      <c r="I28" s="360"/>
      <c r="J28" s="363"/>
    </row>
    <row r="29" spans="2:11">
      <c r="B29" s="364"/>
      <c r="C29" s="365"/>
      <c r="D29" s="365"/>
      <c r="E29" s="365"/>
      <c r="F29" s="365"/>
      <c r="G29" s="361">
        <f t="shared" si="0"/>
        <v>0</v>
      </c>
      <c r="H29" s="365"/>
      <c r="I29" s="365"/>
      <c r="J29" s="363"/>
    </row>
    <row r="30" spans="2:11" ht="15.75" customHeight="1">
      <c r="B30" s="366"/>
      <c r="C30" s="367"/>
      <c r="D30" s="367"/>
      <c r="E30" s="367">
        <f>SUM(E5:E29)</f>
        <v>0</v>
      </c>
      <c r="F30" s="367">
        <f>SUM(F5:F29)</f>
        <v>0</v>
      </c>
      <c r="G30" s="368">
        <f>SUM(G5:G29)</f>
        <v>0</v>
      </c>
      <c r="H30" s="369">
        <f>SUM(H5:H29)</f>
        <v>0</v>
      </c>
      <c r="I30" s="370" t="s">
        <v>152</v>
      </c>
      <c r="J30" s="371">
        <f>SUM(J5:J29)</f>
        <v>0</v>
      </c>
    </row>
    <row r="31" spans="2:11">
      <c r="I31" s="372" t="s">
        <v>194</v>
      </c>
      <c r="J31" s="373"/>
      <c r="K31" s="374"/>
    </row>
    <row r="32" spans="2:11">
      <c r="I32" s="372" t="s">
        <v>194</v>
      </c>
      <c r="J32" s="373"/>
      <c r="K32" s="374"/>
    </row>
    <row r="33" spans="7:11">
      <c r="I33" s="372" t="s">
        <v>194</v>
      </c>
      <c r="J33" s="373"/>
      <c r="K33" s="374"/>
    </row>
    <row r="34" spans="7:11">
      <c r="I34" s="372" t="s">
        <v>194</v>
      </c>
      <c r="J34" s="373"/>
      <c r="K34" s="374"/>
    </row>
    <row r="35" spans="7:11">
      <c r="I35" s="372" t="s">
        <v>194</v>
      </c>
      <c r="J35" s="373"/>
      <c r="K35" s="374"/>
    </row>
    <row r="36" spans="7:11" ht="18.75" customHeight="1">
      <c r="G36" s="375"/>
      <c r="I36" s="376"/>
      <c r="J36" s="377">
        <f>J30-SUM(J31:J35)</f>
        <v>0</v>
      </c>
    </row>
  </sheetData>
  <sheetProtection algorithmName="SHA-512" hashValue="8d28WzxBPCIpmlVSTFbRTQWAuyEu7WBusGNdorr0zTL3k1KspTboSK5IdKPqK8EvtlBiZJy29JVH6sKTXfIzQQ==" saltValue="MPHo++Ar7W4ygcf74Bc5sg==" spinCount="100000" sheet="1" objects="1" scenarios="1"/>
  <mergeCells count="1">
    <mergeCell ref="B3:J3"/>
  </mergeCells>
  <pageMargins left="0.7" right="0.7" top="0.75" bottom="0.75" header="0.3" footer="0.3"/>
  <pageSetup orientation="portrait" useFirstPageNumber="1"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V108"/>
  <sheetViews>
    <sheetView view="pageBreakPreview" zoomScale="89" zoomScaleNormal="100" workbookViewId="0">
      <pane xSplit="2" ySplit="8" topLeftCell="G9" activePane="bottomRight" state="frozen"/>
      <selection pane="topRight"/>
      <selection pane="bottomLeft"/>
      <selection pane="bottomRight" activeCell="I23" sqref="I23"/>
    </sheetView>
  </sheetViews>
  <sheetFormatPr defaultColWidth="9" defaultRowHeight="15"/>
  <cols>
    <col min="1" max="1" width="6.7109375" customWidth="1"/>
    <col min="2" max="2" width="14.28515625" customWidth="1"/>
    <col min="3" max="3" width="17.42578125" customWidth="1"/>
    <col min="4" max="4" width="4.28515625" customWidth="1"/>
    <col min="5" max="5" width="14.5703125" customWidth="1"/>
    <col min="6" max="6" width="3.28515625" customWidth="1"/>
    <col min="7" max="7" width="14.28515625" customWidth="1"/>
    <col min="8" max="8" width="3" customWidth="1"/>
    <col min="9" max="9" width="15.28515625" customWidth="1"/>
    <col min="10" max="11" width="13.42578125" customWidth="1"/>
    <col min="12" max="13" width="14.7109375" customWidth="1"/>
    <col min="14" max="14" width="16.7109375" customWidth="1"/>
    <col min="15" max="15" width="17.7109375" customWidth="1"/>
    <col min="16" max="16" width="14.28515625" customWidth="1"/>
    <col min="17" max="17" width="16.7109375" customWidth="1"/>
    <col min="18" max="18" width="12.28515625" customWidth="1"/>
    <col min="19" max="19" width="24.42578125" customWidth="1"/>
    <col min="20" max="20" width="22.28515625" customWidth="1"/>
    <col min="21" max="21" width="10.28515625" customWidth="1"/>
    <col min="22" max="22" width="19.7109375" customWidth="1"/>
  </cols>
  <sheetData>
    <row r="2" spans="2:22">
      <c r="B2" s="134" t="s">
        <v>105</v>
      </c>
      <c r="C2" s="135"/>
      <c r="D2" s="135"/>
      <c r="E2" s="135"/>
      <c r="F2" s="135"/>
      <c r="G2" s="135"/>
      <c r="H2" s="135"/>
      <c r="I2" s="135"/>
      <c r="J2" s="135"/>
      <c r="K2" s="135"/>
      <c r="L2" s="135"/>
      <c r="M2" s="135"/>
      <c r="N2" s="135"/>
      <c r="O2" s="135"/>
      <c r="P2" s="135"/>
      <c r="Q2" s="135"/>
      <c r="R2" s="135"/>
      <c r="S2" s="135"/>
      <c r="T2" s="135"/>
      <c r="U2" s="135"/>
      <c r="V2" s="179"/>
    </row>
    <row r="3" spans="2:22">
      <c r="B3" s="134" t="s">
        <v>195</v>
      </c>
      <c r="C3" s="135"/>
      <c r="D3" s="135"/>
      <c r="E3" s="135"/>
      <c r="F3" s="135"/>
      <c r="G3" s="135"/>
      <c r="H3" s="135"/>
      <c r="I3" s="135"/>
      <c r="J3" s="135"/>
      <c r="K3" s="135"/>
      <c r="L3" s="135"/>
      <c r="M3" s="135"/>
      <c r="N3" s="135"/>
      <c r="O3" s="135"/>
      <c r="P3" s="135"/>
      <c r="Q3" s="135"/>
      <c r="R3" s="135"/>
      <c r="S3" s="136">
        <v>502405</v>
      </c>
      <c r="T3" s="135"/>
      <c r="U3" s="135"/>
      <c r="V3" s="179"/>
    </row>
    <row r="4" spans="2:22" ht="14.25" customHeight="1">
      <c r="B4" s="134" t="s">
        <v>106</v>
      </c>
      <c r="C4" s="135"/>
      <c r="D4" s="135"/>
      <c r="E4" s="135"/>
      <c r="F4" s="135"/>
      <c r="G4" s="135"/>
      <c r="H4" s="135"/>
      <c r="I4" s="135"/>
      <c r="J4" s="135"/>
      <c r="K4" s="135"/>
      <c r="L4" s="135"/>
      <c r="M4" s="135"/>
      <c r="N4" s="135"/>
      <c r="O4" s="135"/>
      <c r="P4" s="135"/>
      <c r="Q4" s="135"/>
      <c r="R4" s="135"/>
      <c r="S4" s="135"/>
      <c r="T4" s="135"/>
      <c r="U4" s="135"/>
      <c r="V4" s="179"/>
    </row>
    <row r="5" spans="2:22">
      <c r="B5" s="134"/>
      <c r="C5" s="134"/>
      <c r="D5" s="134"/>
      <c r="E5" s="134"/>
      <c r="F5" s="134"/>
      <c r="G5" s="134"/>
      <c r="H5" s="134"/>
      <c r="I5" s="134"/>
      <c r="J5" s="134"/>
      <c r="K5" s="134"/>
      <c r="L5" s="134"/>
      <c r="M5" s="134"/>
      <c r="N5" s="134"/>
      <c r="O5" s="134"/>
      <c r="P5" s="134"/>
      <c r="Q5" s="134"/>
      <c r="R5" s="134"/>
      <c r="S5" s="134"/>
      <c r="T5" s="135"/>
      <c r="U5" s="135"/>
      <c r="V5" s="179"/>
    </row>
    <row r="6" spans="2:22">
      <c r="B6" s="134"/>
      <c r="C6" s="134"/>
      <c r="D6" s="134"/>
      <c r="E6" s="134"/>
      <c r="F6" s="134"/>
      <c r="G6" s="134"/>
      <c r="H6" s="134"/>
      <c r="I6" s="134"/>
      <c r="J6" s="134"/>
      <c r="K6" s="134"/>
      <c r="L6" s="134"/>
      <c r="M6" s="134"/>
      <c r="N6" s="134"/>
      <c r="O6" s="134"/>
      <c r="P6" s="134"/>
      <c r="Q6" s="137"/>
      <c r="R6" s="134"/>
      <c r="S6" s="134"/>
      <c r="T6" s="135"/>
      <c r="U6" s="135"/>
      <c r="V6" s="179"/>
    </row>
    <row r="7" spans="2:22">
      <c r="B7" s="138" t="s">
        <v>109</v>
      </c>
      <c r="C7" s="139" t="s">
        <v>110</v>
      </c>
      <c r="D7" s="139"/>
      <c r="E7" s="139" t="s">
        <v>111</v>
      </c>
      <c r="F7" s="139"/>
      <c r="G7" s="139" t="s">
        <v>112</v>
      </c>
      <c r="H7" s="140"/>
      <c r="I7" s="404" t="s">
        <v>113</v>
      </c>
      <c r="J7" s="404"/>
      <c r="K7" s="404"/>
      <c r="L7" s="404"/>
      <c r="M7" s="404"/>
      <c r="N7" s="404"/>
      <c r="O7" s="404"/>
      <c r="P7" s="405"/>
      <c r="Q7" s="142" t="s">
        <v>114</v>
      </c>
      <c r="R7" s="143" t="s">
        <v>115</v>
      </c>
      <c r="S7" s="144" t="s">
        <v>116</v>
      </c>
      <c r="T7" s="142" t="s">
        <v>117</v>
      </c>
      <c r="U7" s="142" t="s">
        <v>196</v>
      </c>
      <c r="V7" s="142" t="s">
        <v>119</v>
      </c>
    </row>
    <row r="8" spans="2:22">
      <c r="B8" s="145"/>
      <c r="C8" s="146"/>
      <c r="D8" s="146"/>
      <c r="E8" s="146"/>
      <c r="F8" s="146"/>
      <c r="G8" s="146"/>
      <c r="H8" s="146"/>
      <c r="I8" s="146" t="s">
        <v>197</v>
      </c>
      <c r="J8" s="146" t="s">
        <v>198</v>
      </c>
      <c r="K8" s="146" t="s">
        <v>199</v>
      </c>
      <c r="L8" s="146" t="s">
        <v>200</v>
      </c>
      <c r="M8" s="146" t="s">
        <v>201</v>
      </c>
      <c r="N8" s="146" t="s">
        <v>202</v>
      </c>
      <c r="O8" s="146" t="s">
        <v>203</v>
      </c>
      <c r="P8" s="146" t="s">
        <v>204</v>
      </c>
      <c r="Q8" s="146" t="s">
        <v>123</v>
      </c>
      <c r="R8" s="146"/>
      <c r="S8" s="146"/>
      <c r="T8" s="146"/>
      <c r="U8" s="146"/>
      <c r="V8" s="147"/>
    </row>
    <row r="9" spans="2:22">
      <c r="B9" s="145"/>
      <c r="C9" s="146"/>
      <c r="D9" s="146"/>
      <c r="E9" s="146"/>
      <c r="F9" s="146"/>
      <c r="G9" s="146"/>
      <c r="H9" s="146"/>
      <c r="I9" s="146"/>
      <c r="J9" s="146"/>
      <c r="K9" s="146"/>
      <c r="L9" s="146"/>
      <c r="M9" s="146"/>
      <c r="N9" s="146"/>
      <c r="O9" s="146"/>
      <c r="P9" s="146"/>
      <c r="Q9" s="148"/>
      <c r="R9" s="146"/>
      <c r="S9" s="146"/>
      <c r="T9" s="146"/>
      <c r="U9" s="146"/>
      <c r="V9" s="147"/>
    </row>
    <row r="10" spans="2:22">
      <c r="B10" s="149">
        <v>43106</v>
      </c>
      <c r="C10" s="150">
        <f t="shared" ref="C10:C41" si="0">E10+G10+Q10</f>
        <v>1961845</v>
      </c>
      <c r="D10" s="151"/>
      <c r="E10" s="152">
        <v>1459440</v>
      </c>
      <c r="F10" s="151"/>
      <c r="G10" s="153">
        <v>0</v>
      </c>
      <c r="H10" s="151"/>
      <c r="I10" s="153">
        <v>0</v>
      </c>
      <c r="J10" s="153">
        <v>0</v>
      </c>
      <c r="K10" s="153">
        <v>0</v>
      </c>
      <c r="L10" s="153">
        <v>0</v>
      </c>
      <c r="M10" s="153">
        <v>0</v>
      </c>
      <c r="N10" s="153">
        <v>0</v>
      </c>
      <c r="O10" s="153">
        <v>0</v>
      </c>
      <c r="P10" s="153">
        <v>0</v>
      </c>
      <c r="Q10" s="378">
        <v>502405</v>
      </c>
      <c r="R10" s="152">
        <v>30000</v>
      </c>
      <c r="S10" s="155">
        <f t="shared" ref="S10:S41" si="1">E10-R10</f>
        <v>1429440</v>
      </c>
      <c r="T10" s="156">
        <v>307490</v>
      </c>
      <c r="U10" s="379">
        <v>5038530</v>
      </c>
      <c r="V10" s="157">
        <v>43106</v>
      </c>
    </row>
    <row r="11" spans="2:22">
      <c r="B11" s="158"/>
      <c r="C11" s="380">
        <f t="shared" si="0"/>
        <v>0</v>
      </c>
      <c r="D11" s="159"/>
      <c r="E11" s="160"/>
      <c r="F11" s="159"/>
      <c r="G11" s="159"/>
      <c r="H11" s="159"/>
      <c r="I11" s="161"/>
      <c r="J11" s="161"/>
      <c r="K11" s="161"/>
      <c r="L11" s="161"/>
      <c r="M11" s="161"/>
      <c r="N11" s="161"/>
      <c r="O11" s="161"/>
      <c r="P11" s="161"/>
      <c r="Q11" s="381"/>
      <c r="R11" s="160"/>
      <c r="S11" s="382">
        <f t="shared" si="1"/>
        <v>0</v>
      </c>
      <c r="T11" s="160">
        <v>524300</v>
      </c>
      <c r="U11" s="163">
        <v>5038529</v>
      </c>
      <c r="V11" s="162">
        <v>43106</v>
      </c>
    </row>
    <row r="12" spans="2:22">
      <c r="B12" s="158"/>
      <c r="C12" s="380">
        <f t="shared" si="0"/>
        <v>0</v>
      </c>
      <c r="D12" s="159"/>
      <c r="E12" s="160"/>
      <c r="F12" s="159"/>
      <c r="G12" s="159"/>
      <c r="H12" s="159"/>
      <c r="I12" s="161"/>
      <c r="J12" s="161"/>
      <c r="K12" s="161"/>
      <c r="L12" s="161"/>
      <c r="M12" s="161"/>
      <c r="N12" s="161"/>
      <c r="O12" s="161"/>
      <c r="P12" s="161"/>
      <c r="Q12" s="383"/>
      <c r="R12" s="160"/>
      <c r="S12" s="382">
        <f t="shared" si="1"/>
        <v>0</v>
      </c>
      <c r="T12" s="160">
        <v>597650</v>
      </c>
      <c r="U12" s="163">
        <v>5038532</v>
      </c>
      <c r="V12" s="162">
        <v>43196</v>
      </c>
    </row>
    <row r="13" spans="2:22">
      <c r="B13" s="158"/>
      <c r="C13" s="380">
        <f t="shared" si="0"/>
        <v>0</v>
      </c>
      <c r="D13" s="159"/>
      <c r="E13" s="160"/>
      <c r="F13" s="159"/>
      <c r="G13" s="159"/>
      <c r="H13" s="159"/>
      <c r="I13" s="161"/>
      <c r="J13" s="161"/>
      <c r="K13" s="161"/>
      <c r="L13" s="161"/>
      <c r="M13" s="161"/>
      <c r="N13" s="161"/>
      <c r="O13" s="161"/>
      <c r="P13" s="161"/>
      <c r="Q13" s="381"/>
      <c r="R13" s="160"/>
      <c r="S13" s="382">
        <f t="shared" si="1"/>
        <v>0</v>
      </c>
      <c r="T13" s="160"/>
      <c r="U13" s="163"/>
      <c r="V13" s="162"/>
    </row>
    <row r="14" spans="2:22">
      <c r="B14" s="158">
        <v>43137</v>
      </c>
      <c r="C14" s="380">
        <f t="shared" si="0"/>
        <v>2067145</v>
      </c>
      <c r="D14" s="159"/>
      <c r="E14" s="160">
        <v>1202620</v>
      </c>
      <c r="F14" s="159"/>
      <c r="G14" s="160">
        <v>0</v>
      </c>
      <c r="H14" s="159"/>
      <c r="I14" s="153">
        <v>0</v>
      </c>
      <c r="J14" s="153">
        <v>0</v>
      </c>
      <c r="K14" s="153">
        <v>0</v>
      </c>
      <c r="L14" s="153">
        <v>0</v>
      </c>
      <c r="M14" s="153">
        <v>0</v>
      </c>
      <c r="N14" s="153">
        <v>0</v>
      </c>
      <c r="O14" s="153">
        <v>0</v>
      </c>
      <c r="P14" s="153">
        <v>0</v>
      </c>
      <c r="Q14" s="378">
        <v>864525</v>
      </c>
      <c r="R14" s="160"/>
      <c r="S14" s="382">
        <f t="shared" si="1"/>
        <v>1202620</v>
      </c>
      <c r="T14" s="160">
        <v>1202620</v>
      </c>
      <c r="U14" s="163">
        <v>5038531</v>
      </c>
      <c r="V14" s="162">
        <v>43196</v>
      </c>
    </row>
    <row r="15" spans="2:22">
      <c r="B15" s="158"/>
      <c r="C15" s="380">
        <f t="shared" si="0"/>
        <v>0</v>
      </c>
      <c r="D15" s="159"/>
      <c r="E15" s="160"/>
      <c r="F15" s="159"/>
      <c r="G15" s="160"/>
      <c r="H15" s="159"/>
      <c r="I15" s="161"/>
      <c r="J15" s="161"/>
      <c r="K15" s="161"/>
      <c r="L15" s="161"/>
      <c r="M15" s="161"/>
      <c r="N15" s="161"/>
      <c r="O15" s="161"/>
      <c r="P15" s="161"/>
      <c r="Q15" s="378"/>
      <c r="R15" s="160"/>
      <c r="S15" s="382">
        <f t="shared" si="1"/>
        <v>0</v>
      </c>
      <c r="T15" s="160"/>
      <c r="U15" s="163"/>
      <c r="V15" s="162"/>
    </row>
    <row r="16" spans="2:22">
      <c r="B16" s="158">
        <v>43165</v>
      </c>
      <c r="C16" s="380">
        <f t="shared" si="0"/>
        <v>1357955</v>
      </c>
      <c r="D16" s="159"/>
      <c r="E16" s="160">
        <v>910521</v>
      </c>
      <c r="F16" s="159"/>
      <c r="G16" s="160">
        <v>0</v>
      </c>
      <c r="H16" s="159"/>
      <c r="I16" s="153">
        <v>0</v>
      </c>
      <c r="J16" s="153">
        <v>0</v>
      </c>
      <c r="K16" s="153">
        <v>0</v>
      </c>
      <c r="L16" s="153">
        <v>0</v>
      </c>
      <c r="M16" s="153">
        <v>0</v>
      </c>
      <c r="N16" s="153">
        <v>0</v>
      </c>
      <c r="O16" s="153">
        <v>0</v>
      </c>
      <c r="P16" s="153">
        <v>0</v>
      </c>
      <c r="Q16" s="378">
        <v>447434</v>
      </c>
      <c r="R16" s="160"/>
      <c r="S16" s="382">
        <f t="shared" si="1"/>
        <v>910521</v>
      </c>
      <c r="T16" s="160">
        <v>910525</v>
      </c>
      <c r="U16" s="163">
        <v>5038533</v>
      </c>
      <c r="V16" s="162">
        <v>43196</v>
      </c>
    </row>
    <row r="17" spans="2:22">
      <c r="B17" s="158"/>
      <c r="C17" s="380">
        <f t="shared" si="0"/>
        <v>0</v>
      </c>
      <c r="D17" s="159"/>
      <c r="E17" s="160"/>
      <c r="F17" s="166"/>
      <c r="G17" s="160"/>
      <c r="H17" s="166"/>
      <c r="I17" s="167"/>
      <c r="J17" s="167"/>
      <c r="K17" s="167"/>
      <c r="L17" s="167"/>
      <c r="M17" s="167"/>
      <c r="N17" s="167"/>
      <c r="O17" s="167"/>
      <c r="P17" s="167"/>
      <c r="Q17" s="381"/>
      <c r="R17" s="160"/>
      <c r="S17" s="382">
        <f t="shared" si="1"/>
        <v>0</v>
      </c>
      <c r="T17" s="160"/>
      <c r="U17" s="163"/>
      <c r="V17" s="162"/>
    </row>
    <row r="18" spans="2:22">
      <c r="B18" s="158">
        <v>43196</v>
      </c>
      <c r="C18" s="380">
        <f t="shared" si="0"/>
        <v>2025435</v>
      </c>
      <c r="D18" s="159"/>
      <c r="E18" s="160">
        <v>1224445</v>
      </c>
      <c r="F18" s="159"/>
      <c r="G18" s="160">
        <v>0</v>
      </c>
      <c r="H18" s="159"/>
      <c r="I18" s="153">
        <v>0</v>
      </c>
      <c r="J18" s="153">
        <v>0</v>
      </c>
      <c r="K18" s="153">
        <v>0</v>
      </c>
      <c r="L18" s="153">
        <v>0</v>
      </c>
      <c r="M18" s="153">
        <v>0</v>
      </c>
      <c r="N18" s="153">
        <v>0</v>
      </c>
      <c r="O18" s="153">
        <v>0</v>
      </c>
      <c r="P18" s="153">
        <v>0</v>
      </c>
      <c r="Q18" s="384">
        <v>800990</v>
      </c>
      <c r="R18" s="160">
        <v>36000</v>
      </c>
      <c r="S18" s="382">
        <f t="shared" si="1"/>
        <v>1188445</v>
      </c>
      <c r="T18" s="160">
        <v>571040</v>
      </c>
      <c r="U18" s="163">
        <v>5038534</v>
      </c>
      <c r="V18" s="162">
        <v>43196</v>
      </c>
    </row>
    <row r="19" spans="2:22">
      <c r="B19" s="158"/>
      <c r="C19" s="380">
        <f t="shared" si="0"/>
        <v>0</v>
      </c>
      <c r="D19" s="159"/>
      <c r="E19" s="160"/>
      <c r="F19" s="166"/>
      <c r="G19" s="160"/>
      <c r="H19" s="166"/>
      <c r="I19" s="167"/>
      <c r="J19" s="167"/>
      <c r="K19" s="167"/>
      <c r="L19" s="167"/>
      <c r="M19" s="167"/>
      <c r="N19" s="167"/>
      <c r="O19" s="167"/>
      <c r="P19" s="167"/>
      <c r="Q19" s="381"/>
      <c r="R19" s="160"/>
      <c r="S19" s="382">
        <f t="shared" si="1"/>
        <v>0</v>
      </c>
      <c r="T19" s="160">
        <v>617405</v>
      </c>
      <c r="U19" s="163">
        <v>5038535</v>
      </c>
      <c r="V19" s="162">
        <v>43226</v>
      </c>
    </row>
    <row r="20" spans="2:22">
      <c r="B20" s="158"/>
      <c r="C20" s="380">
        <f t="shared" si="0"/>
        <v>0</v>
      </c>
      <c r="D20" s="159"/>
      <c r="E20" s="160"/>
      <c r="F20" s="159"/>
      <c r="G20" s="160"/>
      <c r="H20" s="159"/>
      <c r="I20" s="161"/>
      <c r="J20" s="161"/>
      <c r="K20" s="161"/>
      <c r="L20" s="161"/>
      <c r="M20" s="161"/>
      <c r="N20" s="161"/>
      <c r="O20" s="161"/>
      <c r="P20" s="161"/>
      <c r="Q20" s="381"/>
      <c r="R20" s="160"/>
      <c r="S20" s="382">
        <f t="shared" si="1"/>
        <v>0</v>
      </c>
      <c r="T20" s="160"/>
      <c r="U20" s="163"/>
      <c r="V20" s="162"/>
    </row>
    <row r="21" spans="2:22">
      <c r="B21" s="158">
        <v>43226</v>
      </c>
      <c r="C21" s="380">
        <f t="shared" si="0"/>
        <v>2205080</v>
      </c>
      <c r="D21" s="159"/>
      <c r="E21" s="160">
        <v>1231510</v>
      </c>
      <c r="F21" s="159"/>
      <c r="G21" s="160">
        <v>0</v>
      </c>
      <c r="H21" s="159"/>
      <c r="I21" s="153">
        <v>0</v>
      </c>
      <c r="J21" s="153">
        <v>0</v>
      </c>
      <c r="K21" s="153">
        <v>0</v>
      </c>
      <c r="L21" s="153">
        <v>0</v>
      </c>
      <c r="M21" s="153">
        <v>0</v>
      </c>
      <c r="N21" s="153">
        <v>0</v>
      </c>
      <c r="O21" s="153">
        <v>0</v>
      </c>
      <c r="P21" s="153">
        <v>0</v>
      </c>
      <c r="Q21" s="384">
        <v>973570</v>
      </c>
      <c r="R21" s="160"/>
      <c r="S21" s="382">
        <f t="shared" si="1"/>
        <v>1231510</v>
      </c>
      <c r="T21" s="160">
        <v>279120</v>
      </c>
      <c r="U21" s="163">
        <v>5038537</v>
      </c>
      <c r="V21" s="162">
        <v>43226</v>
      </c>
    </row>
    <row r="22" spans="2:22">
      <c r="B22" s="158"/>
      <c r="C22" s="380">
        <f t="shared" si="0"/>
        <v>0</v>
      </c>
      <c r="D22" s="159"/>
      <c r="E22" s="160"/>
      <c r="F22" s="159"/>
      <c r="G22" s="160"/>
      <c r="H22" s="159"/>
      <c r="I22" s="161"/>
      <c r="J22" s="161"/>
      <c r="K22" s="161"/>
      <c r="L22" s="161"/>
      <c r="M22" s="161"/>
      <c r="N22" s="161"/>
      <c r="O22" s="161"/>
      <c r="P22" s="161"/>
      <c r="Q22" s="383"/>
      <c r="R22" s="160"/>
      <c r="S22" s="382">
        <f t="shared" si="1"/>
        <v>0</v>
      </c>
      <c r="T22" s="160">
        <v>300500</v>
      </c>
      <c r="U22" s="163">
        <v>5038536</v>
      </c>
      <c r="V22" s="162">
        <v>43226</v>
      </c>
    </row>
    <row r="23" spans="2:22">
      <c r="B23" s="158"/>
      <c r="C23" s="380">
        <f t="shared" si="0"/>
        <v>0</v>
      </c>
      <c r="D23" s="159"/>
      <c r="E23" s="160"/>
      <c r="F23" s="166"/>
      <c r="G23" s="160"/>
      <c r="H23" s="166"/>
      <c r="I23" s="167"/>
      <c r="J23" s="167"/>
      <c r="K23" s="167"/>
      <c r="L23" s="167"/>
      <c r="M23" s="167"/>
      <c r="N23" s="167"/>
      <c r="O23" s="167"/>
      <c r="P23" s="167"/>
      <c r="Q23" s="381"/>
      <c r="R23" s="160"/>
      <c r="S23" s="382">
        <f t="shared" si="1"/>
        <v>0</v>
      </c>
      <c r="T23" s="160">
        <v>651890</v>
      </c>
      <c r="U23" s="163">
        <v>5038538</v>
      </c>
      <c r="V23" s="162">
        <v>43257</v>
      </c>
    </row>
    <row r="24" spans="2:22">
      <c r="B24" s="158"/>
      <c r="C24" s="380">
        <f t="shared" si="0"/>
        <v>0</v>
      </c>
      <c r="D24" s="159"/>
      <c r="E24" s="160"/>
      <c r="F24" s="159"/>
      <c r="G24" s="160"/>
      <c r="H24" s="159"/>
      <c r="I24" s="161"/>
      <c r="J24" s="161"/>
      <c r="K24" s="161"/>
      <c r="L24" s="161"/>
      <c r="M24" s="161"/>
      <c r="N24" s="161"/>
      <c r="O24" s="161"/>
      <c r="P24" s="161"/>
      <c r="Q24" s="383"/>
      <c r="R24" s="160"/>
      <c r="S24" s="382">
        <f t="shared" si="1"/>
        <v>0</v>
      </c>
      <c r="T24" s="160"/>
      <c r="U24" s="163"/>
      <c r="V24" s="162"/>
    </row>
    <row r="25" spans="2:22">
      <c r="B25" s="158">
        <v>43257</v>
      </c>
      <c r="C25" s="380">
        <f t="shared" si="0"/>
        <v>1781840</v>
      </c>
      <c r="D25" s="159"/>
      <c r="E25" s="160">
        <v>987460</v>
      </c>
      <c r="F25" s="166"/>
      <c r="G25" s="160">
        <v>0</v>
      </c>
      <c r="H25" s="166"/>
      <c r="I25" s="153">
        <v>0</v>
      </c>
      <c r="J25" s="153">
        <v>0</v>
      </c>
      <c r="K25" s="153">
        <v>0</v>
      </c>
      <c r="L25" s="153">
        <v>0</v>
      </c>
      <c r="M25" s="153">
        <v>0</v>
      </c>
      <c r="N25" s="153">
        <v>0</v>
      </c>
      <c r="O25" s="153">
        <v>0</v>
      </c>
      <c r="P25" s="153">
        <v>0</v>
      </c>
      <c r="Q25" s="384">
        <v>794380</v>
      </c>
      <c r="R25" s="160">
        <v>12500</v>
      </c>
      <c r="S25" s="382">
        <f t="shared" si="1"/>
        <v>974960</v>
      </c>
      <c r="T25" s="160">
        <v>312500</v>
      </c>
      <c r="U25" s="163">
        <v>5038539</v>
      </c>
      <c r="V25" s="162">
        <v>43257</v>
      </c>
    </row>
    <row r="26" spans="2:22">
      <c r="B26" s="158"/>
      <c r="C26" s="380">
        <f t="shared" si="0"/>
        <v>0</v>
      </c>
      <c r="D26" s="159"/>
      <c r="E26" s="160"/>
      <c r="F26" s="159"/>
      <c r="G26" s="160"/>
      <c r="H26" s="159"/>
      <c r="I26" s="161"/>
      <c r="J26" s="161"/>
      <c r="K26" s="161"/>
      <c r="L26" s="161"/>
      <c r="M26" s="161"/>
      <c r="N26" s="161"/>
      <c r="O26" s="161"/>
      <c r="P26" s="161"/>
      <c r="Q26" s="383"/>
      <c r="R26" s="160"/>
      <c r="S26" s="382">
        <f t="shared" si="1"/>
        <v>0</v>
      </c>
      <c r="T26" s="160">
        <v>215420</v>
      </c>
      <c r="U26" s="163">
        <v>5038540</v>
      </c>
      <c r="V26" s="162">
        <v>43257</v>
      </c>
    </row>
    <row r="27" spans="2:22">
      <c r="B27" s="158"/>
      <c r="C27" s="380">
        <f t="shared" si="0"/>
        <v>0</v>
      </c>
      <c r="D27" s="159"/>
      <c r="E27" s="160"/>
      <c r="F27" s="166"/>
      <c r="G27" s="160"/>
      <c r="H27" s="166"/>
      <c r="I27" s="167"/>
      <c r="J27" s="167"/>
      <c r="K27" s="167"/>
      <c r="L27" s="167"/>
      <c r="M27" s="167"/>
      <c r="N27" s="167"/>
      <c r="O27" s="167"/>
      <c r="P27" s="167"/>
      <c r="Q27" s="381"/>
      <c r="R27" s="160"/>
      <c r="S27" s="382">
        <f t="shared" si="1"/>
        <v>0</v>
      </c>
      <c r="T27" s="160">
        <v>447040</v>
      </c>
      <c r="U27" s="163">
        <v>5038542</v>
      </c>
      <c r="V27" s="162">
        <v>43287</v>
      </c>
    </row>
    <row r="28" spans="2:22">
      <c r="B28" s="158"/>
      <c r="C28" s="380">
        <f t="shared" si="0"/>
        <v>0</v>
      </c>
      <c r="D28" s="159"/>
      <c r="E28" s="160"/>
      <c r="F28" s="159"/>
      <c r="G28" s="160"/>
      <c r="H28" s="159"/>
      <c r="I28" s="161"/>
      <c r="J28" s="161"/>
      <c r="K28" s="161"/>
      <c r="L28" s="161"/>
      <c r="M28" s="161"/>
      <c r="N28" s="161"/>
      <c r="O28" s="161"/>
      <c r="P28" s="161"/>
      <c r="Q28" s="383"/>
      <c r="R28" s="160"/>
      <c r="S28" s="382">
        <f t="shared" si="1"/>
        <v>0</v>
      </c>
      <c r="T28" s="160"/>
      <c r="U28" s="163"/>
      <c r="V28" s="162"/>
    </row>
    <row r="29" spans="2:22">
      <c r="B29" s="158">
        <v>43287</v>
      </c>
      <c r="C29" s="380">
        <f t="shared" si="0"/>
        <v>1807640</v>
      </c>
      <c r="D29" s="159"/>
      <c r="E29" s="160">
        <v>1232600</v>
      </c>
      <c r="F29" s="166"/>
      <c r="G29" s="160">
        <v>0</v>
      </c>
      <c r="H29" s="166"/>
      <c r="I29" s="153">
        <v>0</v>
      </c>
      <c r="J29" s="153">
        <v>0</v>
      </c>
      <c r="K29" s="153">
        <v>0</v>
      </c>
      <c r="L29" s="153">
        <v>0</v>
      </c>
      <c r="M29" s="153">
        <v>0</v>
      </c>
      <c r="N29" s="167"/>
      <c r="O29" s="167"/>
      <c r="P29" s="167"/>
      <c r="Q29" s="384">
        <v>575040</v>
      </c>
      <c r="R29" s="160"/>
      <c r="S29" s="382">
        <f t="shared" si="1"/>
        <v>1232600</v>
      </c>
      <c r="T29" s="160">
        <v>376000</v>
      </c>
      <c r="U29" s="163">
        <v>5038541</v>
      </c>
      <c r="V29" s="162">
        <v>43287</v>
      </c>
    </row>
    <row r="30" spans="2:22">
      <c r="B30" s="158"/>
      <c r="C30" s="380">
        <f t="shared" si="0"/>
        <v>0</v>
      </c>
      <c r="D30" s="159"/>
      <c r="E30" s="160"/>
      <c r="F30" s="159"/>
      <c r="G30" s="160"/>
      <c r="H30" s="159"/>
      <c r="I30" s="161"/>
      <c r="J30" s="161"/>
      <c r="K30" s="161"/>
      <c r="L30" s="161"/>
      <c r="M30" s="161"/>
      <c r="N30" s="161"/>
      <c r="O30" s="161"/>
      <c r="P30" s="161"/>
      <c r="Q30" s="383"/>
      <c r="R30" s="160"/>
      <c r="S30" s="382">
        <f t="shared" si="1"/>
        <v>0</v>
      </c>
      <c r="T30" s="160">
        <v>311235</v>
      </c>
      <c r="U30" s="163">
        <v>5038543</v>
      </c>
      <c r="V30" s="162">
        <v>43287</v>
      </c>
    </row>
    <row r="31" spans="2:22">
      <c r="B31" s="158"/>
      <c r="C31" s="380">
        <f t="shared" si="0"/>
        <v>0</v>
      </c>
      <c r="D31" s="159"/>
      <c r="E31" s="160"/>
      <c r="F31" s="159"/>
      <c r="G31" s="160"/>
      <c r="H31" s="159"/>
      <c r="I31" s="161"/>
      <c r="J31" s="161"/>
      <c r="K31" s="161"/>
      <c r="L31" s="161"/>
      <c r="M31" s="161"/>
      <c r="N31" s="161"/>
      <c r="O31" s="161"/>
      <c r="P31" s="161"/>
      <c r="Q31" s="381"/>
      <c r="R31" s="160"/>
      <c r="S31" s="382">
        <f t="shared" si="1"/>
        <v>0</v>
      </c>
      <c r="T31" s="160">
        <v>545365</v>
      </c>
      <c r="U31" s="163">
        <v>5038544</v>
      </c>
      <c r="V31" s="162">
        <v>43318</v>
      </c>
    </row>
    <row r="32" spans="2:22">
      <c r="B32" s="158"/>
      <c r="C32" s="380">
        <f t="shared" si="0"/>
        <v>0</v>
      </c>
      <c r="D32" s="159"/>
      <c r="E32" s="160"/>
      <c r="F32" s="159"/>
      <c r="G32" s="160"/>
      <c r="H32" s="159"/>
      <c r="I32" s="161"/>
      <c r="J32" s="161"/>
      <c r="K32" s="161"/>
      <c r="L32" s="161"/>
      <c r="M32" s="161"/>
      <c r="N32" s="161"/>
      <c r="O32" s="161"/>
      <c r="P32" s="161"/>
      <c r="Q32" s="381"/>
      <c r="R32" s="160"/>
      <c r="S32" s="382">
        <f t="shared" si="1"/>
        <v>0</v>
      </c>
      <c r="T32" s="160"/>
      <c r="U32" s="163"/>
      <c r="V32" s="162"/>
    </row>
    <row r="33" spans="2:22">
      <c r="B33" s="158">
        <v>43318</v>
      </c>
      <c r="C33" s="380">
        <f t="shared" si="0"/>
        <v>1852585</v>
      </c>
      <c r="D33" s="159"/>
      <c r="E33" s="160">
        <v>1201029</v>
      </c>
      <c r="F33" s="166"/>
      <c r="G33" s="160">
        <v>0</v>
      </c>
      <c r="H33" s="166"/>
      <c r="I33" s="160">
        <v>0</v>
      </c>
      <c r="J33" s="160">
        <v>0</v>
      </c>
      <c r="K33" s="160">
        <v>0</v>
      </c>
      <c r="L33" s="160">
        <v>0</v>
      </c>
      <c r="M33" s="160">
        <v>0</v>
      </c>
      <c r="N33" s="160">
        <v>0</v>
      </c>
      <c r="O33" s="160">
        <v>0</v>
      </c>
      <c r="P33" s="160">
        <v>0</v>
      </c>
      <c r="Q33" s="384">
        <v>651556</v>
      </c>
      <c r="R33" s="160"/>
      <c r="S33" s="382">
        <f t="shared" si="1"/>
        <v>1201029</v>
      </c>
      <c r="T33" s="160">
        <v>356800</v>
      </c>
      <c r="U33" s="163">
        <v>5038545</v>
      </c>
      <c r="V33" s="162">
        <v>43318</v>
      </c>
    </row>
    <row r="34" spans="2:22">
      <c r="B34" s="158"/>
      <c r="C34" s="380">
        <f t="shared" si="0"/>
        <v>0</v>
      </c>
      <c r="D34" s="159"/>
      <c r="E34" s="160"/>
      <c r="F34" s="159"/>
      <c r="G34" s="160"/>
      <c r="H34" s="159"/>
      <c r="I34" s="161"/>
      <c r="J34" s="161"/>
      <c r="K34" s="161"/>
      <c r="L34" s="161"/>
      <c r="M34" s="161"/>
      <c r="N34" s="161"/>
      <c r="O34" s="161"/>
      <c r="P34" s="161"/>
      <c r="Q34" s="384"/>
      <c r="R34" s="160"/>
      <c r="S34" s="382">
        <f t="shared" si="1"/>
        <v>0</v>
      </c>
      <c r="T34" s="160">
        <v>313300</v>
      </c>
      <c r="U34" s="163">
        <v>5038546</v>
      </c>
      <c r="V34" s="162">
        <v>43318</v>
      </c>
    </row>
    <row r="35" spans="2:22">
      <c r="B35" s="158"/>
      <c r="C35" s="380">
        <f t="shared" si="0"/>
        <v>0</v>
      </c>
      <c r="D35" s="159"/>
      <c r="E35" s="160"/>
      <c r="F35" s="166"/>
      <c r="G35" s="160"/>
      <c r="H35" s="166"/>
      <c r="I35" s="167"/>
      <c r="J35" s="167"/>
      <c r="K35" s="167"/>
      <c r="L35" s="167"/>
      <c r="M35" s="167"/>
      <c r="N35" s="167"/>
      <c r="O35" s="167"/>
      <c r="P35" s="167"/>
      <c r="Q35" s="384"/>
      <c r="R35" s="160"/>
      <c r="S35" s="382">
        <f t="shared" si="1"/>
        <v>0</v>
      </c>
      <c r="T35" s="160">
        <v>530930</v>
      </c>
      <c r="U35" s="163">
        <v>5038549</v>
      </c>
      <c r="V35" s="162">
        <v>43410</v>
      </c>
    </row>
    <row r="36" spans="2:22">
      <c r="B36" s="158"/>
      <c r="C36" s="380">
        <f t="shared" si="0"/>
        <v>0</v>
      </c>
      <c r="D36" s="159"/>
      <c r="E36" s="160"/>
      <c r="F36" s="159"/>
      <c r="G36" s="160"/>
      <c r="H36" s="159"/>
      <c r="I36" s="161"/>
      <c r="J36" s="161"/>
      <c r="K36" s="161"/>
      <c r="L36" s="161"/>
      <c r="M36" s="161"/>
      <c r="N36" s="161"/>
      <c r="O36" s="161"/>
      <c r="P36" s="161"/>
      <c r="Q36" s="384"/>
      <c r="R36" s="160"/>
      <c r="S36" s="382">
        <f t="shared" si="1"/>
        <v>0</v>
      </c>
      <c r="T36" s="160"/>
      <c r="U36" s="163"/>
      <c r="V36" s="162"/>
    </row>
    <row r="37" spans="2:22">
      <c r="B37" s="158">
        <v>43349</v>
      </c>
      <c r="C37" s="380">
        <f t="shared" si="0"/>
        <v>1970430</v>
      </c>
      <c r="D37" s="159"/>
      <c r="E37" s="160">
        <v>882220</v>
      </c>
      <c r="F37" s="166"/>
      <c r="G37" s="160">
        <v>0</v>
      </c>
      <c r="H37" s="166"/>
      <c r="I37" s="160">
        <v>0</v>
      </c>
      <c r="J37" s="160">
        <v>0</v>
      </c>
      <c r="K37" s="160">
        <v>0</v>
      </c>
      <c r="L37" s="160">
        <v>0</v>
      </c>
      <c r="M37" s="160">
        <v>0</v>
      </c>
      <c r="N37" s="160">
        <v>0</v>
      </c>
      <c r="O37" s="160">
        <v>0</v>
      </c>
      <c r="P37" s="160">
        <v>0</v>
      </c>
      <c r="Q37" s="384">
        <v>1088210</v>
      </c>
      <c r="R37" s="160"/>
      <c r="S37" s="382">
        <f t="shared" si="1"/>
        <v>882220</v>
      </c>
      <c r="T37" s="160">
        <v>882220</v>
      </c>
      <c r="U37" s="163">
        <v>5038547</v>
      </c>
      <c r="V37" s="162">
        <v>43045</v>
      </c>
    </row>
    <row r="38" spans="2:22">
      <c r="B38" s="158"/>
      <c r="C38" s="380">
        <f t="shared" si="0"/>
        <v>0</v>
      </c>
      <c r="D38" s="159"/>
      <c r="E38" s="160"/>
      <c r="F38" s="159"/>
      <c r="G38" s="160"/>
      <c r="H38" s="159"/>
      <c r="I38" s="161"/>
      <c r="J38" s="161"/>
      <c r="K38" s="161"/>
      <c r="L38" s="161"/>
      <c r="M38" s="161"/>
      <c r="N38" s="161"/>
      <c r="O38" s="161"/>
      <c r="P38" s="161"/>
      <c r="Q38" s="384"/>
      <c r="R38" s="160"/>
      <c r="S38" s="382">
        <f t="shared" si="1"/>
        <v>0</v>
      </c>
      <c r="T38" s="160"/>
      <c r="U38" s="163"/>
      <c r="V38" s="162"/>
    </row>
    <row r="39" spans="2:22">
      <c r="B39" s="158">
        <v>43379</v>
      </c>
      <c r="C39" s="380">
        <f t="shared" si="0"/>
        <v>2053260</v>
      </c>
      <c r="D39" s="159"/>
      <c r="E39" s="160">
        <v>1420738</v>
      </c>
      <c r="F39" s="159"/>
      <c r="G39" s="160">
        <v>0</v>
      </c>
      <c r="H39" s="159"/>
      <c r="I39" s="160">
        <v>0</v>
      </c>
      <c r="J39" s="160">
        <v>0</v>
      </c>
      <c r="K39" s="160">
        <v>0</v>
      </c>
      <c r="L39" s="160">
        <v>0</v>
      </c>
      <c r="M39" s="160">
        <v>0</v>
      </c>
      <c r="N39" s="160">
        <v>0</v>
      </c>
      <c r="O39" s="160">
        <v>0</v>
      </c>
      <c r="P39" s="160">
        <v>0</v>
      </c>
      <c r="Q39" s="384">
        <v>632522</v>
      </c>
      <c r="R39" s="160"/>
      <c r="S39" s="382">
        <f t="shared" si="1"/>
        <v>1420738</v>
      </c>
      <c r="T39" s="160">
        <v>1420740</v>
      </c>
      <c r="U39" s="163">
        <v>5038548</v>
      </c>
      <c r="V39" s="162">
        <v>43410</v>
      </c>
    </row>
    <row r="40" spans="2:22">
      <c r="B40" s="158"/>
      <c r="C40" s="380">
        <f t="shared" si="0"/>
        <v>0</v>
      </c>
      <c r="D40" s="159"/>
      <c r="E40" s="160"/>
      <c r="F40" s="159"/>
      <c r="G40" s="160"/>
      <c r="H40" s="159"/>
      <c r="I40" s="161"/>
      <c r="J40" s="161"/>
      <c r="K40" s="161"/>
      <c r="L40" s="161"/>
      <c r="M40" s="161"/>
      <c r="N40" s="161"/>
      <c r="O40" s="161"/>
      <c r="P40" s="161"/>
      <c r="Q40" s="384"/>
      <c r="R40" s="160"/>
      <c r="S40" s="382">
        <f t="shared" si="1"/>
        <v>0</v>
      </c>
      <c r="T40" s="160"/>
      <c r="U40" s="163"/>
      <c r="V40" s="162"/>
    </row>
    <row r="41" spans="2:22">
      <c r="B41" s="158">
        <v>43410</v>
      </c>
      <c r="C41" s="380">
        <f t="shared" si="0"/>
        <v>2331550</v>
      </c>
      <c r="D41" s="159"/>
      <c r="E41" s="160">
        <v>1241913</v>
      </c>
      <c r="F41" s="159"/>
      <c r="G41" s="160">
        <v>0</v>
      </c>
      <c r="H41" s="159"/>
      <c r="I41" s="160">
        <v>0</v>
      </c>
      <c r="J41" s="160">
        <v>0</v>
      </c>
      <c r="K41" s="160">
        <v>0</v>
      </c>
      <c r="L41" s="160">
        <v>0</v>
      </c>
      <c r="M41" s="160">
        <v>0</v>
      </c>
      <c r="N41" s="160">
        <v>0</v>
      </c>
      <c r="O41" s="160">
        <v>0</v>
      </c>
      <c r="P41" s="160">
        <v>0</v>
      </c>
      <c r="Q41" s="384">
        <v>1089637</v>
      </c>
      <c r="R41" s="160"/>
      <c r="S41" s="382">
        <f t="shared" si="1"/>
        <v>1241913</v>
      </c>
      <c r="T41" s="160">
        <v>383645</v>
      </c>
      <c r="U41" s="163">
        <v>5038550</v>
      </c>
      <c r="V41" s="162">
        <v>43410</v>
      </c>
    </row>
    <row r="42" spans="2:22">
      <c r="B42" s="158"/>
      <c r="C42" s="380">
        <f t="shared" ref="C42:C73" si="2">E42+G42+Q42</f>
        <v>0</v>
      </c>
      <c r="D42" s="159"/>
      <c r="E42" s="160"/>
      <c r="F42" s="159"/>
      <c r="G42" s="160"/>
      <c r="H42" s="159"/>
      <c r="I42" s="161"/>
      <c r="J42" s="161"/>
      <c r="K42" s="161"/>
      <c r="L42" s="161"/>
      <c r="M42" s="161"/>
      <c r="N42" s="161"/>
      <c r="O42" s="161"/>
      <c r="P42" s="161"/>
      <c r="Q42" s="384"/>
      <c r="R42" s="160"/>
      <c r="S42" s="382">
        <f t="shared" ref="S42:S73" si="3">E42-R42</f>
        <v>0</v>
      </c>
      <c r="T42" s="160">
        <v>383890</v>
      </c>
      <c r="U42" s="163">
        <v>5038551</v>
      </c>
      <c r="V42" s="162">
        <v>43410</v>
      </c>
    </row>
    <row r="43" spans="2:22">
      <c r="B43" s="158"/>
      <c r="C43" s="380">
        <f t="shared" si="2"/>
        <v>0</v>
      </c>
      <c r="D43" s="159"/>
      <c r="E43" s="160"/>
      <c r="F43" s="159"/>
      <c r="G43" s="160"/>
      <c r="H43" s="159"/>
      <c r="I43" s="161"/>
      <c r="J43" s="161"/>
      <c r="K43" s="161"/>
      <c r="L43" s="161"/>
      <c r="M43" s="161"/>
      <c r="N43" s="161"/>
      <c r="O43" s="161"/>
      <c r="P43" s="161"/>
      <c r="Q43" s="384"/>
      <c r="R43" s="160"/>
      <c r="S43" s="382">
        <f t="shared" si="3"/>
        <v>0</v>
      </c>
      <c r="T43" s="160">
        <v>474380</v>
      </c>
      <c r="U43" s="163">
        <v>5038552</v>
      </c>
      <c r="V43" s="162">
        <v>43440</v>
      </c>
    </row>
    <row r="44" spans="2:22">
      <c r="B44" s="158"/>
      <c r="C44" s="380">
        <f t="shared" si="2"/>
        <v>0</v>
      </c>
      <c r="D44" s="159"/>
      <c r="E44" s="160"/>
      <c r="F44" s="159"/>
      <c r="G44" s="160"/>
      <c r="H44" s="159"/>
      <c r="I44" s="161"/>
      <c r="J44" s="161"/>
      <c r="K44" s="161"/>
      <c r="L44" s="161"/>
      <c r="M44" s="161"/>
      <c r="N44" s="161"/>
      <c r="O44" s="161"/>
      <c r="P44" s="161"/>
      <c r="Q44" s="384"/>
      <c r="R44" s="160"/>
      <c r="S44" s="382">
        <f t="shared" si="3"/>
        <v>0</v>
      </c>
      <c r="T44" s="160"/>
      <c r="U44" s="163"/>
      <c r="V44" s="162"/>
    </row>
    <row r="45" spans="2:22">
      <c r="B45" s="158">
        <v>43440</v>
      </c>
      <c r="C45" s="380">
        <f t="shared" si="2"/>
        <v>2201110</v>
      </c>
      <c r="D45" s="159"/>
      <c r="E45" s="160">
        <v>1380550</v>
      </c>
      <c r="F45" s="159"/>
      <c r="G45" s="160">
        <v>0</v>
      </c>
      <c r="H45" s="159"/>
      <c r="I45" s="160">
        <v>0</v>
      </c>
      <c r="J45" s="160">
        <v>0</v>
      </c>
      <c r="K45" s="160">
        <v>0</v>
      </c>
      <c r="L45" s="160">
        <v>0</v>
      </c>
      <c r="M45" s="160">
        <v>0</v>
      </c>
      <c r="N45" s="160">
        <v>0</v>
      </c>
      <c r="O45" s="160">
        <v>0</v>
      </c>
      <c r="P45" s="160">
        <v>0</v>
      </c>
      <c r="Q45" s="384">
        <v>820560</v>
      </c>
      <c r="R45" s="160"/>
      <c r="S45" s="382">
        <f t="shared" si="3"/>
        <v>1380550</v>
      </c>
      <c r="T45" s="160">
        <v>221300</v>
      </c>
      <c r="U45" s="163">
        <v>5038553</v>
      </c>
      <c r="V45" s="162">
        <v>43440</v>
      </c>
    </row>
    <row r="46" spans="2:22">
      <c r="B46" s="158"/>
      <c r="C46" s="380">
        <f t="shared" si="2"/>
        <v>0</v>
      </c>
      <c r="D46" s="159"/>
      <c r="E46" s="160"/>
      <c r="F46" s="159"/>
      <c r="G46" s="160"/>
      <c r="H46" s="159"/>
      <c r="I46" s="161"/>
      <c r="J46" s="161"/>
      <c r="K46" s="161"/>
      <c r="L46" s="161"/>
      <c r="M46" s="161"/>
      <c r="N46" s="161"/>
      <c r="O46" s="161"/>
      <c r="P46" s="161"/>
      <c r="Q46" s="384"/>
      <c r="R46" s="160"/>
      <c r="S46" s="382">
        <f t="shared" si="3"/>
        <v>0</v>
      </c>
      <c r="T46" s="160">
        <v>470060</v>
      </c>
      <c r="U46" s="163">
        <v>5040976</v>
      </c>
      <c r="V46" s="162">
        <v>43440</v>
      </c>
    </row>
    <row r="47" spans="2:22">
      <c r="B47" s="158"/>
      <c r="C47" s="380">
        <f t="shared" si="2"/>
        <v>0</v>
      </c>
      <c r="D47" s="159"/>
      <c r="E47" s="160"/>
      <c r="F47" s="159"/>
      <c r="G47" s="160"/>
      <c r="H47" s="159"/>
      <c r="I47" s="161"/>
      <c r="J47" s="161"/>
      <c r="K47" s="161"/>
      <c r="L47" s="161"/>
      <c r="M47" s="161"/>
      <c r="N47" s="161"/>
      <c r="O47" s="161"/>
      <c r="P47" s="161"/>
      <c r="Q47" s="384"/>
      <c r="R47" s="160"/>
      <c r="S47" s="382">
        <f t="shared" si="3"/>
        <v>0</v>
      </c>
      <c r="T47" s="160">
        <v>689190</v>
      </c>
      <c r="U47" s="163"/>
      <c r="V47" s="162" t="s">
        <v>205</v>
      </c>
    </row>
    <row r="48" spans="2:22">
      <c r="B48" s="385"/>
      <c r="C48" s="380">
        <f t="shared" si="2"/>
        <v>0</v>
      </c>
      <c r="D48" s="159"/>
      <c r="E48" s="160"/>
      <c r="F48" s="159"/>
      <c r="G48" s="160"/>
      <c r="H48" s="159"/>
      <c r="I48" s="161"/>
      <c r="J48" s="161"/>
      <c r="K48" s="161"/>
      <c r="L48" s="161"/>
      <c r="M48" s="161"/>
      <c r="N48" s="161"/>
      <c r="O48" s="161"/>
      <c r="P48" s="161"/>
      <c r="Q48" s="384"/>
      <c r="R48" s="160"/>
      <c r="S48" s="382">
        <f t="shared" si="3"/>
        <v>0</v>
      </c>
      <c r="T48" s="160"/>
      <c r="U48" s="163"/>
      <c r="V48" s="169"/>
    </row>
    <row r="49" spans="2:22">
      <c r="B49" s="385" t="s">
        <v>205</v>
      </c>
      <c r="C49" s="380">
        <f t="shared" si="2"/>
        <v>755935</v>
      </c>
      <c r="D49" s="159"/>
      <c r="E49" s="160">
        <v>569934</v>
      </c>
      <c r="F49" s="159"/>
      <c r="G49" s="160">
        <v>0</v>
      </c>
      <c r="H49" s="159"/>
      <c r="I49" s="160">
        <v>0</v>
      </c>
      <c r="J49" s="160">
        <v>0</v>
      </c>
      <c r="K49" s="160">
        <v>0</v>
      </c>
      <c r="L49" s="160">
        <v>0</v>
      </c>
      <c r="M49" s="160">
        <v>0</v>
      </c>
      <c r="N49" s="160">
        <v>0</v>
      </c>
      <c r="O49" s="160">
        <v>0</v>
      </c>
      <c r="P49" s="160">
        <v>0</v>
      </c>
      <c r="Q49" s="384">
        <v>186001</v>
      </c>
      <c r="R49" s="160"/>
      <c r="S49" s="382">
        <f t="shared" si="3"/>
        <v>569934</v>
      </c>
      <c r="T49" s="160">
        <v>569935</v>
      </c>
      <c r="U49" s="163">
        <v>5038554</v>
      </c>
      <c r="V49" s="169" t="s">
        <v>205</v>
      </c>
    </row>
    <row r="50" spans="2:22">
      <c r="B50" s="385"/>
      <c r="C50" s="380">
        <f t="shared" si="2"/>
        <v>0</v>
      </c>
      <c r="D50" s="159"/>
      <c r="E50" s="160"/>
      <c r="F50" s="159"/>
      <c r="G50" s="160"/>
      <c r="H50" s="159"/>
      <c r="I50" s="161"/>
      <c r="J50" s="161"/>
      <c r="K50" s="161"/>
      <c r="L50" s="161"/>
      <c r="M50" s="161"/>
      <c r="N50" s="161"/>
      <c r="O50" s="161"/>
      <c r="P50" s="161"/>
      <c r="Q50" s="384"/>
      <c r="R50" s="160"/>
      <c r="S50" s="382">
        <f t="shared" si="3"/>
        <v>0</v>
      </c>
      <c r="T50" s="160"/>
      <c r="U50" s="163"/>
      <c r="V50" s="169"/>
    </row>
    <row r="51" spans="2:22">
      <c r="B51" s="385" t="s">
        <v>205</v>
      </c>
      <c r="C51" s="380">
        <f t="shared" si="2"/>
        <v>1613500</v>
      </c>
      <c r="D51" s="159"/>
      <c r="E51" s="160">
        <v>993403</v>
      </c>
      <c r="F51" s="159"/>
      <c r="G51" s="160">
        <v>0</v>
      </c>
      <c r="H51" s="159"/>
      <c r="I51" s="160">
        <v>0</v>
      </c>
      <c r="J51" s="160">
        <v>0</v>
      </c>
      <c r="K51" s="161"/>
      <c r="L51" s="160">
        <v>0</v>
      </c>
      <c r="M51" s="160">
        <v>0</v>
      </c>
      <c r="N51" s="160">
        <v>0</v>
      </c>
      <c r="O51" s="160">
        <v>0</v>
      </c>
      <c r="P51" s="160">
        <v>0</v>
      </c>
      <c r="Q51" s="384">
        <v>620097</v>
      </c>
      <c r="R51" s="160"/>
      <c r="S51" s="382">
        <f t="shared" si="3"/>
        <v>993403</v>
      </c>
      <c r="T51" s="160">
        <v>169500</v>
      </c>
      <c r="U51" s="163">
        <v>5038551</v>
      </c>
      <c r="V51" s="169" t="s">
        <v>205</v>
      </c>
    </row>
    <row r="52" spans="2:22">
      <c r="B52" s="385"/>
      <c r="C52" s="380">
        <f t="shared" si="2"/>
        <v>0</v>
      </c>
      <c r="D52" s="159"/>
      <c r="E52" s="160"/>
      <c r="F52" s="159"/>
      <c r="G52" s="160"/>
      <c r="H52" s="159"/>
      <c r="I52" s="161"/>
      <c r="J52" s="161"/>
      <c r="K52" s="161"/>
      <c r="L52" s="161"/>
      <c r="M52" s="161"/>
      <c r="N52" s="161"/>
      <c r="O52" s="161"/>
      <c r="P52" s="161"/>
      <c r="Q52" s="384"/>
      <c r="R52" s="160"/>
      <c r="S52" s="382">
        <f t="shared" si="3"/>
        <v>0</v>
      </c>
      <c r="T52" s="160">
        <v>392775</v>
      </c>
      <c r="U52" s="163">
        <v>5038556</v>
      </c>
      <c r="V52" s="169" t="s">
        <v>205</v>
      </c>
    </row>
    <row r="53" spans="2:22">
      <c r="B53" s="385"/>
      <c r="C53" s="380">
        <f t="shared" si="2"/>
        <v>0</v>
      </c>
      <c r="D53" s="159"/>
      <c r="E53" s="160"/>
      <c r="F53" s="159"/>
      <c r="G53" s="160"/>
      <c r="H53" s="159"/>
      <c r="I53" s="161"/>
      <c r="J53" s="161"/>
      <c r="K53" s="161"/>
      <c r="L53" s="161"/>
      <c r="M53" s="161"/>
      <c r="N53" s="161"/>
      <c r="O53" s="161"/>
      <c r="P53" s="161"/>
      <c r="Q53" s="384"/>
      <c r="R53" s="160"/>
      <c r="S53" s="382">
        <f t="shared" si="3"/>
        <v>0</v>
      </c>
      <c r="T53" s="160">
        <v>431140</v>
      </c>
      <c r="U53" s="163">
        <v>5040978</v>
      </c>
      <c r="V53" s="169" t="s">
        <v>206</v>
      </c>
    </row>
    <row r="54" spans="2:22">
      <c r="B54" s="385"/>
      <c r="C54" s="380">
        <f t="shared" si="2"/>
        <v>0</v>
      </c>
      <c r="D54" s="159"/>
      <c r="E54" s="160"/>
      <c r="F54" s="159"/>
      <c r="G54" s="160"/>
      <c r="H54" s="159"/>
      <c r="I54" s="161"/>
      <c r="J54" s="161"/>
      <c r="K54" s="161"/>
      <c r="L54" s="161"/>
      <c r="M54" s="161"/>
      <c r="N54" s="161"/>
      <c r="O54" s="161"/>
      <c r="P54" s="161"/>
      <c r="Q54" s="384"/>
      <c r="R54" s="160"/>
      <c r="S54" s="382">
        <f t="shared" si="3"/>
        <v>0</v>
      </c>
      <c r="T54" s="160"/>
      <c r="U54" s="163"/>
      <c r="V54" s="169"/>
    </row>
    <row r="55" spans="2:22">
      <c r="B55" s="385" t="s">
        <v>206</v>
      </c>
      <c r="C55" s="380">
        <f t="shared" si="2"/>
        <v>2265730</v>
      </c>
      <c r="D55" s="159"/>
      <c r="E55" s="160">
        <v>1036859</v>
      </c>
      <c r="F55" s="159"/>
      <c r="G55" s="160">
        <v>0</v>
      </c>
      <c r="H55" s="159"/>
      <c r="I55" s="160">
        <v>0</v>
      </c>
      <c r="J55" s="160">
        <v>0</v>
      </c>
      <c r="K55" s="160">
        <v>0</v>
      </c>
      <c r="L55" s="160">
        <v>0</v>
      </c>
      <c r="M55" s="160">
        <v>0</v>
      </c>
      <c r="N55" s="160">
        <v>0</v>
      </c>
      <c r="O55" s="160">
        <v>0</v>
      </c>
      <c r="P55" s="160">
        <v>0</v>
      </c>
      <c r="Q55" s="384">
        <v>1228871</v>
      </c>
      <c r="R55" s="160"/>
      <c r="S55" s="382">
        <f t="shared" si="3"/>
        <v>1036859</v>
      </c>
      <c r="T55" s="160">
        <v>551795</v>
      </c>
      <c r="U55" s="163">
        <v>5040979</v>
      </c>
      <c r="V55" s="169" t="s">
        <v>206</v>
      </c>
    </row>
    <row r="56" spans="2:22">
      <c r="B56" s="385"/>
      <c r="C56" s="380">
        <f t="shared" si="2"/>
        <v>0</v>
      </c>
      <c r="D56" s="159"/>
      <c r="E56" s="160"/>
      <c r="F56" s="159"/>
      <c r="G56" s="160"/>
      <c r="H56" s="159"/>
      <c r="I56" s="161"/>
      <c r="J56" s="161"/>
      <c r="K56" s="161"/>
      <c r="L56" s="161"/>
      <c r="M56" s="161"/>
      <c r="N56" s="161"/>
      <c r="O56" s="161"/>
      <c r="P56" s="161"/>
      <c r="Q56" s="384"/>
      <c r="R56" s="160"/>
      <c r="S56" s="382">
        <f t="shared" si="3"/>
        <v>0</v>
      </c>
      <c r="T56" s="160">
        <v>485065</v>
      </c>
      <c r="U56" s="163">
        <v>5038560</v>
      </c>
      <c r="V56" s="169" t="s">
        <v>207</v>
      </c>
    </row>
    <row r="57" spans="2:22">
      <c r="B57" s="385"/>
      <c r="C57" s="380">
        <f t="shared" si="2"/>
        <v>0</v>
      </c>
      <c r="D57" s="159"/>
      <c r="E57" s="160"/>
      <c r="F57" s="159"/>
      <c r="G57" s="160"/>
      <c r="H57" s="159"/>
      <c r="I57" s="161"/>
      <c r="J57" s="161"/>
      <c r="K57" s="161"/>
      <c r="L57" s="161"/>
      <c r="M57" s="161"/>
      <c r="N57" s="161"/>
      <c r="O57" s="161"/>
      <c r="P57" s="161"/>
      <c r="Q57" s="384"/>
      <c r="R57" s="160"/>
      <c r="S57" s="382">
        <f t="shared" si="3"/>
        <v>0</v>
      </c>
      <c r="T57" s="160"/>
      <c r="U57" s="163"/>
      <c r="V57" s="169"/>
    </row>
    <row r="58" spans="2:22">
      <c r="B58" s="385" t="s">
        <v>208</v>
      </c>
      <c r="C58" s="380">
        <f t="shared" si="2"/>
        <v>2149540</v>
      </c>
      <c r="D58" s="159"/>
      <c r="E58" s="160">
        <v>1130990</v>
      </c>
      <c r="F58" s="159"/>
      <c r="G58" s="160">
        <v>0</v>
      </c>
      <c r="H58" s="159"/>
      <c r="I58" s="160">
        <v>0</v>
      </c>
      <c r="J58" s="160">
        <v>0</v>
      </c>
      <c r="K58" s="160">
        <v>0</v>
      </c>
      <c r="L58" s="160">
        <v>0</v>
      </c>
      <c r="M58" s="160">
        <v>0</v>
      </c>
      <c r="N58" s="160">
        <v>0</v>
      </c>
      <c r="O58" s="160">
        <v>0</v>
      </c>
      <c r="P58" s="160">
        <v>0</v>
      </c>
      <c r="Q58" s="384">
        <v>1018550</v>
      </c>
      <c r="R58" s="160">
        <v>25000</v>
      </c>
      <c r="S58" s="382">
        <f t="shared" si="3"/>
        <v>1105990</v>
      </c>
      <c r="T58" s="160">
        <v>1105990</v>
      </c>
      <c r="U58" s="163">
        <v>5038557</v>
      </c>
      <c r="V58" s="169" t="s">
        <v>207</v>
      </c>
    </row>
    <row r="59" spans="2:22">
      <c r="B59" s="385"/>
      <c r="C59" s="380">
        <f t="shared" si="2"/>
        <v>0</v>
      </c>
      <c r="D59" s="159"/>
      <c r="E59" s="160"/>
      <c r="F59" s="159"/>
      <c r="G59" s="160"/>
      <c r="H59" s="159"/>
      <c r="I59" s="161"/>
      <c r="J59" s="161"/>
      <c r="K59" s="161"/>
      <c r="L59" s="161"/>
      <c r="M59" s="161"/>
      <c r="N59" s="161"/>
      <c r="O59" s="161"/>
      <c r="P59" s="161"/>
      <c r="Q59" s="384"/>
      <c r="R59" s="160"/>
      <c r="S59" s="382">
        <f t="shared" si="3"/>
        <v>0</v>
      </c>
      <c r="T59" s="160"/>
      <c r="U59" s="163"/>
      <c r="V59" s="169"/>
    </row>
    <row r="60" spans="2:22">
      <c r="B60" s="385" t="s">
        <v>209</v>
      </c>
      <c r="C60" s="380">
        <f t="shared" si="2"/>
        <v>2025340</v>
      </c>
      <c r="D60" s="159"/>
      <c r="E60" s="160">
        <v>814180</v>
      </c>
      <c r="F60" s="159"/>
      <c r="G60" s="160">
        <v>0</v>
      </c>
      <c r="H60" s="159"/>
      <c r="I60" s="160">
        <v>0</v>
      </c>
      <c r="J60" s="160">
        <v>0</v>
      </c>
      <c r="K60" s="160">
        <v>0</v>
      </c>
      <c r="L60" s="160">
        <v>0</v>
      </c>
      <c r="M60" s="160">
        <v>0</v>
      </c>
      <c r="N60" s="160">
        <v>0</v>
      </c>
      <c r="O60" s="160">
        <v>0</v>
      </c>
      <c r="P60" s="160">
        <v>0</v>
      </c>
      <c r="Q60" s="384">
        <v>1211160</v>
      </c>
      <c r="R60" s="160"/>
      <c r="S60" s="382">
        <f t="shared" si="3"/>
        <v>814180</v>
      </c>
      <c r="T60" s="160">
        <v>814180</v>
      </c>
      <c r="U60" s="163">
        <v>5038558</v>
      </c>
      <c r="V60" s="169" t="s">
        <v>207</v>
      </c>
    </row>
    <row r="61" spans="2:22">
      <c r="B61" s="385"/>
      <c r="C61" s="380">
        <f t="shared" si="2"/>
        <v>0</v>
      </c>
      <c r="D61" s="159"/>
      <c r="E61" s="160"/>
      <c r="F61" s="159"/>
      <c r="G61" s="160"/>
      <c r="H61" s="159"/>
      <c r="I61" s="161"/>
      <c r="J61" s="161"/>
      <c r="K61" s="161"/>
      <c r="L61" s="161"/>
      <c r="M61" s="161"/>
      <c r="N61" s="161"/>
      <c r="O61" s="161"/>
      <c r="P61" s="161"/>
      <c r="Q61" s="384"/>
      <c r="R61" s="160"/>
      <c r="S61" s="382">
        <f t="shared" si="3"/>
        <v>0</v>
      </c>
      <c r="T61" s="160"/>
      <c r="U61" s="163"/>
      <c r="V61" s="162"/>
    </row>
    <row r="62" spans="2:22">
      <c r="B62" s="385" t="s">
        <v>210</v>
      </c>
      <c r="C62" s="380">
        <f t="shared" si="2"/>
        <v>1873245</v>
      </c>
      <c r="D62" s="159"/>
      <c r="E62" s="160">
        <v>880386</v>
      </c>
      <c r="F62" s="159"/>
      <c r="G62" s="160">
        <v>0</v>
      </c>
      <c r="H62" s="159"/>
      <c r="I62" s="160">
        <v>0</v>
      </c>
      <c r="J62" s="160">
        <v>0</v>
      </c>
      <c r="K62" s="160">
        <v>0</v>
      </c>
      <c r="L62" s="160">
        <v>0</v>
      </c>
      <c r="M62" s="160">
        <v>0</v>
      </c>
      <c r="N62" s="160">
        <v>0</v>
      </c>
      <c r="O62" s="160">
        <v>0</v>
      </c>
      <c r="P62" s="160">
        <v>0</v>
      </c>
      <c r="Q62" s="384">
        <v>992859</v>
      </c>
      <c r="R62" s="160"/>
      <c r="S62" s="382">
        <f t="shared" si="3"/>
        <v>880386</v>
      </c>
      <c r="T62" s="160">
        <v>880390</v>
      </c>
      <c r="U62" s="163">
        <v>5038559</v>
      </c>
      <c r="V62" s="169" t="s">
        <v>207</v>
      </c>
    </row>
    <row r="63" spans="2:22">
      <c r="B63" s="385"/>
      <c r="C63" s="380">
        <f t="shared" si="2"/>
        <v>0</v>
      </c>
      <c r="D63" s="159"/>
      <c r="E63" s="160"/>
      <c r="F63" s="159"/>
      <c r="G63" s="160"/>
      <c r="H63" s="159"/>
      <c r="I63" s="161"/>
      <c r="J63" s="161"/>
      <c r="K63" s="161"/>
      <c r="L63" s="161"/>
      <c r="M63" s="161"/>
      <c r="N63" s="161"/>
      <c r="O63" s="161"/>
      <c r="P63" s="161"/>
      <c r="Q63" s="384"/>
      <c r="R63" s="160"/>
      <c r="S63" s="382">
        <f t="shared" si="3"/>
        <v>0</v>
      </c>
      <c r="T63" s="160"/>
      <c r="U63" s="163"/>
      <c r="V63" s="169"/>
    </row>
    <row r="64" spans="2:22">
      <c r="B64" s="385" t="s">
        <v>211</v>
      </c>
      <c r="C64" s="380">
        <f t="shared" si="2"/>
        <v>1817880</v>
      </c>
      <c r="D64" s="159"/>
      <c r="E64" s="160">
        <v>1000280</v>
      </c>
      <c r="F64" s="159"/>
      <c r="G64" s="160">
        <v>0</v>
      </c>
      <c r="H64" s="159"/>
      <c r="I64" s="160">
        <v>0</v>
      </c>
      <c r="J64" s="160">
        <v>0</v>
      </c>
      <c r="K64" s="160">
        <v>0</v>
      </c>
      <c r="L64" s="160">
        <v>0</v>
      </c>
      <c r="M64" s="160">
        <v>0</v>
      </c>
      <c r="N64" s="160">
        <v>0</v>
      </c>
      <c r="O64" s="160">
        <v>0</v>
      </c>
      <c r="P64" s="160">
        <v>0</v>
      </c>
      <c r="Q64" s="384">
        <v>817600</v>
      </c>
      <c r="R64" s="160"/>
      <c r="S64" s="382">
        <f t="shared" si="3"/>
        <v>1000280</v>
      </c>
      <c r="T64" s="160">
        <v>1000280</v>
      </c>
      <c r="U64" s="163">
        <v>5038562</v>
      </c>
      <c r="V64" s="169" t="s">
        <v>207</v>
      </c>
    </row>
    <row r="65" spans="2:22">
      <c r="B65" s="385"/>
      <c r="C65" s="380">
        <f t="shared" si="2"/>
        <v>0</v>
      </c>
      <c r="D65" s="159"/>
      <c r="E65" s="160"/>
      <c r="F65" s="159"/>
      <c r="G65" s="160"/>
      <c r="H65" s="159"/>
      <c r="I65" s="161"/>
      <c r="J65" s="161"/>
      <c r="K65" s="161"/>
      <c r="L65" s="161"/>
      <c r="M65" s="161"/>
      <c r="N65" s="161"/>
      <c r="O65" s="161"/>
      <c r="P65" s="161"/>
      <c r="Q65" s="384"/>
      <c r="R65" s="160"/>
      <c r="S65" s="382">
        <f t="shared" si="3"/>
        <v>0</v>
      </c>
      <c r="T65" s="160"/>
      <c r="U65" s="163"/>
      <c r="V65" s="169"/>
    </row>
    <row r="66" spans="2:22">
      <c r="B66" s="385" t="s">
        <v>207</v>
      </c>
      <c r="C66" s="380">
        <f t="shared" si="2"/>
        <v>2136615</v>
      </c>
      <c r="D66" s="159"/>
      <c r="E66" s="160">
        <v>1152337</v>
      </c>
      <c r="F66" s="159"/>
      <c r="G66" s="160">
        <v>0</v>
      </c>
      <c r="H66" s="159"/>
      <c r="I66" s="160">
        <v>0</v>
      </c>
      <c r="J66" s="160">
        <v>0</v>
      </c>
      <c r="K66" s="160">
        <v>0</v>
      </c>
      <c r="L66" s="160">
        <v>0</v>
      </c>
      <c r="M66" s="160">
        <v>0</v>
      </c>
      <c r="N66" s="160">
        <v>0</v>
      </c>
      <c r="O66" s="160">
        <v>0</v>
      </c>
      <c r="P66" s="160">
        <v>0</v>
      </c>
      <c r="Q66" s="384">
        <v>984278</v>
      </c>
      <c r="R66" s="160">
        <v>28200</v>
      </c>
      <c r="S66" s="382">
        <f t="shared" si="3"/>
        <v>1124137</v>
      </c>
      <c r="T66" s="160">
        <v>261650</v>
      </c>
      <c r="U66" s="163">
        <v>5038561</v>
      </c>
      <c r="V66" s="169" t="s">
        <v>207</v>
      </c>
    </row>
    <row r="67" spans="2:22">
      <c r="B67" s="385"/>
      <c r="C67" s="380">
        <f t="shared" si="2"/>
        <v>0</v>
      </c>
      <c r="D67" s="159"/>
      <c r="E67" s="160"/>
      <c r="F67" s="159"/>
      <c r="G67" s="160"/>
      <c r="H67" s="159"/>
      <c r="I67" s="161"/>
      <c r="J67" s="161"/>
      <c r="K67" s="161"/>
      <c r="L67" s="161"/>
      <c r="M67" s="161"/>
      <c r="N67" s="161"/>
      <c r="O67" s="161"/>
      <c r="P67" s="161"/>
      <c r="Q67" s="384"/>
      <c r="R67" s="160"/>
      <c r="S67" s="382">
        <f t="shared" si="3"/>
        <v>0</v>
      </c>
      <c r="T67" s="160">
        <v>316255</v>
      </c>
      <c r="U67" s="163">
        <v>5038563</v>
      </c>
      <c r="V67" s="169" t="s">
        <v>207</v>
      </c>
    </row>
    <row r="68" spans="2:22">
      <c r="B68" s="385"/>
      <c r="C68" s="380">
        <f t="shared" si="2"/>
        <v>0</v>
      </c>
      <c r="D68" s="159"/>
      <c r="E68" s="160"/>
      <c r="F68" s="159"/>
      <c r="G68" s="160"/>
      <c r="H68" s="159"/>
      <c r="I68" s="161"/>
      <c r="J68" s="161"/>
      <c r="K68" s="161"/>
      <c r="L68" s="161"/>
      <c r="M68" s="161"/>
      <c r="N68" s="161"/>
      <c r="O68" s="161"/>
      <c r="P68" s="161"/>
      <c r="Q68" s="384"/>
      <c r="R68" s="160"/>
      <c r="S68" s="382">
        <f t="shared" si="3"/>
        <v>0</v>
      </c>
      <c r="T68" s="160">
        <v>546235</v>
      </c>
      <c r="U68" s="163">
        <v>5038564</v>
      </c>
      <c r="V68" s="169" t="s">
        <v>212</v>
      </c>
    </row>
    <row r="69" spans="2:22">
      <c r="B69" s="385"/>
      <c r="C69" s="380">
        <f t="shared" si="2"/>
        <v>0</v>
      </c>
      <c r="D69" s="159"/>
      <c r="E69" s="160"/>
      <c r="F69" s="159"/>
      <c r="G69" s="153"/>
      <c r="H69" s="159"/>
      <c r="I69" s="161"/>
      <c r="J69" s="161"/>
      <c r="K69" s="161"/>
      <c r="L69" s="161"/>
      <c r="M69" s="161"/>
      <c r="N69" s="161"/>
      <c r="O69" s="161"/>
      <c r="P69" s="161"/>
      <c r="Q69" s="384"/>
      <c r="R69" s="160"/>
      <c r="S69" s="382">
        <f t="shared" si="3"/>
        <v>0</v>
      </c>
      <c r="T69" s="160"/>
      <c r="U69" s="163"/>
      <c r="V69" s="169"/>
    </row>
    <row r="70" spans="2:22">
      <c r="B70" s="385" t="s">
        <v>212</v>
      </c>
      <c r="C70" s="380">
        <f t="shared" si="2"/>
        <v>1501055</v>
      </c>
      <c r="D70" s="159"/>
      <c r="E70" s="160">
        <v>677130</v>
      </c>
      <c r="F70" s="159"/>
      <c r="G70" s="160">
        <v>0</v>
      </c>
      <c r="H70" s="159"/>
      <c r="I70" s="160">
        <v>0</v>
      </c>
      <c r="J70" s="160">
        <v>0</v>
      </c>
      <c r="K70" s="160">
        <v>0</v>
      </c>
      <c r="L70" s="160">
        <v>0</v>
      </c>
      <c r="M70" s="160">
        <v>0</v>
      </c>
      <c r="N70" s="160">
        <v>0</v>
      </c>
      <c r="O70" s="160">
        <v>0</v>
      </c>
      <c r="P70" s="160">
        <v>0</v>
      </c>
      <c r="Q70" s="384">
        <v>823925</v>
      </c>
      <c r="R70" s="160"/>
      <c r="S70" s="382">
        <f t="shared" si="3"/>
        <v>677130</v>
      </c>
      <c r="T70" s="160">
        <v>253700</v>
      </c>
      <c r="U70" s="163">
        <v>5038566</v>
      </c>
      <c r="V70" s="169" t="s">
        <v>212</v>
      </c>
    </row>
    <row r="71" spans="2:22">
      <c r="B71" s="385"/>
      <c r="C71" s="380">
        <f t="shared" si="2"/>
        <v>0</v>
      </c>
      <c r="D71" s="159"/>
      <c r="E71" s="160"/>
      <c r="F71" s="159"/>
      <c r="G71" s="160"/>
      <c r="H71" s="159"/>
      <c r="I71" s="161"/>
      <c r="J71" s="161"/>
      <c r="K71" s="161"/>
      <c r="L71" s="161"/>
      <c r="M71" s="161"/>
      <c r="N71" s="161"/>
      <c r="O71" s="161"/>
      <c r="P71" s="161"/>
      <c r="Q71" s="384"/>
      <c r="R71" s="160"/>
      <c r="S71" s="382">
        <f t="shared" si="3"/>
        <v>0</v>
      </c>
      <c r="T71" s="160">
        <v>209170</v>
      </c>
      <c r="U71" s="163">
        <v>5038565</v>
      </c>
      <c r="V71" s="169" t="s">
        <v>212</v>
      </c>
    </row>
    <row r="72" spans="2:22">
      <c r="B72" s="385"/>
      <c r="C72" s="380">
        <f t="shared" si="2"/>
        <v>0</v>
      </c>
      <c r="D72" s="159"/>
      <c r="E72" s="160"/>
      <c r="F72" s="159"/>
      <c r="G72" s="160"/>
      <c r="H72" s="159"/>
      <c r="I72" s="161"/>
      <c r="J72" s="161"/>
      <c r="K72" s="161"/>
      <c r="L72" s="161"/>
      <c r="M72" s="161"/>
      <c r="N72" s="161"/>
      <c r="O72" s="161"/>
      <c r="P72" s="161"/>
      <c r="Q72" s="384"/>
      <c r="R72" s="160"/>
      <c r="S72" s="382">
        <f t="shared" si="3"/>
        <v>0</v>
      </c>
      <c r="T72" s="160">
        <v>214260</v>
      </c>
      <c r="U72" s="163">
        <v>5038568</v>
      </c>
      <c r="V72" s="169" t="s">
        <v>213</v>
      </c>
    </row>
    <row r="73" spans="2:22">
      <c r="B73" s="385"/>
      <c r="C73" s="380">
        <f t="shared" si="2"/>
        <v>0</v>
      </c>
      <c r="D73" s="159"/>
      <c r="E73" s="160"/>
      <c r="F73" s="159"/>
      <c r="G73" s="160"/>
      <c r="H73" s="159"/>
      <c r="I73" s="161"/>
      <c r="J73" s="161"/>
      <c r="K73" s="161"/>
      <c r="L73" s="161"/>
      <c r="M73" s="161"/>
      <c r="N73" s="161"/>
      <c r="O73" s="161"/>
      <c r="P73" s="161"/>
      <c r="Q73" s="384"/>
      <c r="R73" s="160"/>
      <c r="S73" s="382">
        <f t="shared" si="3"/>
        <v>0</v>
      </c>
      <c r="T73" s="160"/>
      <c r="U73" s="163"/>
      <c r="V73" s="169"/>
    </row>
    <row r="74" spans="2:22">
      <c r="B74" s="385" t="s">
        <v>213</v>
      </c>
      <c r="C74" s="380">
        <f t="shared" ref="C74:C105" si="4">E74+G74+Q74</f>
        <v>1879610</v>
      </c>
      <c r="D74" s="159"/>
      <c r="E74" s="160">
        <v>1034020</v>
      </c>
      <c r="F74" s="159"/>
      <c r="G74" s="160">
        <v>0</v>
      </c>
      <c r="H74" s="159"/>
      <c r="I74" s="160">
        <v>0</v>
      </c>
      <c r="J74" s="160">
        <v>0</v>
      </c>
      <c r="K74" s="160">
        <v>0</v>
      </c>
      <c r="L74" s="160">
        <v>0</v>
      </c>
      <c r="M74" s="160">
        <v>0</v>
      </c>
      <c r="N74" s="160">
        <v>0</v>
      </c>
      <c r="O74" s="160">
        <v>0</v>
      </c>
      <c r="P74" s="160">
        <v>0</v>
      </c>
      <c r="Q74" s="384">
        <v>845590</v>
      </c>
      <c r="R74" s="160">
        <v>15000</v>
      </c>
      <c r="S74" s="382">
        <f t="shared" ref="S74:S105" si="5">E74-R74</f>
        <v>1019020</v>
      </c>
      <c r="T74" s="160">
        <v>244300</v>
      </c>
      <c r="U74" s="163">
        <v>5038567</v>
      </c>
      <c r="V74" s="162" t="s">
        <v>213</v>
      </c>
    </row>
    <row r="75" spans="2:22">
      <c r="B75" s="385"/>
      <c r="C75" s="380">
        <f t="shared" si="4"/>
        <v>0</v>
      </c>
      <c r="D75" s="159"/>
      <c r="E75" s="160"/>
      <c r="F75" s="159"/>
      <c r="G75" s="160"/>
      <c r="H75" s="159"/>
      <c r="I75" s="161"/>
      <c r="J75" s="161"/>
      <c r="K75" s="161"/>
      <c r="L75" s="161"/>
      <c r="M75" s="161"/>
      <c r="N75" s="161"/>
      <c r="O75" s="161"/>
      <c r="P75" s="161"/>
      <c r="Q75" s="384"/>
      <c r="R75" s="160"/>
      <c r="S75" s="382">
        <f t="shared" si="5"/>
        <v>0</v>
      </c>
      <c r="T75" s="160">
        <v>291090</v>
      </c>
      <c r="U75" s="163">
        <v>24503</v>
      </c>
      <c r="V75" s="169" t="s">
        <v>213</v>
      </c>
    </row>
    <row r="76" spans="2:22">
      <c r="B76" s="385"/>
      <c r="C76" s="380">
        <f t="shared" si="4"/>
        <v>0</v>
      </c>
      <c r="D76" s="159"/>
      <c r="E76" s="160"/>
      <c r="F76" s="159"/>
      <c r="G76" s="160"/>
      <c r="H76" s="159"/>
      <c r="I76" s="161"/>
      <c r="J76" s="161"/>
      <c r="K76" s="161"/>
      <c r="L76" s="161"/>
      <c r="M76" s="161"/>
      <c r="N76" s="161"/>
      <c r="O76" s="161"/>
      <c r="P76" s="161"/>
      <c r="Q76" s="384"/>
      <c r="R76" s="160"/>
      <c r="S76" s="382">
        <f t="shared" si="5"/>
        <v>0</v>
      </c>
      <c r="T76" s="160">
        <v>483630</v>
      </c>
      <c r="U76" s="163">
        <v>5040980</v>
      </c>
      <c r="V76" s="169" t="s">
        <v>214</v>
      </c>
    </row>
    <row r="77" spans="2:22">
      <c r="B77" s="385"/>
      <c r="C77" s="380">
        <f t="shared" si="4"/>
        <v>0</v>
      </c>
      <c r="D77" s="159"/>
      <c r="E77" s="160"/>
      <c r="F77" s="159"/>
      <c r="G77" s="160"/>
      <c r="H77" s="159"/>
      <c r="I77" s="161"/>
      <c r="J77" s="161"/>
      <c r="K77" s="161"/>
      <c r="L77" s="161"/>
      <c r="M77" s="161"/>
      <c r="N77" s="161"/>
      <c r="O77" s="161"/>
      <c r="P77" s="161"/>
      <c r="Q77" s="384"/>
      <c r="R77" s="160"/>
      <c r="S77" s="382">
        <f t="shared" si="5"/>
        <v>0</v>
      </c>
      <c r="T77" s="160"/>
      <c r="U77" s="163"/>
      <c r="V77" s="169"/>
    </row>
    <row r="78" spans="2:22">
      <c r="B78" s="385" t="s">
        <v>214</v>
      </c>
      <c r="C78" s="380">
        <f t="shared" si="4"/>
        <v>1946390</v>
      </c>
      <c r="D78" s="159"/>
      <c r="E78" s="160">
        <v>827695</v>
      </c>
      <c r="F78" s="159"/>
      <c r="G78" s="160">
        <v>0</v>
      </c>
      <c r="H78" s="159"/>
      <c r="I78" s="160">
        <v>0</v>
      </c>
      <c r="J78" s="160">
        <v>0</v>
      </c>
      <c r="K78" s="160">
        <v>0</v>
      </c>
      <c r="L78" s="160">
        <v>0</v>
      </c>
      <c r="M78" s="160">
        <v>0</v>
      </c>
      <c r="N78" s="160">
        <v>0</v>
      </c>
      <c r="O78" s="160">
        <v>0</v>
      </c>
      <c r="P78" s="160">
        <v>0</v>
      </c>
      <c r="Q78" s="384">
        <v>1118695</v>
      </c>
      <c r="R78" s="160">
        <v>40000</v>
      </c>
      <c r="S78" s="382">
        <f t="shared" si="5"/>
        <v>787695</v>
      </c>
      <c r="T78" s="160">
        <v>110665</v>
      </c>
      <c r="U78" s="163">
        <v>5040981</v>
      </c>
      <c r="V78" s="169" t="s">
        <v>214</v>
      </c>
    </row>
    <row r="79" spans="2:22">
      <c r="B79" s="385"/>
      <c r="C79" s="380">
        <f t="shared" si="4"/>
        <v>0</v>
      </c>
      <c r="D79" s="159"/>
      <c r="E79" s="160"/>
      <c r="F79" s="159"/>
      <c r="G79" s="160"/>
      <c r="H79" s="159"/>
      <c r="I79" s="161"/>
      <c r="J79" s="161"/>
      <c r="K79" s="161"/>
      <c r="L79" s="161"/>
      <c r="M79" s="161"/>
      <c r="N79" s="161"/>
      <c r="O79" s="161"/>
      <c r="P79" s="161"/>
      <c r="Q79" s="384"/>
      <c r="R79" s="160"/>
      <c r="S79" s="382">
        <f t="shared" si="5"/>
        <v>0</v>
      </c>
      <c r="T79" s="160">
        <v>270500</v>
      </c>
      <c r="U79" s="163">
        <v>5040981</v>
      </c>
      <c r="V79" s="169" t="s">
        <v>214</v>
      </c>
    </row>
    <row r="80" spans="2:22">
      <c r="B80" s="385"/>
      <c r="C80" s="380">
        <f t="shared" si="4"/>
        <v>0</v>
      </c>
      <c r="D80" s="159"/>
      <c r="E80" s="160"/>
      <c r="F80" s="159"/>
      <c r="G80" s="160"/>
      <c r="H80" s="159"/>
      <c r="I80" s="161"/>
      <c r="J80" s="161"/>
      <c r="K80" s="161"/>
      <c r="L80" s="161"/>
      <c r="M80" s="161"/>
      <c r="N80" s="161"/>
      <c r="O80" s="161"/>
      <c r="P80" s="161"/>
      <c r="Q80" s="384"/>
      <c r="R80" s="160"/>
      <c r="S80" s="382">
        <f t="shared" si="5"/>
        <v>0</v>
      </c>
      <c r="T80" s="160">
        <v>406530</v>
      </c>
      <c r="U80" s="163">
        <v>5040985</v>
      </c>
      <c r="V80" s="169" t="s">
        <v>215</v>
      </c>
    </row>
    <row r="81" spans="2:22">
      <c r="B81" s="385"/>
      <c r="C81" s="380">
        <f t="shared" si="4"/>
        <v>0</v>
      </c>
      <c r="D81" s="159"/>
      <c r="E81" s="160"/>
      <c r="F81" s="159"/>
      <c r="G81" s="160"/>
      <c r="H81" s="159"/>
      <c r="I81" s="161"/>
      <c r="J81" s="161"/>
      <c r="K81" s="161"/>
      <c r="L81" s="161"/>
      <c r="M81" s="161"/>
      <c r="N81" s="161"/>
      <c r="O81" s="161"/>
      <c r="P81" s="161"/>
      <c r="Q81" s="384"/>
      <c r="R81" s="160"/>
      <c r="S81" s="382">
        <f t="shared" si="5"/>
        <v>0</v>
      </c>
      <c r="T81" s="160"/>
      <c r="U81" s="163"/>
      <c r="V81" s="169"/>
    </row>
    <row r="82" spans="2:22">
      <c r="B82" s="385" t="s">
        <v>216</v>
      </c>
      <c r="C82" s="380">
        <f t="shared" si="4"/>
        <v>1709350</v>
      </c>
      <c r="D82" s="159"/>
      <c r="E82" s="160">
        <v>948665</v>
      </c>
      <c r="F82" s="159"/>
      <c r="G82" s="160">
        <v>0</v>
      </c>
      <c r="H82" s="159"/>
      <c r="I82" s="160">
        <v>0</v>
      </c>
      <c r="J82" s="160">
        <v>0</v>
      </c>
      <c r="K82" s="160">
        <v>0</v>
      </c>
      <c r="L82" s="160">
        <v>0</v>
      </c>
      <c r="M82" s="160">
        <v>0</v>
      </c>
      <c r="N82" s="160">
        <v>0</v>
      </c>
      <c r="O82" s="160">
        <v>0</v>
      </c>
      <c r="P82" s="160">
        <v>0</v>
      </c>
      <c r="Q82" s="384">
        <v>760685</v>
      </c>
      <c r="R82" s="160"/>
      <c r="S82" s="382">
        <f t="shared" si="5"/>
        <v>948665</v>
      </c>
      <c r="T82" s="160">
        <v>948665</v>
      </c>
      <c r="U82" s="163">
        <v>5040984</v>
      </c>
      <c r="V82" s="169" t="s">
        <v>215</v>
      </c>
    </row>
    <row r="83" spans="2:22">
      <c r="B83" s="385"/>
      <c r="C83" s="380">
        <f t="shared" si="4"/>
        <v>0</v>
      </c>
      <c r="D83" s="159"/>
      <c r="E83" s="160"/>
      <c r="F83" s="159"/>
      <c r="G83" s="160"/>
      <c r="H83" s="159"/>
      <c r="I83" s="161"/>
      <c r="J83" s="161"/>
      <c r="K83" s="161"/>
      <c r="L83" s="161"/>
      <c r="M83" s="161"/>
      <c r="N83" s="161"/>
      <c r="O83" s="161"/>
      <c r="P83" s="161"/>
      <c r="Q83" s="384"/>
      <c r="R83" s="160"/>
      <c r="S83" s="382">
        <f t="shared" si="5"/>
        <v>0</v>
      </c>
      <c r="T83" s="160"/>
      <c r="U83" s="163"/>
      <c r="V83" s="169"/>
    </row>
    <row r="84" spans="2:22">
      <c r="B84" s="385" t="s">
        <v>217</v>
      </c>
      <c r="C84" s="380">
        <f t="shared" si="4"/>
        <v>1415010</v>
      </c>
      <c r="D84" s="159"/>
      <c r="E84" s="160">
        <v>1032660</v>
      </c>
      <c r="F84" s="159"/>
      <c r="G84" s="160">
        <v>0</v>
      </c>
      <c r="H84" s="159"/>
      <c r="I84" s="160">
        <v>0</v>
      </c>
      <c r="J84" s="160">
        <v>0</v>
      </c>
      <c r="K84" s="160">
        <v>0</v>
      </c>
      <c r="L84" s="160">
        <v>0</v>
      </c>
      <c r="M84" s="160">
        <v>0</v>
      </c>
      <c r="N84" s="160">
        <v>0</v>
      </c>
      <c r="O84" s="160">
        <v>0</v>
      </c>
      <c r="P84" s="160">
        <v>0</v>
      </c>
      <c r="Q84" s="384">
        <v>382350</v>
      </c>
      <c r="R84" s="160"/>
      <c r="S84" s="382">
        <f t="shared" si="5"/>
        <v>1032660</v>
      </c>
      <c r="T84" s="160">
        <v>1032660</v>
      </c>
      <c r="U84" s="163">
        <v>5040983</v>
      </c>
      <c r="V84" s="162" t="s">
        <v>215</v>
      </c>
    </row>
    <row r="85" spans="2:22">
      <c r="B85" s="385"/>
      <c r="C85" s="380">
        <f t="shared" si="4"/>
        <v>0</v>
      </c>
      <c r="D85" s="159"/>
      <c r="E85" s="160"/>
      <c r="F85" s="159"/>
      <c r="G85" s="160"/>
      <c r="H85" s="159"/>
      <c r="I85" s="161"/>
      <c r="J85" s="161"/>
      <c r="K85" s="161"/>
      <c r="L85" s="161"/>
      <c r="M85" s="161"/>
      <c r="N85" s="161"/>
      <c r="O85" s="161"/>
      <c r="P85" s="161"/>
      <c r="Q85" s="384"/>
      <c r="R85" s="160"/>
      <c r="S85" s="382">
        <f t="shared" si="5"/>
        <v>0</v>
      </c>
      <c r="T85" s="160"/>
      <c r="U85" s="163"/>
      <c r="V85" s="162"/>
    </row>
    <row r="86" spans="2:22">
      <c r="B86" s="385" t="s">
        <v>215</v>
      </c>
      <c r="C86" s="380">
        <f t="shared" si="4"/>
        <v>1742915</v>
      </c>
      <c r="D86" s="159"/>
      <c r="E86" s="160">
        <v>979900</v>
      </c>
      <c r="F86" s="159"/>
      <c r="G86" s="160">
        <v>0</v>
      </c>
      <c r="H86" s="159"/>
      <c r="I86" s="160">
        <v>0</v>
      </c>
      <c r="J86" s="160">
        <v>0</v>
      </c>
      <c r="K86" s="160">
        <v>0</v>
      </c>
      <c r="L86" s="160">
        <v>0</v>
      </c>
      <c r="M86" s="160">
        <v>0</v>
      </c>
      <c r="N86" s="160">
        <v>0</v>
      </c>
      <c r="O86" s="160">
        <v>0</v>
      </c>
      <c r="P86" s="160">
        <v>0</v>
      </c>
      <c r="Q86" s="384">
        <v>763015</v>
      </c>
      <c r="R86" s="160"/>
      <c r="S86" s="382">
        <f t="shared" si="5"/>
        <v>979900</v>
      </c>
      <c r="T86" s="160">
        <v>228000</v>
      </c>
      <c r="U86" s="163">
        <v>5040986</v>
      </c>
      <c r="V86" s="162" t="s">
        <v>215</v>
      </c>
    </row>
    <row r="87" spans="2:22">
      <c r="B87" s="385"/>
      <c r="C87" s="380">
        <f t="shared" si="4"/>
        <v>0</v>
      </c>
      <c r="D87" s="159"/>
      <c r="E87" s="160"/>
      <c r="F87" s="159"/>
      <c r="G87" s="160"/>
      <c r="H87" s="159"/>
      <c r="I87" s="161"/>
      <c r="J87" s="161"/>
      <c r="K87" s="161"/>
      <c r="L87" s="161"/>
      <c r="M87" s="161"/>
      <c r="N87" s="161"/>
      <c r="O87" s="161"/>
      <c r="P87" s="161"/>
      <c r="Q87" s="384"/>
      <c r="R87" s="160"/>
      <c r="S87" s="382">
        <f t="shared" si="5"/>
        <v>0</v>
      </c>
      <c r="T87" s="160">
        <v>331180</v>
      </c>
      <c r="U87" s="163">
        <v>5040987</v>
      </c>
      <c r="V87" s="169" t="s">
        <v>215</v>
      </c>
    </row>
    <row r="88" spans="2:22">
      <c r="B88" s="385"/>
      <c r="C88" s="380">
        <f t="shared" si="4"/>
        <v>0</v>
      </c>
      <c r="D88" s="159"/>
      <c r="E88" s="160"/>
      <c r="F88" s="159"/>
      <c r="G88" s="160"/>
      <c r="H88" s="159"/>
      <c r="I88" s="161"/>
      <c r="J88" s="161"/>
      <c r="K88" s="161"/>
      <c r="L88" s="161"/>
      <c r="M88" s="161"/>
      <c r="N88" s="161"/>
      <c r="O88" s="161"/>
      <c r="P88" s="161"/>
      <c r="Q88" s="384"/>
      <c r="R88" s="160"/>
      <c r="S88" s="382">
        <f t="shared" si="5"/>
        <v>0</v>
      </c>
      <c r="T88" s="160">
        <v>420720</v>
      </c>
      <c r="U88" s="163">
        <v>5040988</v>
      </c>
      <c r="V88" s="162" t="s">
        <v>218</v>
      </c>
    </row>
    <row r="89" spans="2:22">
      <c r="B89" s="385"/>
      <c r="C89" s="380">
        <f t="shared" si="4"/>
        <v>0</v>
      </c>
      <c r="D89" s="159"/>
      <c r="E89" s="160"/>
      <c r="F89" s="159"/>
      <c r="G89" s="160"/>
      <c r="H89" s="159"/>
      <c r="I89" s="161"/>
      <c r="J89" s="161"/>
      <c r="K89" s="161"/>
      <c r="L89" s="161"/>
      <c r="M89" s="161"/>
      <c r="N89" s="161"/>
      <c r="O89" s="161"/>
      <c r="P89" s="161"/>
      <c r="Q89" s="384"/>
      <c r="R89" s="160"/>
      <c r="S89" s="382">
        <f t="shared" si="5"/>
        <v>0</v>
      </c>
      <c r="T89" s="160"/>
      <c r="U89" s="163"/>
      <c r="V89" s="169"/>
    </row>
    <row r="90" spans="2:22">
      <c r="B90" s="385" t="s">
        <v>218</v>
      </c>
      <c r="C90" s="380">
        <f t="shared" si="4"/>
        <v>1967770</v>
      </c>
      <c r="D90" s="159"/>
      <c r="E90" s="160">
        <v>1213920</v>
      </c>
      <c r="F90" s="159"/>
      <c r="G90" s="160">
        <v>0</v>
      </c>
      <c r="H90" s="159"/>
      <c r="I90" s="160">
        <v>0</v>
      </c>
      <c r="J90" s="160">
        <v>0</v>
      </c>
      <c r="K90" s="160">
        <v>0</v>
      </c>
      <c r="L90" s="160">
        <v>0</v>
      </c>
      <c r="M90" s="160">
        <v>0</v>
      </c>
      <c r="N90" s="160">
        <v>0</v>
      </c>
      <c r="O90" s="160">
        <v>0</v>
      </c>
      <c r="P90" s="160">
        <v>0</v>
      </c>
      <c r="Q90" s="384">
        <v>753850</v>
      </c>
      <c r="R90" s="160"/>
      <c r="S90" s="382">
        <f t="shared" si="5"/>
        <v>1213920</v>
      </c>
      <c r="T90" s="160">
        <v>223000</v>
      </c>
      <c r="U90" s="163">
        <v>5040989</v>
      </c>
      <c r="V90" s="169" t="s">
        <v>218</v>
      </c>
    </row>
    <row r="91" spans="2:22">
      <c r="B91" s="385"/>
      <c r="C91" s="380">
        <f t="shared" si="4"/>
        <v>0</v>
      </c>
      <c r="D91" s="159"/>
      <c r="E91" s="160"/>
      <c r="F91" s="159"/>
      <c r="G91" s="160"/>
      <c r="H91" s="159"/>
      <c r="I91" s="161"/>
      <c r="J91" s="161"/>
      <c r="K91" s="161"/>
      <c r="L91" s="161"/>
      <c r="M91" s="161"/>
      <c r="N91" s="161"/>
      <c r="O91" s="161"/>
      <c r="P91" s="161"/>
      <c r="Q91" s="384"/>
      <c r="R91" s="160"/>
      <c r="S91" s="382">
        <f t="shared" si="5"/>
        <v>0</v>
      </c>
      <c r="T91" s="160">
        <v>990920</v>
      </c>
      <c r="U91" s="163">
        <v>5040991</v>
      </c>
      <c r="V91" s="169" t="s">
        <v>219</v>
      </c>
    </row>
    <row r="92" spans="2:22">
      <c r="B92" s="385"/>
      <c r="C92" s="380">
        <f t="shared" si="4"/>
        <v>0</v>
      </c>
      <c r="D92" s="159"/>
      <c r="E92" s="160"/>
      <c r="F92" s="159"/>
      <c r="G92" s="160"/>
      <c r="H92" s="159"/>
      <c r="I92" s="161"/>
      <c r="J92" s="161"/>
      <c r="K92" s="161"/>
      <c r="L92" s="161"/>
      <c r="M92" s="161"/>
      <c r="N92" s="161"/>
      <c r="O92" s="161"/>
      <c r="P92" s="161"/>
      <c r="Q92" s="384"/>
      <c r="R92" s="160"/>
      <c r="S92" s="382">
        <f t="shared" si="5"/>
        <v>0</v>
      </c>
      <c r="T92" s="160"/>
      <c r="U92" s="163"/>
      <c r="V92" s="169"/>
    </row>
    <row r="93" spans="2:22">
      <c r="B93" s="385" t="s">
        <v>219</v>
      </c>
      <c r="C93" s="380">
        <f t="shared" si="4"/>
        <v>1991535</v>
      </c>
      <c r="D93" s="159"/>
      <c r="E93" s="160">
        <v>1391890</v>
      </c>
      <c r="F93" s="159"/>
      <c r="G93" s="160">
        <v>0</v>
      </c>
      <c r="H93" s="159"/>
      <c r="I93" s="160">
        <v>0</v>
      </c>
      <c r="J93" s="160">
        <v>0</v>
      </c>
      <c r="K93" s="160">
        <v>0</v>
      </c>
      <c r="L93" s="160">
        <v>0</v>
      </c>
      <c r="M93" s="160">
        <v>0</v>
      </c>
      <c r="N93" s="160">
        <v>0</v>
      </c>
      <c r="O93" s="160">
        <v>0</v>
      </c>
      <c r="P93" s="160">
        <v>0</v>
      </c>
      <c r="Q93" s="384">
        <v>599645</v>
      </c>
      <c r="R93" s="160"/>
      <c r="S93" s="382">
        <f t="shared" si="5"/>
        <v>1391890</v>
      </c>
      <c r="T93" s="160">
        <v>363700</v>
      </c>
      <c r="U93" s="163">
        <v>504992</v>
      </c>
      <c r="V93" s="162" t="s">
        <v>219</v>
      </c>
    </row>
    <row r="94" spans="2:22">
      <c r="B94" s="385"/>
      <c r="C94" s="380">
        <f t="shared" si="4"/>
        <v>0</v>
      </c>
      <c r="D94" s="159"/>
      <c r="E94" s="160"/>
      <c r="F94" s="159"/>
      <c r="G94" s="160"/>
      <c r="H94" s="159"/>
      <c r="I94" s="161"/>
      <c r="J94" s="161"/>
      <c r="K94" s="161"/>
      <c r="L94" s="161"/>
      <c r="M94" s="161"/>
      <c r="N94" s="161"/>
      <c r="O94" s="161"/>
      <c r="P94" s="161"/>
      <c r="Q94" s="384"/>
      <c r="R94" s="160"/>
      <c r="S94" s="382">
        <f t="shared" si="5"/>
        <v>0</v>
      </c>
      <c r="T94" s="160">
        <v>335730</v>
      </c>
      <c r="U94" s="163">
        <v>5040992</v>
      </c>
      <c r="V94" s="169" t="s">
        <v>219</v>
      </c>
    </row>
    <row r="95" spans="2:22">
      <c r="B95" s="385"/>
      <c r="C95" s="380">
        <f t="shared" si="4"/>
        <v>0</v>
      </c>
      <c r="D95" s="159"/>
      <c r="E95" s="160"/>
      <c r="F95" s="159"/>
      <c r="G95" s="160"/>
      <c r="H95" s="159"/>
      <c r="I95" s="161"/>
      <c r="J95" s="161"/>
      <c r="K95" s="161"/>
      <c r="L95" s="161"/>
      <c r="M95" s="161"/>
      <c r="N95" s="161"/>
      <c r="O95" s="161"/>
      <c r="P95" s="161"/>
      <c r="Q95" s="384"/>
      <c r="R95" s="160"/>
      <c r="S95" s="382">
        <f t="shared" si="5"/>
        <v>0</v>
      </c>
      <c r="T95" s="160">
        <v>692460</v>
      </c>
      <c r="U95" s="163">
        <v>5040993</v>
      </c>
      <c r="V95" s="169" t="s">
        <v>220</v>
      </c>
    </row>
    <row r="96" spans="2:22">
      <c r="B96" s="385"/>
      <c r="C96" s="380">
        <f t="shared" si="4"/>
        <v>0</v>
      </c>
      <c r="D96" s="159"/>
      <c r="E96" s="160"/>
      <c r="F96" s="159"/>
      <c r="G96" s="160"/>
      <c r="H96" s="159"/>
      <c r="I96" s="161"/>
      <c r="J96" s="161"/>
      <c r="K96" s="161"/>
      <c r="L96" s="161"/>
      <c r="M96" s="161"/>
      <c r="N96" s="161"/>
      <c r="O96" s="161"/>
      <c r="P96" s="161"/>
      <c r="Q96" s="384"/>
      <c r="R96" s="160"/>
      <c r="S96" s="382">
        <f t="shared" si="5"/>
        <v>0</v>
      </c>
      <c r="T96" s="160"/>
      <c r="U96" s="163"/>
      <c r="V96" s="169"/>
    </row>
    <row r="97" spans="2:22">
      <c r="B97" s="385" t="s">
        <v>220</v>
      </c>
      <c r="C97" s="380">
        <f t="shared" si="4"/>
        <v>1760030</v>
      </c>
      <c r="D97" s="159"/>
      <c r="E97" s="160">
        <v>932850</v>
      </c>
      <c r="F97" s="159"/>
      <c r="G97" s="160">
        <v>0</v>
      </c>
      <c r="H97" s="159"/>
      <c r="I97" s="160">
        <v>0</v>
      </c>
      <c r="J97" s="160">
        <v>0</v>
      </c>
      <c r="K97" s="160">
        <v>0</v>
      </c>
      <c r="L97" s="160">
        <v>0</v>
      </c>
      <c r="M97" s="160">
        <v>0</v>
      </c>
      <c r="N97" s="160">
        <v>0</v>
      </c>
      <c r="O97" s="160">
        <v>0</v>
      </c>
      <c r="P97" s="160">
        <v>0</v>
      </c>
      <c r="Q97" s="384">
        <v>827180</v>
      </c>
      <c r="R97" s="160"/>
      <c r="S97" s="382">
        <f t="shared" si="5"/>
        <v>932850</v>
      </c>
      <c r="T97" s="160">
        <v>243810</v>
      </c>
      <c r="U97" s="163">
        <v>5040994</v>
      </c>
      <c r="V97" s="169" t="s">
        <v>220</v>
      </c>
    </row>
    <row r="98" spans="2:22">
      <c r="B98" s="385"/>
      <c r="C98" s="380">
        <f t="shared" si="4"/>
        <v>0</v>
      </c>
      <c r="D98" s="159"/>
      <c r="E98" s="160"/>
      <c r="F98" s="159"/>
      <c r="G98" s="160"/>
      <c r="H98" s="159"/>
      <c r="I98" s="161"/>
      <c r="J98" s="161"/>
      <c r="K98" s="161"/>
      <c r="L98" s="161"/>
      <c r="M98" s="161"/>
      <c r="N98" s="161"/>
      <c r="O98" s="161"/>
      <c r="P98" s="161"/>
      <c r="Q98" s="384"/>
      <c r="R98" s="160"/>
      <c r="S98" s="382">
        <f t="shared" si="5"/>
        <v>0</v>
      </c>
      <c r="T98" s="160">
        <v>262990</v>
      </c>
      <c r="U98" s="163">
        <v>5040995</v>
      </c>
      <c r="V98" s="169" t="s">
        <v>220</v>
      </c>
    </row>
    <row r="99" spans="2:22">
      <c r="B99" s="385"/>
      <c r="C99" s="380">
        <f t="shared" si="4"/>
        <v>0</v>
      </c>
      <c r="D99" s="159"/>
      <c r="E99" s="160"/>
      <c r="F99" s="159"/>
      <c r="G99" s="160"/>
      <c r="H99" s="159"/>
      <c r="I99" s="161"/>
      <c r="J99" s="161"/>
      <c r="K99" s="161"/>
      <c r="L99" s="161"/>
      <c r="M99" s="161"/>
      <c r="N99" s="161"/>
      <c r="O99" s="161"/>
      <c r="P99" s="161"/>
      <c r="Q99" s="384"/>
      <c r="R99" s="160"/>
      <c r="S99" s="382">
        <f t="shared" si="5"/>
        <v>0</v>
      </c>
      <c r="T99" s="160">
        <v>426100</v>
      </c>
      <c r="U99" s="163">
        <v>208642</v>
      </c>
      <c r="V99" s="162" t="s">
        <v>221</v>
      </c>
    </row>
    <row r="100" spans="2:22">
      <c r="B100" s="385"/>
      <c r="C100" s="380">
        <f t="shared" si="4"/>
        <v>0</v>
      </c>
      <c r="D100" s="159"/>
      <c r="E100" s="160"/>
      <c r="F100" s="159"/>
      <c r="G100" s="160"/>
      <c r="H100" s="159"/>
      <c r="I100" s="161"/>
      <c r="J100" s="161"/>
      <c r="K100" s="161"/>
      <c r="L100" s="161"/>
      <c r="M100" s="161"/>
      <c r="N100" s="161"/>
      <c r="O100" s="161"/>
      <c r="P100" s="161"/>
      <c r="Q100" s="384"/>
      <c r="R100" s="160"/>
      <c r="S100" s="382">
        <f t="shared" si="5"/>
        <v>0</v>
      </c>
      <c r="T100" s="160"/>
      <c r="U100" s="163"/>
      <c r="V100" s="169"/>
    </row>
    <row r="101" spans="2:22">
      <c r="B101" s="385" t="s">
        <v>221</v>
      </c>
      <c r="C101" s="380">
        <f t="shared" si="4"/>
        <v>2051215</v>
      </c>
      <c r="D101" s="159"/>
      <c r="E101" s="160">
        <v>956736</v>
      </c>
      <c r="F101" s="159"/>
      <c r="G101" s="160">
        <v>0</v>
      </c>
      <c r="H101" s="159"/>
      <c r="I101" s="160">
        <v>0</v>
      </c>
      <c r="J101" s="160">
        <v>0</v>
      </c>
      <c r="K101" s="160">
        <v>0</v>
      </c>
      <c r="L101" s="160">
        <v>0</v>
      </c>
      <c r="M101" s="160">
        <v>0</v>
      </c>
      <c r="N101" s="160">
        <v>0</v>
      </c>
      <c r="O101" s="160">
        <v>0</v>
      </c>
      <c r="P101" s="160">
        <v>0</v>
      </c>
      <c r="Q101" s="384">
        <v>1094479</v>
      </c>
      <c r="R101" s="160"/>
      <c r="S101" s="382">
        <f t="shared" si="5"/>
        <v>956736</v>
      </c>
      <c r="T101" s="160">
        <v>319500</v>
      </c>
      <c r="U101" s="163">
        <v>208644</v>
      </c>
      <c r="V101" s="162" t="s">
        <v>221</v>
      </c>
    </row>
    <row r="102" spans="2:22">
      <c r="B102" s="385"/>
      <c r="C102" s="380">
        <f t="shared" si="4"/>
        <v>0</v>
      </c>
      <c r="D102" s="159"/>
      <c r="E102" s="160"/>
      <c r="F102" s="159"/>
      <c r="G102" s="160"/>
      <c r="H102" s="159"/>
      <c r="I102" s="161"/>
      <c r="J102" s="161"/>
      <c r="K102" s="161"/>
      <c r="L102" s="161"/>
      <c r="M102" s="161"/>
      <c r="N102" s="161"/>
      <c r="O102" s="161"/>
      <c r="P102" s="161"/>
      <c r="Q102" s="384"/>
      <c r="R102" s="160"/>
      <c r="S102" s="386">
        <f t="shared" si="5"/>
        <v>0</v>
      </c>
      <c r="T102" s="160">
        <v>637240</v>
      </c>
      <c r="U102" s="163">
        <v>5040997</v>
      </c>
      <c r="V102" s="162">
        <v>43138</v>
      </c>
    </row>
    <row r="103" spans="2:22">
      <c r="B103" s="385"/>
      <c r="C103" s="380">
        <f t="shared" si="4"/>
        <v>0</v>
      </c>
      <c r="D103" s="159"/>
      <c r="E103" s="160"/>
      <c r="F103" s="159"/>
      <c r="G103" s="160"/>
      <c r="H103" s="159"/>
      <c r="I103" s="161"/>
      <c r="J103" s="161"/>
      <c r="K103" s="161"/>
      <c r="L103" s="161"/>
      <c r="M103" s="161"/>
      <c r="N103" s="161"/>
      <c r="O103" s="161"/>
      <c r="P103" s="161"/>
      <c r="Q103" s="384"/>
      <c r="R103" s="160"/>
      <c r="S103" s="386">
        <f t="shared" si="5"/>
        <v>0</v>
      </c>
      <c r="T103" s="160"/>
      <c r="U103" s="163"/>
      <c r="V103" s="162"/>
    </row>
    <row r="104" spans="2:22">
      <c r="B104" s="385" t="s">
        <v>222</v>
      </c>
      <c r="C104" s="380">
        <f t="shared" si="4"/>
        <v>1765035</v>
      </c>
      <c r="D104" s="159"/>
      <c r="E104" s="160">
        <v>988670</v>
      </c>
      <c r="F104" s="159"/>
      <c r="G104" s="160">
        <v>0</v>
      </c>
      <c r="H104" s="159"/>
      <c r="I104" s="160">
        <v>0</v>
      </c>
      <c r="J104" s="160">
        <v>0</v>
      </c>
      <c r="K104" s="160">
        <v>0</v>
      </c>
      <c r="L104" s="160">
        <v>0</v>
      </c>
      <c r="M104" s="160">
        <v>0</v>
      </c>
      <c r="N104" s="160">
        <v>0</v>
      </c>
      <c r="O104" s="160">
        <v>0</v>
      </c>
      <c r="P104" s="160">
        <v>0</v>
      </c>
      <c r="Q104" s="384">
        <v>776365</v>
      </c>
      <c r="R104" s="160"/>
      <c r="S104" s="382">
        <f t="shared" si="5"/>
        <v>988670</v>
      </c>
      <c r="T104" s="160">
        <v>988670</v>
      </c>
      <c r="U104" s="163">
        <v>5040999</v>
      </c>
      <c r="V104" s="162">
        <v>43138</v>
      </c>
    </row>
    <row r="105" spans="2:22">
      <c r="B105" s="387"/>
      <c r="C105" s="388">
        <f t="shared" si="4"/>
        <v>0</v>
      </c>
      <c r="D105" s="389"/>
      <c r="E105" s="390"/>
      <c r="F105" s="389"/>
      <c r="G105" s="391"/>
      <c r="H105" s="389"/>
      <c r="I105" s="392"/>
      <c r="J105" s="392"/>
      <c r="K105" s="392"/>
      <c r="L105" s="392"/>
      <c r="M105" s="392"/>
      <c r="N105" s="392"/>
      <c r="O105" s="392"/>
      <c r="P105" s="392"/>
      <c r="Q105" s="393"/>
      <c r="R105" s="390"/>
      <c r="S105" s="394">
        <f t="shared" si="5"/>
        <v>0</v>
      </c>
      <c r="T105" s="395"/>
      <c r="U105" s="396"/>
      <c r="V105" s="397"/>
    </row>
    <row r="106" spans="2:22">
      <c r="B106" s="170" t="s">
        <v>124</v>
      </c>
      <c r="C106" s="171">
        <f>SUM(C10:C105)</f>
        <v>57983575</v>
      </c>
      <c r="D106" s="172"/>
      <c r="E106" s="173">
        <f>SUM(E10:E105)</f>
        <v>32937551</v>
      </c>
      <c r="F106" s="174"/>
      <c r="G106" s="173">
        <f>SUM(G10:G105)</f>
        <v>0</v>
      </c>
      <c r="H106" s="174"/>
      <c r="I106" s="173">
        <f t="shared" ref="I106:T106" si="6">SUM(I10:I105)</f>
        <v>0</v>
      </c>
      <c r="J106" s="173">
        <f t="shared" si="6"/>
        <v>0</v>
      </c>
      <c r="K106" s="173">
        <f t="shared" si="6"/>
        <v>0</v>
      </c>
      <c r="L106" s="173">
        <f t="shared" si="6"/>
        <v>0</v>
      </c>
      <c r="M106" s="173">
        <f t="shared" si="6"/>
        <v>0</v>
      </c>
      <c r="N106" s="173">
        <f t="shared" si="6"/>
        <v>0</v>
      </c>
      <c r="O106" s="173">
        <f t="shared" si="6"/>
        <v>0</v>
      </c>
      <c r="P106" s="173">
        <f t="shared" si="6"/>
        <v>0</v>
      </c>
      <c r="Q106" s="174">
        <f t="shared" si="6"/>
        <v>25046024</v>
      </c>
      <c r="R106" s="173">
        <f t="shared" si="6"/>
        <v>186700</v>
      </c>
      <c r="S106" s="175">
        <f t="shared" si="6"/>
        <v>32750851</v>
      </c>
      <c r="T106" s="175">
        <f t="shared" si="6"/>
        <v>32750935</v>
      </c>
      <c r="U106" s="398"/>
      <c r="V106" s="398"/>
    </row>
    <row r="108" spans="2:22">
      <c r="S108" s="399"/>
    </row>
  </sheetData>
  <mergeCells count="1">
    <mergeCell ref="I7:P7"/>
  </mergeCells>
  <pageMargins left="0.7" right="0.7" top="0.75" bottom="0.75" header="0.3" footer="0.3"/>
  <pageSetup paperSize="9" scale="26" orientation="portrait" useFirstPageNumber="1"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1.Guideline</vt:lpstr>
      <vt:lpstr>2. Sales&gt;&gt;Cash Position</vt:lpstr>
      <vt:lpstr>3.Stock Position</vt:lpstr>
      <vt:lpstr>4.Lodgement Sheet</vt:lpstr>
      <vt:lpstr>5.PMS Consumption and Pour back</vt:lpstr>
      <vt:lpstr>6.AGO Consumption and Pour back</vt:lpstr>
      <vt:lpstr>7.DPK Consumption and Pour back</vt:lpstr>
      <vt:lpstr>8.Product Received</vt:lpstr>
      <vt:lpstr>9.Expenses for the Month</vt:lpstr>
      <vt:lpstr>10.Record of Stock Position</vt:lpstr>
      <vt:lpstr>Customers' Ledger</vt:lpstr>
      <vt:lpstr>Castro Lubricants</vt:lpstr>
      <vt:lpstr>Sheet1 (2)</vt:lpstr>
      <vt:lpstr>'1.Guideline'!Print_Area</vt:lpstr>
      <vt:lpstr>'10.Record of Stock Position'!Print_Area</vt:lpstr>
      <vt:lpstr>'2. Sales&gt;&gt;Cash Position'!Print_Area</vt:lpstr>
      <vt:lpstr>'3.Stock Position'!Print_Area</vt:lpstr>
      <vt:lpstr>'4.Lodgement Sheet'!Print_Area</vt:lpstr>
      <vt:lpstr>'5.PMS Consumption and Pour back'!Print_Area</vt:lpstr>
      <vt:lpstr>'6.AGO Consumption and Pour back'!Print_Area</vt:lpstr>
      <vt:lpstr>'7.DPK Consumption and Pour back'!Print_Area</vt:lpstr>
      <vt:lpstr>'8.Product Received'!Print_Area</vt:lpstr>
      <vt:lpstr>'9.Expenses for the Month'!Print_Area</vt:lpstr>
      <vt:lpstr>'Sheet1 (2)'!Print_Area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2018-08-15T09:23:00Z</dcterms:created>
  <dcterms:modified xsi:type="dcterms:W3CDTF">2026-03-17T13:55:51Z</dcterms:modified>
</cp:coreProperties>
</file>