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5"/>
  <workbookPr defaultThemeVersion="124226"/>
  <xr:revisionPtr revIDLastSave="0" documentId="11_FB7FEB7668C2A6693313DC3515E03DCA2290FC0B" xr6:coauthVersionLast="47" xr6:coauthVersionMax="47" xr10:uidLastSave="{00000000-0000-0000-0000-000000000000}"/>
  <bookViews>
    <workbookView xWindow="240" yWindow="135" windowWidth="20115" windowHeight="8010" xr2:uid="{00000000-000D-0000-FFFF-FFFF00000000}"/>
  </bookViews>
  <sheets>
    <sheet name="TEMPLATE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" i="1" l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3" i="1"/>
  <c r="K43" i="1"/>
  <c r="Q43" i="1"/>
  <c r="L3" i="1" a="1"/>
  <c r="L3" i="1" s="1"/>
  <c r="N3" i="1" s="1"/>
  <c r="L4" i="1" l="1" a="1"/>
  <c r="L4" i="1" s="1"/>
  <c r="M4" i="1" s="1"/>
  <c r="O3" i="1"/>
  <c r="M3" i="1"/>
  <c r="P3" i="1" l="1"/>
  <c r="L5" i="1" a="1"/>
  <c r="L5" i="1" s="1"/>
  <c r="L6" i="1" s="1" a="1"/>
  <c r="L6" i="1" s="1"/>
  <c r="O4" i="1"/>
  <c r="P4" i="1" s="1"/>
  <c r="N4" i="1"/>
  <c r="R3" i="1" l="1"/>
  <c r="R43" i="1" s="1"/>
  <c r="M6" i="1"/>
  <c r="O6" i="1"/>
  <c r="N6" i="1"/>
  <c r="L7" i="1" a="1"/>
  <c r="L7" i="1" s="1"/>
  <c r="M5" i="1"/>
  <c r="O5" i="1"/>
  <c r="N5" i="1"/>
  <c r="P6" i="1" l="1"/>
  <c r="P5" i="1"/>
  <c r="O7" i="1"/>
  <c r="N7" i="1"/>
  <c r="M7" i="1"/>
  <c r="L8" i="1" a="1"/>
  <c r="L8" i="1" s="1"/>
  <c r="M8" i="1" s="1"/>
  <c r="P7" i="1" l="1"/>
  <c r="L9" i="1" a="1"/>
  <c r="L9" i="1" s="1"/>
  <c r="O8" i="1"/>
  <c r="P8" i="1" s="1"/>
  <c r="N8" i="1"/>
  <c r="L10" i="1" l="1" a="1"/>
  <c r="L10" i="1" s="1"/>
  <c r="M9" i="1"/>
  <c r="O9" i="1"/>
  <c r="N9" i="1"/>
  <c r="P9" i="1" l="1"/>
  <c r="M10" i="1"/>
  <c r="O10" i="1"/>
  <c r="N10" i="1"/>
  <c r="L11" i="1" a="1"/>
  <c r="L11" i="1" s="1"/>
  <c r="P10" i="1" l="1"/>
  <c r="M11" i="1"/>
  <c r="O11" i="1"/>
  <c r="N11" i="1"/>
  <c r="L12" i="1" a="1"/>
  <c r="L12" i="1" s="1"/>
  <c r="P11" i="1" l="1"/>
  <c r="L13" i="1" a="1"/>
  <c r="L13" i="1" s="1"/>
  <c r="O12" i="1"/>
  <c r="N12" i="1"/>
  <c r="M12" i="1"/>
  <c r="P12" i="1" l="1"/>
  <c r="O13" i="1"/>
  <c r="N13" i="1"/>
  <c r="M13" i="1"/>
  <c r="L14" i="1" a="1"/>
  <c r="L14" i="1" s="1"/>
  <c r="P13" i="1" l="1"/>
  <c r="M14" i="1"/>
  <c r="O14" i="1"/>
  <c r="N14" i="1"/>
  <c r="L15" i="1" a="1"/>
  <c r="L15" i="1" s="1"/>
  <c r="P14" i="1" l="1"/>
  <c r="M15" i="1"/>
  <c r="O15" i="1"/>
  <c r="N15" i="1"/>
  <c r="L16" i="1" a="1"/>
  <c r="L16" i="1" s="1"/>
  <c r="P15" i="1" l="1"/>
  <c r="O16" i="1"/>
  <c r="N16" i="1"/>
  <c r="M16" i="1"/>
  <c r="L17" i="1" a="1"/>
  <c r="L17" i="1" s="1"/>
  <c r="P16" i="1" l="1"/>
  <c r="O17" i="1"/>
  <c r="N17" i="1"/>
  <c r="M17" i="1"/>
  <c r="L18" i="1" a="1"/>
  <c r="L18" i="1" s="1"/>
  <c r="L19" i="1" s="1" a="1"/>
  <c r="L19" i="1" s="1"/>
  <c r="P17" i="1" l="1"/>
  <c r="O19" i="1"/>
  <c r="N19" i="1"/>
  <c r="M19" i="1"/>
  <c r="O18" i="1"/>
  <c r="N18" i="1"/>
  <c r="M18" i="1"/>
  <c r="L20" i="1" a="1"/>
  <c r="L20" i="1" s="1"/>
  <c r="P19" i="1" l="1"/>
  <c r="P18" i="1"/>
  <c r="O20" i="1"/>
  <c r="N20" i="1"/>
  <c r="M20" i="1"/>
  <c r="L21" i="1" a="1"/>
  <c r="L21" i="1" s="1"/>
  <c r="P20" i="1" l="1"/>
  <c r="O21" i="1"/>
  <c r="N21" i="1"/>
  <c r="M21" i="1"/>
  <c r="L22" i="1" a="1"/>
  <c r="L22" i="1" s="1"/>
  <c r="P21" i="1" l="1"/>
  <c r="L23" i="1" a="1"/>
  <c r="L23" i="1" s="1"/>
  <c r="O22" i="1"/>
  <c r="N22" i="1"/>
  <c r="M22" i="1"/>
  <c r="P22" i="1" l="1"/>
  <c r="O23" i="1"/>
  <c r="N23" i="1"/>
  <c r="M23" i="1"/>
  <c r="L24" i="1" a="1"/>
  <c r="L24" i="1" s="1"/>
  <c r="L25" i="1" s="1" a="1"/>
  <c r="L25" i="1" s="1"/>
  <c r="P23" i="1" l="1"/>
  <c r="O25" i="1"/>
  <c r="N25" i="1"/>
  <c r="M25" i="1"/>
  <c r="O24" i="1"/>
  <c r="N24" i="1"/>
  <c r="M24" i="1"/>
  <c r="L26" i="1" a="1"/>
  <c r="L26" i="1" s="1"/>
  <c r="P25" i="1" l="1"/>
  <c r="P24" i="1"/>
  <c r="O26" i="1"/>
  <c r="N26" i="1"/>
  <c r="M26" i="1"/>
  <c r="L27" i="1" a="1"/>
  <c r="L27" i="1" s="1"/>
  <c r="P26" i="1" l="1"/>
  <c r="O27" i="1"/>
  <c r="N27" i="1"/>
  <c r="M27" i="1"/>
  <c r="L28" i="1" a="1"/>
  <c r="L28" i="1" s="1"/>
  <c r="P27" i="1" l="1"/>
  <c r="O28" i="1"/>
  <c r="N28" i="1"/>
  <c r="M28" i="1"/>
  <c r="L29" i="1" a="1"/>
  <c r="L29" i="1" s="1"/>
  <c r="P28" i="1" l="1"/>
  <c r="O29" i="1"/>
  <c r="N29" i="1"/>
  <c r="M29" i="1"/>
  <c r="L30" i="1" a="1"/>
  <c r="L30" i="1" s="1"/>
  <c r="P29" i="1" l="1"/>
  <c r="N30" i="1"/>
  <c r="O30" i="1"/>
  <c r="M30" i="1"/>
  <c r="L31" i="1" a="1"/>
  <c r="L31" i="1" s="1"/>
  <c r="L32" i="1" s="1" a="1"/>
  <c r="L32" i="1" s="1"/>
  <c r="P30" i="1" l="1"/>
  <c r="O32" i="1"/>
  <c r="N32" i="1"/>
  <c r="M32" i="1"/>
  <c r="L33" i="1" a="1"/>
  <c r="L33" i="1" s="1"/>
  <c r="O31" i="1"/>
  <c r="N31" i="1"/>
  <c r="M31" i="1"/>
  <c r="P31" i="1" l="1"/>
  <c r="P32" i="1"/>
  <c r="O33" i="1"/>
  <c r="N33" i="1"/>
  <c r="M33" i="1"/>
  <c r="L34" i="1" a="1"/>
  <c r="L34" i="1" s="1"/>
  <c r="P33" i="1" l="1"/>
  <c r="L35" i="1" a="1"/>
  <c r="L35" i="1" s="1"/>
  <c r="O34" i="1"/>
  <c r="N34" i="1"/>
  <c r="M34" i="1"/>
  <c r="P34" i="1" l="1"/>
  <c r="O35" i="1"/>
  <c r="N35" i="1"/>
  <c r="M35" i="1"/>
  <c r="L36" i="1" a="1"/>
  <c r="L36" i="1" s="1"/>
  <c r="P35" i="1" l="1"/>
  <c r="O36" i="1"/>
  <c r="N36" i="1"/>
  <c r="M36" i="1"/>
  <c r="L37" i="1" a="1"/>
  <c r="L37" i="1" s="1"/>
  <c r="P36" i="1" l="1"/>
  <c r="L38" i="1" a="1"/>
  <c r="L38" i="1" s="1"/>
  <c r="O37" i="1"/>
  <c r="N37" i="1"/>
  <c r="M37" i="1"/>
  <c r="P37" i="1" l="1"/>
  <c r="N38" i="1"/>
  <c r="O38" i="1"/>
  <c r="M38" i="1"/>
  <c r="L39" i="1" a="1"/>
  <c r="L39" i="1" s="1"/>
  <c r="P38" i="1" l="1"/>
  <c r="O39" i="1"/>
  <c r="N39" i="1"/>
  <c r="M39" i="1"/>
  <c r="L40" i="1" a="1"/>
  <c r="L40" i="1" s="1"/>
  <c r="P39" i="1" l="1"/>
  <c r="L41" i="1" a="1"/>
  <c r="L41" i="1" s="1"/>
  <c r="O40" i="1"/>
  <c r="N40" i="1"/>
  <c r="M40" i="1"/>
  <c r="P40" i="1" l="1"/>
  <c r="O41" i="1"/>
  <c r="N41" i="1"/>
  <c r="M41" i="1"/>
  <c r="L42" i="1" a="1"/>
  <c r="L42" i="1" s="1"/>
  <c r="P41" i="1" l="1"/>
  <c r="O42" i="1"/>
  <c r="N42" i="1"/>
  <c r="N43" i="1" s="1"/>
  <c r="M42" i="1"/>
  <c r="M43" i="1" s="1"/>
  <c r="P42" i="1" l="1"/>
  <c r="P43" i="1" s="1"/>
  <c r="O43" i="1"/>
</calcChain>
</file>

<file path=xl/sharedStrings.xml><?xml version="1.0" encoding="utf-8"?>
<sst xmlns="http://schemas.openxmlformats.org/spreadsheetml/2006/main" count="31" uniqueCount="28">
  <si>
    <t>DATE</t>
  </si>
  <si>
    <t>PRODUCT SOLD</t>
  </si>
  <si>
    <t>OUT</t>
  </si>
  <si>
    <t>AMOUNT</t>
  </si>
  <si>
    <t>LODGEMENT</t>
  </si>
  <si>
    <t>BALANCE</t>
  </si>
  <si>
    <t>IN</t>
  </si>
  <si>
    <t>SN</t>
  </si>
  <si>
    <t>PROUDUCTS</t>
  </si>
  <si>
    <t>OPENING</t>
  </si>
  <si>
    <t>SALES</t>
  </si>
  <si>
    <t>RECEIVED</t>
  </si>
  <si>
    <t>EXPECTED CLOSING</t>
  </si>
  <si>
    <t>ACTUAL CLOSING</t>
  </si>
  <si>
    <t>VARIANCE</t>
  </si>
  <si>
    <t>MONTH</t>
  </si>
  <si>
    <t>Supreme 1L</t>
  </si>
  <si>
    <t>Supreme 4L</t>
  </si>
  <si>
    <t>Universal 1L</t>
  </si>
  <si>
    <t>Universal 4L</t>
  </si>
  <si>
    <t>Universal 25L</t>
  </si>
  <si>
    <t>Magnatec 10w40 1L</t>
  </si>
  <si>
    <t>Magnatec 10w40 4L</t>
  </si>
  <si>
    <t>Magnatec 5w30 4L</t>
  </si>
  <si>
    <t>Brake Fluid 0.35L</t>
  </si>
  <si>
    <t>GTX Essential 4L</t>
  </si>
  <si>
    <t>Edge 4L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</si>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</sst>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7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orbel"/>
      <family val="2"/>
    </font>
    <font>
      <b/>
      <sz val="11"/>
      <color theme="1"/>
      <name val="Corbel"/>
      <family val="2"/>
    </font>
    <font>
      <b/>
      <sz val="11"/>
      <color theme="3" tint="0.79998168889431442"/>
      <name val="Corbel"/>
      <family val="2"/>
    </font>
    <font>
      <b/>
      <sz val="11"/>
      <color theme="1" tint="4.9989318521683403E-2"/>
      <name val="Corbel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1" tint="4.9989318521683403E-2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1" tint="4.9989318521683403E-2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1" tint="4.9989318521683403E-2"/>
      </left>
      <right style="thin">
        <color theme="0" tint="-0.249977111117893"/>
      </right>
      <top style="medium">
        <color theme="1" tint="4.9989318521683403E-2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1" tint="4.9989318521683403E-2"/>
      </top>
      <bottom/>
      <diagonal/>
    </border>
    <border>
      <left style="thin">
        <color theme="0" tint="-0.249977111117893"/>
      </left>
      <right style="medium">
        <color theme="1" tint="4.9989318521683403E-2"/>
      </right>
      <top style="medium">
        <color theme="1" tint="4.9989318521683403E-2"/>
      </top>
      <bottom/>
      <diagonal/>
    </border>
    <border>
      <left style="thin">
        <color theme="0" tint="-0.249977111117893"/>
      </left>
      <right/>
      <top style="medium">
        <color theme="1" tint="4.9989318521683403E-2"/>
      </top>
      <bottom/>
      <diagonal/>
    </border>
    <border>
      <left style="medium">
        <color theme="1" tint="4.9989318521683403E-2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1" tint="4.9989318521683403E-2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 style="thin">
        <color theme="1" tint="4.9989318521683403E-2"/>
      </top>
      <bottom style="thin">
        <color theme="1" tint="4.9989318521683403E-2"/>
      </bottom>
      <diagonal/>
    </border>
    <border>
      <left style="medium">
        <color theme="1" tint="4.9989318521683403E-2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 style="medium">
        <color theme="1" tint="4.9989318521683403E-2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medium">
        <color theme="1" tint="4.9989318521683403E-2"/>
      </top>
      <bottom style="medium">
        <color theme="1" tint="4.9989318521683403E-2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1" tint="4.9989318521683403E-2"/>
      </top>
      <bottom style="medium">
        <color theme="1" tint="4.9989318521683403E-2"/>
      </bottom>
      <diagonal/>
    </border>
    <border>
      <left style="thin">
        <color theme="0" tint="-0.249977111117893"/>
      </left>
      <right style="medium">
        <color theme="1" tint="4.9989318521683403E-2"/>
      </right>
      <top style="medium">
        <color theme="1" tint="4.9989318521683403E-2"/>
      </top>
      <bottom style="medium">
        <color theme="1" tint="4.9989318521683403E-2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 style="medium">
        <color theme="1" tint="4.9989318521683403E-2"/>
      </right>
      <top style="medium">
        <color theme="1" tint="4.9989318521683403E-2"/>
      </top>
      <bottom style="medium">
        <color theme="1" tint="4.9989318521683403E-2"/>
      </bottom>
      <diagonal/>
    </border>
    <border>
      <left/>
      <right/>
      <top style="thin">
        <color theme="1" tint="4.9989318521683403E-2"/>
      </top>
      <bottom/>
      <diagonal/>
    </border>
    <border>
      <left/>
      <right style="medium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thin">
        <color theme="1" tint="4.9989318521683403E-2"/>
      </left>
      <right/>
      <top style="thin">
        <color theme="1" tint="4.9989318521683403E-2"/>
      </top>
      <bottom style="thin">
        <color theme="1" tint="4.9989318521683403E-2"/>
      </bottom>
      <diagonal/>
    </border>
    <border>
      <left/>
      <right style="thin">
        <color theme="0" tint="-0.249977111117893"/>
      </right>
      <top style="medium">
        <color theme="1" tint="4.9989318521683403E-2"/>
      </top>
      <bottom/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medium">
        <color theme="1" tint="4.9989318521683403E-2"/>
      </left>
      <right style="medium">
        <color theme="1" tint="4.9989318521683403E-2"/>
      </right>
      <top style="medium">
        <color theme="1" tint="4.9989318521683403E-2"/>
      </top>
      <bottom/>
      <diagonal/>
    </border>
    <border>
      <left style="medium">
        <color theme="1" tint="4.9989318521683403E-2"/>
      </left>
      <right style="medium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medium">
        <color theme="1" tint="4.9989318521683403E-2"/>
      </left>
      <right style="medium">
        <color theme="1" tint="4.9989318521683403E-2"/>
      </right>
      <top/>
      <bottom style="thin">
        <color theme="0" tint="-0.249977111117893"/>
      </bottom>
      <diagonal/>
    </border>
    <border>
      <left style="medium">
        <color theme="1" tint="4.9989318521683403E-2"/>
      </left>
      <right style="medium">
        <color theme="1" tint="4.9989318521683403E-2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1" tint="4.9989318521683403E-2"/>
      </left>
      <right style="medium">
        <color theme="1" tint="4.9989318521683403E-2"/>
      </right>
      <top style="thin">
        <color theme="0" tint="-0.249977111117893"/>
      </top>
      <bottom/>
      <diagonal/>
    </border>
    <border>
      <left style="medium">
        <color theme="1" tint="4.9989318521683403E-2"/>
      </left>
      <right style="medium">
        <color theme="1" tint="4.9989318521683403E-2"/>
      </right>
      <top/>
      <bottom/>
      <diagonal/>
    </border>
    <border>
      <left style="medium">
        <color theme="1" tint="4.9989318521683403E-2"/>
      </left>
      <right style="medium">
        <color theme="1" tint="4.9989318521683403E-2"/>
      </right>
      <top style="thin">
        <color theme="1" tint="4.9989318521683403E-2"/>
      </top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3" fillId="2" borderId="6" xfId="0" applyFont="1" applyFill="1" applyBorder="1" applyAlignment="1" applyProtection="1">
      <alignment horizontal="center" vertical="center" wrapText="1"/>
    </xf>
    <xf numFmtId="0" fontId="3" fillId="2" borderId="7" xfId="0" applyFont="1" applyFill="1" applyBorder="1" applyAlignment="1" applyProtection="1">
      <alignment horizontal="center" vertical="center" wrapText="1"/>
    </xf>
    <xf numFmtId="0" fontId="3" fillId="2" borderId="9" xfId="0" applyFont="1" applyFill="1" applyBorder="1" applyAlignment="1" applyProtection="1">
      <alignment horizontal="center" vertical="center" wrapText="1"/>
    </xf>
    <xf numFmtId="0" fontId="3" fillId="2" borderId="8" xfId="0" applyFont="1" applyFill="1" applyBorder="1" applyAlignment="1" applyProtection="1">
      <alignment horizontal="center" vertical="center" wrapText="1"/>
    </xf>
    <xf numFmtId="0" fontId="1" fillId="4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Alignment="1" applyProtection="1">
      <alignment horizontal="center" vertical="center" wrapText="1"/>
    </xf>
    <xf numFmtId="0" fontId="4" fillId="3" borderId="14" xfId="0" applyFont="1" applyFill="1" applyBorder="1" applyAlignment="1" applyProtection="1">
      <alignment vertical="center" wrapText="1"/>
    </xf>
    <xf numFmtId="0" fontId="4" fillId="3" borderId="25" xfId="0" applyFont="1" applyFill="1" applyBorder="1" applyAlignment="1" applyProtection="1">
      <alignment vertical="center" wrapText="1"/>
    </xf>
    <xf numFmtId="0" fontId="1" fillId="2" borderId="14" xfId="0" applyFont="1" applyFill="1" applyBorder="1" applyAlignment="1" applyProtection="1">
      <alignment horizontal="center" vertical="center" wrapText="1"/>
    </xf>
    <xf numFmtId="38" fontId="4" fillId="3" borderId="13" xfId="0" applyNumberFormat="1" applyFont="1" applyFill="1" applyBorder="1" applyProtection="1"/>
    <xf numFmtId="0" fontId="5" fillId="3" borderId="11" xfId="0" applyFont="1" applyFill="1" applyBorder="1" applyProtection="1"/>
    <xf numFmtId="38" fontId="4" fillId="3" borderId="11" xfId="0" applyNumberFormat="1" applyFont="1" applyFill="1" applyBorder="1" applyProtection="1"/>
    <xf numFmtId="38" fontId="6" fillId="3" borderId="12" xfId="0" applyNumberFormat="1" applyFont="1" applyFill="1" applyBorder="1" applyProtection="1"/>
    <xf numFmtId="0" fontId="0" fillId="4" borderId="0" xfId="0" applyFont="1" applyFill="1" applyBorder="1" applyProtection="1"/>
    <xf numFmtId="0" fontId="0" fillId="0" borderId="0" xfId="0" applyFont="1" applyProtection="1"/>
    <xf numFmtId="0" fontId="5" fillId="3" borderId="1" xfId="0" applyFont="1" applyFill="1" applyBorder="1" applyProtection="1"/>
    <xf numFmtId="38" fontId="4" fillId="3" borderId="1" xfId="0" applyNumberFormat="1" applyFont="1" applyFill="1" applyBorder="1" applyProtection="1"/>
    <xf numFmtId="38" fontId="6" fillId="3" borderId="4" xfId="0" applyNumberFormat="1" applyFont="1" applyFill="1" applyBorder="1" applyProtection="1"/>
    <xf numFmtId="0" fontId="5" fillId="3" borderId="16" xfId="0" applyFont="1" applyFill="1" applyBorder="1" applyProtection="1"/>
    <xf numFmtId="38" fontId="4" fillId="3" borderId="16" xfId="0" applyNumberFormat="1" applyFont="1" applyFill="1" applyBorder="1" applyProtection="1"/>
    <xf numFmtId="38" fontId="4" fillId="3" borderId="17" xfId="0" applyNumberFormat="1" applyFont="1" applyFill="1" applyBorder="1" applyProtection="1"/>
    <xf numFmtId="38" fontId="6" fillId="3" borderId="18" xfId="0" applyNumberFormat="1" applyFont="1" applyFill="1" applyBorder="1" applyProtection="1"/>
    <xf numFmtId="0" fontId="4" fillId="3" borderId="19" xfId="0" applyFont="1" applyFill="1" applyBorder="1" applyProtection="1"/>
    <xf numFmtId="38" fontId="4" fillId="3" borderId="20" xfId="0" applyNumberFormat="1" applyFont="1" applyFill="1" applyBorder="1" applyProtection="1"/>
    <xf numFmtId="38" fontId="4" fillId="3" borderId="21" xfId="0" applyNumberFormat="1" applyFont="1" applyFill="1" applyBorder="1" applyProtection="1"/>
    <xf numFmtId="0" fontId="0" fillId="0" borderId="1" xfId="0" applyFont="1" applyBorder="1" applyProtection="1"/>
    <xf numFmtId="0" fontId="0" fillId="0" borderId="11" xfId="0" applyFont="1" applyBorder="1" applyProtection="1"/>
    <xf numFmtId="0" fontId="2" fillId="0" borderId="11" xfId="0" applyFont="1" applyBorder="1" applyProtection="1"/>
    <xf numFmtId="0" fontId="0" fillId="0" borderId="13" xfId="0" applyFont="1" applyBorder="1" applyProtection="1"/>
    <xf numFmtId="0" fontId="0" fillId="0" borderId="10" xfId="0" applyFont="1" applyBorder="1" applyProtection="1"/>
    <xf numFmtId="0" fontId="0" fillId="0" borderId="12" xfId="0" applyFont="1" applyBorder="1" applyProtection="1"/>
    <xf numFmtId="0" fontId="2" fillId="0" borderId="1" xfId="0" applyFont="1" applyBorder="1" applyProtection="1"/>
    <xf numFmtId="0" fontId="0" fillId="0" borderId="5" xfId="0" applyFont="1" applyBorder="1" applyProtection="1"/>
    <xf numFmtId="0" fontId="0" fillId="0" borderId="3" xfId="0" applyFont="1" applyBorder="1" applyProtection="1"/>
    <xf numFmtId="0" fontId="0" fillId="0" borderId="4" xfId="0" applyFont="1" applyBorder="1" applyProtection="1"/>
    <xf numFmtId="0" fontId="0" fillId="0" borderId="16" xfId="0" applyFont="1" applyBorder="1" applyProtection="1"/>
    <xf numFmtId="0" fontId="2" fillId="0" borderId="16" xfId="0" applyFont="1" applyBorder="1" applyProtection="1"/>
    <xf numFmtId="0" fontId="0" fillId="0" borderId="22" xfId="0" applyFont="1" applyBorder="1" applyProtection="1"/>
    <xf numFmtId="0" fontId="0" fillId="0" borderId="15" xfId="0" applyFont="1" applyBorder="1" applyProtection="1"/>
    <xf numFmtId="0" fontId="0" fillId="0" borderId="18" xfId="0" applyFont="1" applyBorder="1" applyProtection="1"/>
    <xf numFmtId="0" fontId="2" fillId="0" borderId="24" xfId="0" applyFont="1" applyFill="1" applyBorder="1" applyProtection="1"/>
    <xf numFmtId="0" fontId="2" fillId="0" borderId="0" xfId="0" applyFont="1" applyFill="1" applyBorder="1" applyProtection="1"/>
    <xf numFmtId="0" fontId="6" fillId="0" borderId="26" xfId="0" applyFont="1" applyFill="1" applyBorder="1" applyAlignment="1" applyProtection="1">
      <alignment vertical="center" wrapText="1"/>
      <protection locked="0"/>
    </xf>
    <xf numFmtId="164" fontId="4" fillId="0" borderId="10" xfId="0" applyNumberFormat="1" applyFont="1" applyBorder="1" applyProtection="1">
      <protection locked="0"/>
    </xf>
    <xf numFmtId="0" fontId="4" fillId="0" borderId="11" xfId="0" applyFont="1" applyBorder="1" applyProtection="1">
      <protection locked="0"/>
    </xf>
    <xf numFmtId="38" fontId="4" fillId="0" borderId="11" xfId="0" applyNumberFormat="1" applyFont="1" applyBorder="1" applyProtection="1">
      <protection locked="0"/>
    </xf>
    <xf numFmtId="38" fontId="4" fillId="0" borderId="13" xfId="0" applyNumberFormat="1" applyFont="1" applyBorder="1" applyProtection="1">
      <protection locked="0"/>
    </xf>
    <xf numFmtId="164" fontId="4" fillId="0" borderId="3" xfId="0" applyNumberFormat="1" applyFont="1" applyBorder="1" applyProtection="1">
      <protection locked="0"/>
    </xf>
    <xf numFmtId="0" fontId="4" fillId="0" borderId="1" xfId="0" applyFont="1" applyBorder="1" applyProtection="1">
      <protection locked="0"/>
    </xf>
    <xf numFmtId="38" fontId="4" fillId="0" borderId="1" xfId="0" applyNumberFormat="1" applyFont="1" applyBorder="1" applyProtection="1">
      <protection locked="0"/>
    </xf>
    <xf numFmtId="38" fontId="4" fillId="0" borderId="5" xfId="0" applyNumberFormat="1" applyFont="1" applyBorder="1" applyProtection="1">
      <protection locked="0"/>
    </xf>
    <xf numFmtId="164" fontId="0" fillId="0" borderId="3" xfId="0" applyNumberFormat="1" applyFont="1" applyBorder="1" applyProtection="1">
      <protection locked="0"/>
    </xf>
    <xf numFmtId="0" fontId="0" fillId="0" borderId="1" xfId="0" applyFont="1" applyBorder="1" applyProtection="1">
      <protection locked="0"/>
    </xf>
    <xf numFmtId="38" fontId="0" fillId="0" borderId="1" xfId="0" applyNumberFormat="1" applyFont="1" applyBorder="1" applyProtection="1">
      <protection locked="0"/>
    </xf>
    <xf numFmtId="38" fontId="0" fillId="0" borderId="5" xfId="0" applyNumberFormat="1" applyFont="1" applyBorder="1" applyProtection="1">
      <protection locked="0"/>
    </xf>
    <xf numFmtId="164" fontId="0" fillId="0" borderId="15" xfId="0" applyNumberFormat="1" applyFont="1" applyBorder="1" applyProtection="1">
      <protection locked="0"/>
    </xf>
    <xf numFmtId="0" fontId="0" fillId="0" borderId="16" xfId="0" applyFont="1" applyBorder="1" applyProtection="1">
      <protection locked="0"/>
    </xf>
    <xf numFmtId="38" fontId="0" fillId="0" borderId="16" xfId="0" applyNumberFormat="1" applyFont="1" applyBorder="1" applyProtection="1">
      <protection locked="0"/>
    </xf>
    <xf numFmtId="38" fontId="0" fillId="0" borderId="22" xfId="0" applyNumberFormat="1" applyFont="1" applyBorder="1" applyProtection="1">
      <protection locked="0"/>
    </xf>
    <xf numFmtId="3" fontId="4" fillId="4" borderId="14" xfId="0" applyNumberFormat="1" applyFont="1" applyFill="1" applyBorder="1" applyAlignment="1" applyProtection="1">
      <alignment vertical="center" wrapText="1"/>
      <protection locked="0"/>
    </xf>
    <xf numFmtId="0" fontId="4" fillId="0" borderId="16" xfId="0" applyFont="1" applyBorder="1" applyProtection="1">
      <protection locked="0"/>
    </xf>
    <xf numFmtId="38" fontId="4" fillId="0" borderId="16" xfId="0" applyNumberFormat="1" applyFont="1" applyBorder="1" applyProtection="1">
      <protection locked="0"/>
    </xf>
    <xf numFmtId="38" fontId="4" fillId="0" borderId="10" xfId="0" applyNumberFormat="1" applyFont="1" applyBorder="1" applyProtection="1">
      <protection locked="0"/>
    </xf>
    <xf numFmtId="38" fontId="4" fillId="0" borderId="3" xfId="0" applyNumberFormat="1" applyFont="1" applyBorder="1" applyProtection="1">
      <protection locked="0"/>
    </xf>
    <xf numFmtId="38" fontId="4" fillId="0" borderId="15" xfId="0" applyNumberFormat="1" applyFont="1" applyBorder="1" applyProtection="1">
      <protection locked="0"/>
    </xf>
    <xf numFmtId="0" fontId="3" fillId="2" borderId="27" xfId="0" applyFont="1" applyFill="1" applyBorder="1" applyAlignment="1" applyProtection="1">
      <alignment horizontal="center" vertical="center" wrapText="1"/>
    </xf>
    <xf numFmtId="0" fontId="4" fillId="3" borderId="28" xfId="0" applyFont="1" applyFill="1" applyBorder="1" applyProtection="1"/>
    <xf numFmtId="0" fontId="4" fillId="3" borderId="2" xfId="0" applyFont="1" applyFill="1" applyBorder="1" applyProtection="1"/>
    <xf numFmtId="0" fontId="4" fillId="3" borderId="29" xfId="0" applyFont="1" applyFill="1" applyBorder="1" applyProtection="1"/>
    <xf numFmtId="0" fontId="4" fillId="3" borderId="23" xfId="0" applyFont="1" applyFill="1" applyBorder="1" applyProtection="1"/>
    <xf numFmtId="0" fontId="0" fillId="3" borderId="28" xfId="0" applyFont="1" applyFill="1" applyBorder="1" applyProtection="1"/>
    <xf numFmtId="0" fontId="0" fillId="3" borderId="2" xfId="0" applyFont="1" applyFill="1" applyBorder="1" applyProtection="1"/>
    <xf numFmtId="0" fontId="0" fillId="3" borderId="29" xfId="0" applyFont="1" applyFill="1" applyBorder="1" applyProtection="1"/>
    <xf numFmtId="0" fontId="3" fillId="2" borderId="30" xfId="0" applyFont="1" applyFill="1" applyBorder="1" applyAlignment="1" applyProtection="1">
      <alignment horizontal="center" vertical="center" wrapText="1"/>
    </xf>
    <xf numFmtId="0" fontId="4" fillId="3" borderId="31" xfId="0" applyFont="1" applyFill="1" applyBorder="1" applyAlignment="1" applyProtection="1">
      <alignment horizontal="center" vertical="center" wrapText="1"/>
    </xf>
    <xf numFmtId="38" fontId="4" fillId="0" borderId="32" xfId="0" applyNumberFormat="1" applyFont="1" applyBorder="1" applyProtection="1"/>
    <xf numFmtId="38" fontId="4" fillId="0" borderId="33" xfId="0" applyNumberFormat="1" applyFont="1" applyBorder="1" applyProtection="1"/>
    <xf numFmtId="38" fontId="4" fillId="0" borderId="34" xfId="0" applyNumberFormat="1" applyFont="1" applyBorder="1" applyProtection="1"/>
    <xf numFmtId="38" fontId="4" fillId="0" borderId="35" xfId="0" applyNumberFormat="1" applyFont="1" applyBorder="1" applyProtection="1"/>
    <xf numFmtId="38" fontId="0" fillId="0" borderId="32" xfId="0" applyNumberFormat="1" applyFont="1" applyBorder="1" applyProtection="1"/>
    <xf numFmtId="38" fontId="0" fillId="0" borderId="33" xfId="0" applyNumberFormat="1" applyFont="1" applyBorder="1" applyProtection="1"/>
    <xf numFmtId="38" fontId="0" fillId="0" borderId="34" xfId="0" applyNumberFormat="1" applyFont="1" applyBorder="1" applyProtection="1"/>
    <xf numFmtId="0" fontId="2" fillId="0" borderId="36" xfId="0" applyFont="1" applyFill="1" applyBorder="1" applyProtection="1"/>
    <xf numFmtId="0" fontId="2" fillId="0" borderId="35" xfId="0" applyFont="1" applyFill="1" applyBorder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02"/>
  <sheetViews>
    <sheetView tabSelected="1" workbookViewId="0">
      <selection activeCell="E17" sqref="E17"/>
    </sheetView>
  </sheetViews>
  <sheetFormatPr defaultRowHeight="15"/>
  <cols>
    <col min="1" max="1" width="15.140625" style="42" customWidth="1"/>
    <col min="2" max="2" width="30.28515625" style="42" customWidth="1"/>
    <col min="3" max="3" width="7.7109375" style="42" customWidth="1"/>
    <col min="4" max="4" width="11.42578125" style="42" customWidth="1"/>
    <col min="5" max="6" width="15.140625" style="42" customWidth="1"/>
    <col min="7" max="7" width="7.28515625" style="42" customWidth="1"/>
    <col min="8" max="8" width="1.140625" style="84" customWidth="1"/>
    <col min="9" max="9" width="7.140625" style="42" bestFit="1" customWidth="1"/>
    <col min="10" max="10" width="25.28515625" style="42" customWidth="1"/>
    <col min="11" max="11" width="11" style="42" customWidth="1"/>
    <col min="12" max="12" width="2.42578125" style="42" customWidth="1"/>
    <col min="13" max="13" width="9.140625" style="42"/>
    <col min="14" max="14" width="12.5703125" style="42" customWidth="1"/>
    <col min="15" max="15" width="12.28515625" style="42" customWidth="1"/>
    <col min="16" max="16" width="12.140625" style="42" customWidth="1"/>
    <col min="17" max="17" width="11.140625" style="42" customWidth="1"/>
    <col min="18" max="18" width="11.5703125" style="42" customWidth="1"/>
    <col min="19" max="16384" width="9.140625" style="42"/>
  </cols>
  <sheetData>
    <row r="1" spans="1:67" s="6" customFormat="1" ht="30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74"/>
      <c r="I1" s="66" t="s">
        <v>7</v>
      </c>
      <c r="J1" s="2" t="s">
        <v>8</v>
      </c>
      <c r="K1" s="2" t="s">
        <v>9</v>
      </c>
      <c r="L1" s="2"/>
      <c r="M1" s="2" t="s">
        <v>10</v>
      </c>
      <c r="N1" s="2" t="s">
        <v>3</v>
      </c>
      <c r="O1" s="2" t="s">
        <v>11</v>
      </c>
      <c r="P1" s="3" t="s">
        <v>12</v>
      </c>
      <c r="Q1" s="1" t="s">
        <v>13</v>
      </c>
      <c r="R1" s="4" t="s">
        <v>14</v>
      </c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</row>
    <row r="2" spans="1:67" s="9" customFormat="1" ht="15" customHeight="1">
      <c r="A2" s="43" t="s">
        <v>15</v>
      </c>
      <c r="B2" s="7"/>
      <c r="C2" s="7"/>
      <c r="D2" s="7"/>
      <c r="E2" s="7"/>
      <c r="F2" s="60">
        <v>2000</v>
      </c>
      <c r="G2" s="7"/>
      <c r="H2" s="75"/>
      <c r="I2" s="7"/>
      <c r="J2" s="7"/>
      <c r="K2" s="7"/>
      <c r="L2" s="7"/>
      <c r="M2" s="7"/>
      <c r="N2" s="7"/>
      <c r="O2" s="7"/>
      <c r="P2" s="7"/>
      <c r="Q2" s="7"/>
      <c r="R2" s="8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</row>
    <row r="3" spans="1:67" s="15" customFormat="1">
      <c r="A3" s="44"/>
      <c r="B3" s="45" t="s">
        <v>16</v>
      </c>
      <c r="C3" s="46">
        <v>2</v>
      </c>
      <c r="D3" s="46">
        <v>4000</v>
      </c>
      <c r="E3" s="47"/>
      <c r="F3" s="10">
        <f>F2+D3-E3</f>
        <v>6000</v>
      </c>
      <c r="G3" s="47">
        <v>24</v>
      </c>
      <c r="H3" s="76"/>
      <c r="I3" s="67">
        <v>1</v>
      </c>
      <c r="J3" s="45" t="s">
        <v>16</v>
      </c>
      <c r="K3" s="46">
        <v>20</v>
      </c>
      <c r="L3" s="11" t="str">
        <f t="array" ref="L3">IFERROR(INDEX($J$3:$J$101,MATCH(0,COUNTIF($L$1:L1,$J$3:$J$101),0)),"")</f>
        <v>Supreme 1L</v>
      </c>
      <c r="M3" s="12">
        <f>SUMIF(B:B, L3,C:C )</f>
        <v>2</v>
      </c>
      <c r="N3" s="12">
        <f>SUMIF(B:B, L3,D:D )</f>
        <v>4000</v>
      </c>
      <c r="O3" s="12">
        <f>SUMIF(B:B,L3,G:G)</f>
        <v>24</v>
      </c>
      <c r="P3" s="10">
        <f>(K3+O3)-M3</f>
        <v>42</v>
      </c>
      <c r="Q3" s="63">
        <v>38</v>
      </c>
      <c r="R3" s="13">
        <f>Q3-P3</f>
        <v>-4</v>
      </c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</row>
    <row r="4" spans="1:67" s="15" customFormat="1">
      <c r="A4" s="48"/>
      <c r="B4" s="49"/>
      <c r="C4" s="50"/>
      <c r="D4" s="50"/>
      <c r="E4" s="51"/>
      <c r="F4" s="10">
        <f t="shared" ref="F4:F67" si="0">F3+D4-E4</f>
        <v>6000</v>
      </c>
      <c r="G4" s="51"/>
      <c r="H4" s="77"/>
      <c r="I4" s="68">
        <v>2</v>
      </c>
      <c r="J4" s="49" t="s">
        <v>17</v>
      </c>
      <c r="K4" s="50"/>
      <c r="L4" s="16" t="str">
        <f t="array" ref="L4">IFERROR(INDEX($J$3:$J$101,MATCH(0,COUNTIF($L$1:L3,$J$3:$J$101),0)),"")</f>
        <v>Supreme 4L</v>
      </c>
      <c r="M4" s="17">
        <f>SUMIF(B:B, L4,C:C )</f>
        <v>0</v>
      </c>
      <c r="N4" s="17">
        <f>SUMIF(B:B, L4,D:D )</f>
        <v>0</v>
      </c>
      <c r="O4" s="17">
        <f>SUMIF(B:B,L4,G:G)</f>
        <v>0</v>
      </c>
      <c r="P4" s="10">
        <f t="shared" ref="P4:P42" si="1">(K4+O4)-M4</f>
        <v>0</v>
      </c>
      <c r="Q4" s="64"/>
      <c r="R4" s="18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</row>
    <row r="5" spans="1:67" s="15" customFormat="1">
      <c r="A5" s="48"/>
      <c r="B5" s="49" t="s">
        <v>18</v>
      </c>
      <c r="C5" s="50">
        <v>3</v>
      </c>
      <c r="D5" s="50">
        <v>8000</v>
      </c>
      <c r="E5" s="51"/>
      <c r="F5" s="10">
        <f t="shared" si="0"/>
        <v>14000</v>
      </c>
      <c r="G5" s="51"/>
      <c r="H5" s="77"/>
      <c r="I5" s="68">
        <v>3</v>
      </c>
      <c r="J5" s="49" t="s">
        <v>18</v>
      </c>
      <c r="K5" s="50"/>
      <c r="L5" s="16" t="str">
        <f t="array" ref="L5">IFERROR(INDEX($J$3:$J$101,MATCH(0,COUNTIF($L$1:L4,$J$3:$J$101),0)),"")</f>
        <v>Universal 1L</v>
      </c>
      <c r="M5" s="17">
        <f>SUMIF(B:B, L5,C:C )</f>
        <v>3</v>
      </c>
      <c r="N5" s="17">
        <f>SUMIF(B:B, L5,D:D )</f>
        <v>8000</v>
      </c>
      <c r="O5" s="17">
        <f>SUMIF(B:B,L5,G:G)</f>
        <v>0</v>
      </c>
      <c r="P5" s="10">
        <f t="shared" si="1"/>
        <v>-3</v>
      </c>
      <c r="Q5" s="64"/>
      <c r="R5" s="18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</row>
    <row r="6" spans="1:67" s="15" customFormat="1">
      <c r="A6" s="48"/>
      <c r="B6" s="49"/>
      <c r="C6" s="50"/>
      <c r="D6" s="50"/>
      <c r="E6" s="51"/>
      <c r="F6" s="10">
        <f t="shared" si="0"/>
        <v>14000</v>
      </c>
      <c r="G6" s="51"/>
      <c r="H6" s="77"/>
      <c r="I6" s="68">
        <v>4</v>
      </c>
      <c r="J6" s="49" t="s">
        <v>19</v>
      </c>
      <c r="K6" s="50"/>
      <c r="L6" s="16" t="str">
        <f t="array" ref="L6">IFERROR(INDEX($J$3:$J$101,MATCH(0,COUNTIF($L$1:L5,$J$3:$J$101),0)),"")</f>
        <v>Universal 4L</v>
      </c>
      <c r="M6" s="17">
        <f>SUMIF(B:B, L6,C:C )</f>
        <v>0</v>
      </c>
      <c r="N6" s="17">
        <f>SUMIF(B:B, L6,D:D )</f>
        <v>0</v>
      </c>
      <c r="O6" s="17">
        <f>SUMIF(B:B,L6,G:G)</f>
        <v>0</v>
      </c>
      <c r="P6" s="10">
        <f t="shared" si="1"/>
        <v>0</v>
      </c>
      <c r="Q6" s="64"/>
      <c r="R6" s="18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</row>
    <row r="7" spans="1:67" s="15" customFormat="1">
      <c r="A7" s="48"/>
      <c r="B7" s="49"/>
      <c r="C7" s="50"/>
      <c r="D7" s="50"/>
      <c r="E7" s="51"/>
      <c r="F7" s="10">
        <f t="shared" si="0"/>
        <v>14000</v>
      </c>
      <c r="G7" s="51"/>
      <c r="H7" s="77"/>
      <c r="I7" s="68">
        <v>5</v>
      </c>
      <c r="J7" s="49" t="s">
        <v>20</v>
      </c>
      <c r="K7" s="50"/>
      <c r="L7" s="16" t="str">
        <f t="array" ref="L7">IFERROR(INDEX($J$3:$J$101,MATCH(0,COUNTIF($L$1:L6,$J$3:$J$101),0)),"")</f>
        <v>Universal 25L</v>
      </c>
      <c r="M7" s="17">
        <f>SUMIF(B:B, L7,C:C )</f>
        <v>0</v>
      </c>
      <c r="N7" s="17">
        <f>SUMIF(B:B, L7,D:D )</f>
        <v>0</v>
      </c>
      <c r="O7" s="17">
        <f>SUMIF(B:B,L7,G:G)</f>
        <v>0</v>
      </c>
      <c r="P7" s="10">
        <f t="shared" si="1"/>
        <v>0</v>
      </c>
      <c r="Q7" s="64"/>
      <c r="R7" s="18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</row>
    <row r="8" spans="1:67" s="15" customFormat="1">
      <c r="A8" s="48"/>
      <c r="B8" s="49"/>
      <c r="C8" s="50"/>
      <c r="D8" s="50"/>
      <c r="E8" s="51"/>
      <c r="F8" s="10">
        <f t="shared" si="0"/>
        <v>14000</v>
      </c>
      <c r="G8" s="51"/>
      <c r="H8" s="77"/>
      <c r="I8" s="68">
        <v>6</v>
      </c>
      <c r="J8" s="49" t="s">
        <v>21</v>
      </c>
      <c r="K8" s="50"/>
      <c r="L8" s="16" t="str">
        <f t="array" ref="L8">IFERROR(INDEX($J$3:$J$101,MATCH(0,COUNTIF($L$1:L7,$J$3:$J$101),0)),"")</f>
        <v>Magnatec 10w40 1L</v>
      </c>
      <c r="M8" s="17">
        <f>SUMIF(B:B, L8,C:C )</f>
        <v>0</v>
      </c>
      <c r="N8" s="17">
        <f>SUMIF(B:B, L8,D:D )</f>
        <v>0</v>
      </c>
      <c r="O8" s="17">
        <f>SUMIF(B:B,L8,G:G)</f>
        <v>0</v>
      </c>
      <c r="P8" s="10">
        <f t="shared" si="1"/>
        <v>0</v>
      </c>
      <c r="Q8" s="64"/>
      <c r="R8" s="18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</row>
    <row r="9" spans="1:67" s="15" customFormat="1">
      <c r="A9" s="48"/>
      <c r="B9" s="49"/>
      <c r="C9" s="50"/>
      <c r="D9" s="50"/>
      <c r="E9" s="51"/>
      <c r="F9" s="10">
        <f t="shared" si="0"/>
        <v>14000</v>
      </c>
      <c r="G9" s="51"/>
      <c r="H9" s="77"/>
      <c r="I9" s="68">
        <v>7</v>
      </c>
      <c r="J9" s="49" t="s">
        <v>22</v>
      </c>
      <c r="K9" s="50"/>
      <c r="L9" s="16" t="str">
        <f t="array" ref="L9">IFERROR(INDEX($J$3:$J$101,MATCH(0,COUNTIF($L$1:L8,$J$3:$J$101),0)),"")</f>
        <v>Magnatec 10w40 4L</v>
      </c>
      <c r="M9" s="17">
        <f>SUMIF(B:B, L9,C:C )</f>
        <v>0</v>
      </c>
      <c r="N9" s="17">
        <f>SUMIF(B:B, L9,D:D )</f>
        <v>0</v>
      </c>
      <c r="O9" s="17">
        <f>SUMIF(B:B,L9,G:G)</f>
        <v>0</v>
      </c>
      <c r="P9" s="10">
        <f t="shared" si="1"/>
        <v>0</v>
      </c>
      <c r="Q9" s="64"/>
      <c r="R9" s="18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</row>
    <row r="10" spans="1:67" s="15" customFormat="1">
      <c r="A10" s="48"/>
      <c r="B10" s="49"/>
      <c r="C10" s="50"/>
      <c r="D10" s="50"/>
      <c r="E10" s="51"/>
      <c r="F10" s="10">
        <f t="shared" si="0"/>
        <v>14000</v>
      </c>
      <c r="G10" s="51"/>
      <c r="H10" s="77"/>
      <c r="I10" s="68">
        <v>8</v>
      </c>
      <c r="J10" s="49" t="s">
        <v>23</v>
      </c>
      <c r="K10" s="50"/>
      <c r="L10" s="16" t="str">
        <f t="array" ref="L10">IFERROR(INDEX($J$3:$J$101,MATCH(0,COUNTIF($L$1:L9,$J$3:$J$101),0)),"")</f>
        <v>Magnatec 5w30 4L</v>
      </c>
      <c r="M10" s="17">
        <f>SUMIF(B:B, L10,C:C )</f>
        <v>0</v>
      </c>
      <c r="N10" s="17">
        <f>SUMIF(B:B, L10,D:D )</f>
        <v>0</v>
      </c>
      <c r="O10" s="17">
        <f>SUMIF(B:B,L10,G:G)</f>
        <v>0</v>
      </c>
      <c r="P10" s="10">
        <f t="shared" si="1"/>
        <v>0</v>
      </c>
      <c r="Q10" s="64"/>
      <c r="R10" s="18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</row>
    <row r="11" spans="1:67" s="15" customFormat="1">
      <c r="A11" s="48"/>
      <c r="B11" s="49"/>
      <c r="C11" s="50"/>
      <c r="D11" s="50"/>
      <c r="E11" s="51"/>
      <c r="F11" s="10">
        <f t="shared" si="0"/>
        <v>14000</v>
      </c>
      <c r="G11" s="51"/>
      <c r="H11" s="77"/>
      <c r="I11" s="68">
        <v>9</v>
      </c>
      <c r="J11" s="49" t="s">
        <v>24</v>
      </c>
      <c r="K11" s="50"/>
      <c r="L11" s="16" t="str">
        <f t="array" ref="L11">IFERROR(INDEX($J$3:$J$101,MATCH(0,COUNTIF($L$1:L10,$J$3:$J$101),0)),"")</f>
        <v>Brake Fluid 0.35L</v>
      </c>
      <c r="M11" s="17">
        <f>SUMIF(B:B, L11,C:C )</f>
        <v>0</v>
      </c>
      <c r="N11" s="17">
        <f>SUMIF(B:B, L11,D:D )</f>
        <v>0</v>
      </c>
      <c r="O11" s="17">
        <f>SUMIF(B:B,L11,G:G)</f>
        <v>0</v>
      </c>
      <c r="P11" s="10">
        <f t="shared" si="1"/>
        <v>0</v>
      </c>
      <c r="Q11" s="64"/>
      <c r="R11" s="18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</row>
    <row r="12" spans="1:67" s="15" customFormat="1">
      <c r="A12" s="48"/>
      <c r="B12" s="49"/>
      <c r="C12" s="50"/>
      <c r="D12" s="50"/>
      <c r="E12" s="51"/>
      <c r="F12" s="10">
        <f t="shared" si="0"/>
        <v>14000</v>
      </c>
      <c r="G12" s="51"/>
      <c r="H12" s="77"/>
      <c r="I12" s="68">
        <v>10</v>
      </c>
      <c r="J12" s="49" t="s">
        <v>25</v>
      </c>
      <c r="K12" s="50"/>
      <c r="L12" s="16" t="str">
        <f t="array" ref="L12">IFERROR(INDEX($J$3:$J$101,MATCH(0,COUNTIF($L$1:L11,$J$3:$J$101),0)),"")</f>
        <v>GTX Essential 4L</v>
      </c>
      <c r="M12" s="17">
        <f>SUMIF(B:B, L12,C:C )</f>
        <v>0</v>
      </c>
      <c r="N12" s="17">
        <f>SUMIF(B:B, L12,D:D )</f>
        <v>0</v>
      </c>
      <c r="O12" s="17">
        <f>SUMIF(B:B,L12,G:G)</f>
        <v>0</v>
      </c>
      <c r="P12" s="10">
        <f t="shared" si="1"/>
        <v>0</v>
      </c>
      <c r="Q12" s="64"/>
      <c r="R12" s="18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</row>
    <row r="13" spans="1:67" s="15" customFormat="1">
      <c r="A13" s="48"/>
      <c r="B13" s="49"/>
      <c r="C13" s="50"/>
      <c r="D13" s="50"/>
      <c r="E13" s="51"/>
      <c r="F13" s="10">
        <f t="shared" si="0"/>
        <v>14000</v>
      </c>
      <c r="G13" s="51"/>
      <c r="H13" s="77"/>
      <c r="I13" s="68">
        <v>11</v>
      </c>
      <c r="J13" s="49" t="s">
        <v>26</v>
      </c>
      <c r="K13" s="50"/>
      <c r="L13" s="16" t="str">
        <f t="array" ref="L13">IFERROR(INDEX($J$3:$J$101,MATCH(0,COUNTIF($L$1:L12,$J$3:$J$101),0)),"")</f>
        <v>Edge 4L</v>
      </c>
      <c r="M13" s="17">
        <f>SUMIF(B:B, L13,C:C )</f>
        <v>0</v>
      </c>
      <c r="N13" s="17">
        <f>SUMIF(B:B, L13,D:D )</f>
        <v>0</v>
      </c>
      <c r="O13" s="17">
        <f>SUMIF(B:B,L13,G:G)</f>
        <v>0</v>
      </c>
      <c r="P13" s="10">
        <f t="shared" si="1"/>
        <v>0</v>
      </c>
      <c r="Q13" s="64"/>
      <c r="R13" s="18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</row>
    <row r="14" spans="1:67" s="15" customFormat="1">
      <c r="A14" s="48"/>
      <c r="B14" s="49"/>
      <c r="C14" s="50"/>
      <c r="D14" s="50"/>
      <c r="E14" s="51"/>
      <c r="F14" s="10">
        <f t="shared" si="0"/>
        <v>14000</v>
      </c>
      <c r="G14" s="51"/>
      <c r="H14" s="77"/>
      <c r="I14" s="68">
        <v>12</v>
      </c>
      <c r="J14" s="49"/>
      <c r="K14" s="50"/>
      <c r="L14" s="16">
        <f t="array" ref="L14">IFERROR(INDEX($J$3:$J$101,MATCH(0,COUNTIF($L$1:L13,$J$3:$J$101),0)),"")</f>
        <v>0</v>
      </c>
      <c r="M14" s="17">
        <f>SUMIF(B:B, L14,C:C )</f>
        <v>0</v>
      </c>
      <c r="N14" s="17">
        <f>SUMIF(B:B, L14,D:D )</f>
        <v>0</v>
      </c>
      <c r="O14" s="17">
        <f>SUMIF(B:B,L14,G:G)</f>
        <v>0</v>
      </c>
      <c r="P14" s="10">
        <f t="shared" si="1"/>
        <v>0</v>
      </c>
      <c r="Q14" s="64"/>
      <c r="R14" s="18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</row>
    <row r="15" spans="1:67" s="15" customFormat="1">
      <c r="A15" s="48"/>
      <c r="B15" s="49"/>
      <c r="C15" s="50"/>
      <c r="D15" s="50"/>
      <c r="E15" s="51"/>
      <c r="F15" s="10">
        <f t="shared" si="0"/>
        <v>14000</v>
      </c>
      <c r="G15" s="51"/>
      <c r="H15" s="77"/>
      <c r="I15" s="68">
        <v>13</v>
      </c>
      <c r="J15" s="49"/>
      <c r="K15" s="50"/>
      <c r="L15" s="16" t="str">
        <f t="array" ref="L15">IFERROR(INDEX($J$3:$J$101,MATCH(0,COUNTIF($L$1:L14,$J$3:$J$101),0)),"")</f>
        <v/>
      </c>
      <c r="M15" s="17">
        <f>SUMIF(B:B, L15,C:C )</f>
        <v>0</v>
      </c>
      <c r="N15" s="17">
        <f>SUMIF(B:B, L15,D:D )</f>
        <v>0</v>
      </c>
      <c r="O15" s="17">
        <f>SUMIF(B:B,L15,G:G)</f>
        <v>0</v>
      </c>
      <c r="P15" s="10">
        <f t="shared" si="1"/>
        <v>0</v>
      </c>
      <c r="Q15" s="64"/>
      <c r="R15" s="18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</row>
    <row r="16" spans="1:67" s="15" customFormat="1">
      <c r="A16" s="48"/>
      <c r="B16" s="49"/>
      <c r="C16" s="50"/>
      <c r="D16" s="50"/>
      <c r="E16" s="51"/>
      <c r="F16" s="10">
        <f t="shared" si="0"/>
        <v>14000</v>
      </c>
      <c r="G16" s="51"/>
      <c r="H16" s="77"/>
      <c r="I16" s="68">
        <v>14</v>
      </c>
      <c r="J16" s="49"/>
      <c r="K16" s="50"/>
      <c r="L16" s="16" t="str">
        <f t="array" ref="L16">IFERROR(INDEX($J$3:$J$101,MATCH(0,COUNTIF($L$1:L15,$J$3:$J$101),0)),"")</f>
        <v/>
      </c>
      <c r="M16" s="17">
        <f>SUMIF(B:B, L16,C:C )</f>
        <v>0</v>
      </c>
      <c r="N16" s="17">
        <f>SUMIF(B:B, L16,D:D )</f>
        <v>0</v>
      </c>
      <c r="O16" s="17">
        <f>SUMIF(B:B,L16,G:G)</f>
        <v>0</v>
      </c>
      <c r="P16" s="10">
        <f t="shared" si="1"/>
        <v>0</v>
      </c>
      <c r="Q16" s="64"/>
      <c r="R16" s="18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</row>
    <row r="17" spans="1:67" s="15" customFormat="1">
      <c r="A17" s="48"/>
      <c r="B17" s="49"/>
      <c r="C17" s="50"/>
      <c r="D17" s="50"/>
      <c r="E17" s="51"/>
      <c r="F17" s="10">
        <f t="shared" si="0"/>
        <v>14000</v>
      </c>
      <c r="G17" s="51"/>
      <c r="H17" s="77"/>
      <c r="I17" s="68">
        <v>15</v>
      </c>
      <c r="J17" s="49"/>
      <c r="K17" s="50"/>
      <c r="L17" s="16" t="str">
        <f t="array" ref="L17">IFERROR(INDEX($J$3:$J$101,MATCH(0,COUNTIF($L$1:L16,$J$3:$J$101),0)),"")</f>
        <v/>
      </c>
      <c r="M17" s="17">
        <f>SUMIF(B:B, L17,C:C )</f>
        <v>0</v>
      </c>
      <c r="N17" s="17">
        <f>SUMIF(B:B, L17,D:D )</f>
        <v>0</v>
      </c>
      <c r="O17" s="17">
        <f>SUMIF(B:B,L17,G:G)</f>
        <v>0</v>
      </c>
      <c r="P17" s="10">
        <f t="shared" si="1"/>
        <v>0</v>
      </c>
      <c r="Q17" s="64"/>
      <c r="R17" s="18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</row>
    <row r="18" spans="1:67" s="15" customFormat="1">
      <c r="A18" s="48"/>
      <c r="B18" s="49"/>
      <c r="C18" s="50"/>
      <c r="D18" s="50"/>
      <c r="E18" s="51"/>
      <c r="F18" s="10">
        <f t="shared" si="0"/>
        <v>14000</v>
      </c>
      <c r="G18" s="51"/>
      <c r="H18" s="77"/>
      <c r="I18" s="68">
        <v>16</v>
      </c>
      <c r="J18" s="49"/>
      <c r="K18" s="50"/>
      <c r="L18" s="16" t="str">
        <f t="array" ref="L18">IFERROR(INDEX($J$3:$J$101,MATCH(0,COUNTIF($L$1:L17,$J$3:$J$101),0)),"")</f>
        <v/>
      </c>
      <c r="M18" s="17">
        <f>SUMIF(B:B, L18,C:C )</f>
        <v>0</v>
      </c>
      <c r="N18" s="17">
        <f>SUMIF(B:B, L18,D:D )</f>
        <v>0</v>
      </c>
      <c r="O18" s="17">
        <f>SUMIF(B:B,L18,G:G)</f>
        <v>0</v>
      </c>
      <c r="P18" s="10">
        <f t="shared" si="1"/>
        <v>0</v>
      </c>
      <c r="Q18" s="64"/>
      <c r="R18" s="18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</row>
    <row r="19" spans="1:67" s="15" customFormat="1">
      <c r="A19" s="48"/>
      <c r="B19" s="49"/>
      <c r="C19" s="50"/>
      <c r="D19" s="50"/>
      <c r="E19" s="51"/>
      <c r="F19" s="10">
        <f t="shared" si="0"/>
        <v>14000</v>
      </c>
      <c r="G19" s="51"/>
      <c r="H19" s="77"/>
      <c r="I19" s="68">
        <v>17</v>
      </c>
      <c r="J19" s="49"/>
      <c r="K19" s="50"/>
      <c r="L19" s="16" t="str">
        <f t="array" ref="L19">IFERROR(INDEX($J$3:$J$101,MATCH(0,COUNTIF($L$1:L18,$J$3:$J$101),0)),"")</f>
        <v/>
      </c>
      <c r="M19" s="17">
        <f>SUMIF(B:B, L19,C:C )</f>
        <v>0</v>
      </c>
      <c r="N19" s="17">
        <f>SUMIF(B:B, L19,D:D )</f>
        <v>0</v>
      </c>
      <c r="O19" s="17">
        <f>SUMIF(B:B,L19,G:G)</f>
        <v>0</v>
      </c>
      <c r="P19" s="10">
        <f t="shared" si="1"/>
        <v>0</v>
      </c>
      <c r="Q19" s="64"/>
      <c r="R19" s="18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</row>
    <row r="20" spans="1:67" s="15" customFormat="1">
      <c r="A20" s="48"/>
      <c r="B20" s="49"/>
      <c r="C20" s="50"/>
      <c r="D20" s="50"/>
      <c r="E20" s="51"/>
      <c r="F20" s="10">
        <f t="shared" si="0"/>
        <v>14000</v>
      </c>
      <c r="G20" s="51"/>
      <c r="H20" s="77"/>
      <c r="I20" s="68">
        <v>18</v>
      </c>
      <c r="J20" s="49"/>
      <c r="K20" s="50"/>
      <c r="L20" s="16" t="str">
        <f t="array" ref="L20">IFERROR(INDEX($J$3:$J$101,MATCH(0,COUNTIF($L$1:L19,$J$3:$J$101),0)),"")</f>
        <v/>
      </c>
      <c r="M20" s="17">
        <f>SUMIF(B:B, L20,C:C )</f>
        <v>0</v>
      </c>
      <c r="N20" s="17">
        <f>SUMIF(B:B, L20,D:D )</f>
        <v>0</v>
      </c>
      <c r="O20" s="17">
        <f>SUMIF(B:B,L20,G:G)</f>
        <v>0</v>
      </c>
      <c r="P20" s="10">
        <f t="shared" si="1"/>
        <v>0</v>
      </c>
      <c r="Q20" s="64"/>
      <c r="R20" s="18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</row>
    <row r="21" spans="1:67" s="15" customFormat="1">
      <c r="A21" s="48"/>
      <c r="B21" s="49"/>
      <c r="C21" s="50"/>
      <c r="D21" s="50"/>
      <c r="E21" s="51"/>
      <c r="F21" s="10">
        <f t="shared" si="0"/>
        <v>14000</v>
      </c>
      <c r="G21" s="51"/>
      <c r="H21" s="77"/>
      <c r="I21" s="68">
        <v>19</v>
      </c>
      <c r="J21" s="49"/>
      <c r="K21" s="50"/>
      <c r="L21" s="16" t="str">
        <f t="array" ref="L21">IFERROR(INDEX($J$3:$J$101,MATCH(0,COUNTIF($L$1:L20,$J$3:$J$101),0)),"")</f>
        <v/>
      </c>
      <c r="M21" s="17">
        <f>SUMIF(B:B, L21,C:C )</f>
        <v>0</v>
      </c>
      <c r="N21" s="17">
        <f>SUMIF(B:B, L21,D:D )</f>
        <v>0</v>
      </c>
      <c r="O21" s="17">
        <f>SUMIF(B:B,L21,G:G)</f>
        <v>0</v>
      </c>
      <c r="P21" s="10">
        <f t="shared" si="1"/>
        <v>0</v>
      </c>
      <c r="Q21" s="64"/>
      <c r="R21" s="18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</row>
    <row r="22" spans="1:67" s="15" customFormat="1">
      <c r="A22" s="48"/>
      <c r="B22" s="49"/>
      <c r="C22" s="50"/>
      <c r="D22" s="50"/>
      <c r="E22" s="51"/>
      <c r="F22" s="10">
        <f t="shared" si="0"/>
        <v>14000</v>
      </c>
      <c r="G22" s="51"/>
      <c r="H22" s="77"/>
      <c r="I22" s="68">
        <v>20</v>
      </c>
      <c r="J22" s="49"/>
      <c r="K22" s="50"/>
      <c r="L22" s="16" t="str">
        <f t="array" ref="L22">IFERROR(INDEX($J$3:$J$101,MATCH(0,COUNTIF($L$1:L21,$J$3:$J$101),0)),"")</f>
        <v/>
      </c>
      <c r="M22" s="17">
        <f>SUMIF(B:B, L22,C:C )</f>
        <v>0</v>
      </c>
      <c r="N22" s="17">
        <f>SUMIF(B:B, L22,D:D )</f>
        <v>0</v>
      </c>
      <c r="O22" s="17">
        <f>SUMIF(B:B,L22,G:G)</f>
        <v>0</v>
      </c>
      <c r="P22" s="10">
        <f t="shared" si="1"/>
        <v>0</v>
      </c>
      <c r="Q22" s="64"/>
      <c r="R22" s="18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</row>
    <row r="23" spans="1:67" s="15" customFormat="1">
      <c r="A23" s="48"/>
      <c r="B23" s="49"/>
      <c r="C23" s="50"/>
      <c r="D23" s="50"/>
      <c r="E23" s="51"/>
      <c r="F23" s="10">
        <f t="shared" si="0"/>
        <v>14000</v>
      </c>
      <c r="G23" s="51"/>
      <c r="H23" s="77"/>
      <c r="I23" s="68">
        <v>21</v>
      </c>
      <c r="J23" s="49"/>
      <c r="K23" s="50"/>
      <c r="L23" s="16" t="str">
        <f t="array" ref="L23">IFERROR(INDEX($J$3:$J$101,MATCH(0,COUNTIF($L$1:L22,$J$3:$J$101),0)),"")</f>
        <v/>
      </c>
      <c r="M23" s="17">
        <f>SUMIF(B:B, L23,C:C )</f>
        <v>0</v>
      </c>
      <c r="N23" s="17">
        <f>SUMIF(B:B, L23,D:D )</f>
        <v>0</v>
      </c>
      <c r="O23" s="17">
        <f>SUMIF(B:B,L23,G:G)</f>
        <v>0</v>
      </c>
      <c r="P23" s="10">
        <f t="shared" si="1"/>
        <v>0</v>
      </c>
      <c r="Q23" s="64"/>
      <c r="R23" s="18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</row>
    <row r="24" spans="1:67" s="15" customFormat="1">
      <c r="A24" s="48"/>
      <c r="B24" s="49"/>
      <c r="C24" s="50"/>
      <c r="D24" s="50"/>
      <c r="E24" s="51"/>
      <c r="F24" s="10">
        <f t="shared" si="0"/>
        <v>14000</v>
      </c>
      <c r="G24" s="51"/>
      <c r="H24" s="77"/>
      <c r="I24" s="68">
        <v>22</v>
      </c>
      <c r="J24" s="49"/>
      <c r="K24" s="50"/>
      <c r="L24" s="16" t="str">
        <f t="array" ref="L24">IFERROR(INDEX($J$3:$J$101,MATCH(0,COUNTIF($L$1:L23,$J$3:$J$101),0)),"")</f>
        <v/>
      </c>
      <c r="M24" s="17">
        <f>SUMIF(B:B, L24,C:C )</f>
        <v>0</v>
      </c>
      <c r="N24" s="17">
        <f>SUMIF(B:B, L24,D:D )</f>
        <v>0</v>
      </c>
      <c r="O24" s="17">
        <f>SUMIF(B:B,L24,G:G)</f>
        <v>0</v>
      </c>
      <c r="P24" s="10">
        <f t="shared" si="1"/>
        <v>0</v>
      </c>
      <c r="Q24" s="64"/>
      <c r="R24" s="18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</row>
    <row r="25" spans="1:67" s="15" customFormat="1">
      <c r="A25" s="48"/>
      <c r="B25" s="49"/>
      <c r="C25" s="50"/>
      <c r="D25" s="50"/>
      <c r="E25" s="51"/>
      <c r="F25" s="10">
        <f t="shared" si="0"/>
        <v>14000</v>
      </c>
      <c r="G25" s="51"/>
      <c r="H25" s="77"/>
      <c r="I25" s="68">
        <v>23</v>
      </c>
      <c r="J25" s="49"/>
      <c r="K25" s="50"/>
      <c r="L25" s="16" t="str">
        <f t="array" ref="L25">IFERROR(INDEX($J$3:$J$101,MATCH(0,COUNTIF($L$1:L24,$J$3:$J$101),0)),"")</f>
        <v/>
      </c>
      <c r="M25" s="17">
        <f>SUMIF(B:B, L25,C:C )</f>
        <v>0</v>
      </c>
      <c r="N25" s="17">
        <f>SUMIF(B:B, L25,D:D )</f>
        <v>0</v>
      </c>
      <c r="O25" s="17">
        <f>SUMIF(B:B,L25,G:G)</f>
        <v>0</v>
      </c>
      <c r="P25" s="10">
        <f t="shared" si="1"/>
        <v>0</v>
      </c>
      <c r="Q25" s="64"/>
      <c r="R25" s="18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</row>
    <row r="26" spans="1:67" s="15" customFormat="1">
      <c r="A26" s="48"/>
      <c r="B26" s="49"/>
      <c r="C26" s="50"/>
      <c r="D26" s="50"/>
      <c r="E26" s="51"/>
      <c r="F26" s="10">
        <f t="shared" si="0"/>
        <v>14000</v>
      </c>
      <c r="G26" s="51"/>
      <c r="H26" s="77"/>
      <c r="I26" s="68">
        <v>24</v>
      </c>
      <c r="J26" s="49"/>
      <c r="K26" s="50"/>
      <c r="L26" s="16" t="str">
        <f t="array" ref="L26">IFERROR(INDEX($J$3:$J$101,MATCH(0,COUNTIF($L$1:L25,$J$3:$J$101),0)),"")</f>
        <v/>
      </c>
      <c r="M26" s="17">
        <f>SUMIF(B:B, L26,C:C )</f>
        <v>0</v>
      </c>
      <c r="N26" s="17">
        <f>SUMIF(B:B, L26,D:D )</f>
        <v>0</v>
      </c>
      <c r="O26" s="17">
        <f>SUMIF(B:B,L26,G:G)</f>
        <v>0</v>
      </c>
      <c r="P26" s="10">
        <f t="shared" si="1"/>
        <v>0</v>
      </c>
      <c r="Q26" s="64"/>
      <c r="R26" s="18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</row>
    <row r="27" spans="1:67" s="15" customFormat="1">
      <c r="A27" s="48"/>
      <c r="B27" s="49"/>
      <c r="C27" s="50"/>
      <c r="D27" s="50"/>
      <c r="E27" s="51"/>
      <c r="F27" s="10">
        <f t="shared" si="0"/>
        <v>14000</v>
      </c>
      <c r="G27" s="51"/>
      <c r="H27" s="77"/>
      <c r="I27" s="68">
        <v>25</v>
      </c>
      <c r="J27" s="49"/>
      <c r="K27" s="50"/>
      <c r="L27" s="16" t="str">
        <f t="array" ref="L27">IFERROR(INDEX($J$3:$J$101,MATCH(0,COUNTIF($L$1:L26,$J$3:$J$101),0)),"")</f>
        <v/>
      </c>
      <c r="M27" s="17">
        <f>SUMIF(B:B, L27,C:C )</f>
        <v>0</v>
      </c>
      <c r="N27" s="17">
        <f>SUMIF(B:B, L27,D:D )</f>
        <v>0</v>
      </c>
      <c r="O27" s="17">
        <f>SUMIF(B:B,L27,G:G)</f>
        <v>0</v>
      </c>
      <c r="P27" s="10">
        <f t="shared" si="1"/>
        <v>0</v>
      </c>
      <c r="Q27" s="64"/>
      <c r="R27" s="18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</row>
    <row r="28" spans="1:67" s="15" customFormat="1">
      <c r="A28" s="48"/>
      <c r="B28" s="49"/>
      <c r="C28" s="50"/>
      <c r="D28" s="50"/>
      <c r="E28" s="51"/>
      <c r="F28" s="10">
        <f t="shared" si="0"/>
        <v>14000</v>
      </c>
      <c r="G28" s="51"/>
      <c r="H28" s="77"/>
      <c r="I28" s="68">
        <v>26</v>
      </c>
      <c r="J28" s="49"/>
      <c r="K28" s="50"/>
      <c r="L28" s="16" t="str">
        <f t="array" ref="L28">IFERROR(INDEX($J$3:$J$101,MATCH(0,COUNTIF($L$1:L27,$J$3:$J$101),0)),"")</f>
        <v/>
      </c>
      <c r="M28" s="17">
        <f>SUMIF(B:B, L28,C:C )</f>
        <v>0</v>
      </c>
      <c r="N28" s="17">
        <f>SUMIF(B:B, L28,D:D )</f>
        <v>0</v>
      </c>
      <c r="O28" s="17">
        <f>SUMIF(B:B,L28,G:G)</f>
        <v>0</v>
      </c>
      <c r="P28" s="10">
        <f t="shared" si="1"/>
        <v>0</v>
      </c>
      <c r="Q28" s="64"/>
      <c r="R28" s="18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</row>
    <row r="29" spans="1:67" s="15" customFormat="1">
      <c r="A29" s="48"/>
      <c r="B29" s="49"/>
      <c r="C29" s="50"/>
      <c r="D29" s="50"/>
      <c r="E29" s="51"/>
      <c r="F29" s="10">
        <f t="shared" si="0"/>
        <v>14000</v>
      </c>
      <c r="G29" s="51"/>
      <c r="H29" s="77"/>
      <c r="I29" s="68">
        <v>27</v>
      </c>
      <c r="J29" s="49"/>
      <c r="K29" s="50"/>
      <c r="L29" s="16" t="str">
        <f t="array" ref="L29">IFERROR(INDEX($J$3:$J$101,MATCH(0,COUNTIF($L$1:L28,$J$3:$J$101),0)),"")</f>
        <v/>
      </c>
      <c r="M29" s="17">
        <f>SUMIF(B:B, L29,C:C )</f>
        <v>0</v>
      </c>
      <c r="N29" s="17">
        <f>SUMIF(B:B, L29,D:D )</f>
        <v>0</v>
      </c>
      <c r="O29" s="17">
        <f>SUMIF(B:B,L29,G:G)</f>
        <v>0</v>
      </c>
      <c r="P29" s="10">
        <f t="shared" si="1"/>
        <v>0</v>
      </c>
      <c r="Q29" s="64"/>
      <c r="R29" s="18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</row>
    <row r="30" spans="1:67" s="15" customFormat="1">
      <c r="A30" s="48"/>
      <c r="B30" s="49"/>
      <c r="C30" s="50"/>
      <c r="D30" s="50"/>
      <c r="E30" s="51"/>
      <c r="F30" s="10">
        <f t="shared" si="0"/>
        <v>14000</v>
      </c>
      <c r="G30" s="51"/>
      <c r="H30" s="77"/>
      <c r="I30" s="68">
        <v>28</v>
      </c>
      <c r="J30" s="49"/>
      <c r="K30" s="50"/>
      <c r="L30" s="16" t="str">
        <f t="array" ref="L30">IFERROR(INDEX($J$3:$J$101,MATCH(0,COUNTIF($L$1:L29,$J$3:$J$101),0)),"")</f>
        <v/>
      </c>
      <c r="M30" s="17">
        <f>SUMIF(B:B, L30,C:C )</f>
        <v>0</v>
      </c>
      <c r="N30" s="17">
        <f>SUMIF(B:B, L30,D:D )</f>
        <v>0</v>
      </c>
      <c r="O30" s="17">
        <f>SUMIF(B:B,L30,G:G)</f>
        <v>0</v>
      </c>
      <c r="P30" s="10">
        <f t="shared" si="1"/>
        <v>0</v>
      </c>
      <c r="Q30" s="64"/>
      <c r="R30" s="18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</row>
    <row r="31" spans="1:67" s="15" customFormat="1">
      <c r="A31" s="48"/>
      <c r="B31" s="49"/>
      <c r="C31" s="50"/>
      <c r="D31" s="50"/>
      <c r="E31" s="51"/>
      <c r="F31" s="10">
        <f t="shared" si="0"/>
        <v>14000</v>
      </c>
      <c r="G31" s="51"/>
      <c r="H31" s="77"/>
      <c r="I31" s="68">
        <v>29</v>
      </c>
      <c r="J31" s="49"/>
      <c r="K31" s="50"/>
      <c r="L31" s="16" t="str">
        <f t="array" ref="L31">IFERROR(INDEX($J$3:$J$101,MATCH(0,COUNTIF($L$1:L30,$J$3:$J$101),0)),"")</f>
        <v/>
      </c>
      <c r="M31" s="17">
        <f>SUMIF(B:B, L31,C:C )</f>
        <v>0</v>
      </c>
      <c r="N31" s="17">
        <f>SUMIF(B:B, L31,D:D )</f>
        <v>0</v>
      </c>
      <c r="O31" s="17">
        <f>SUMIF(B:B,L31,G:G)</f>
        <v>0</v>
      </c>
      <c r="P31" s="10">
        <f t="shared" si="1"/>
        <v>0</v>
      </c>
      <c r="Q31" s="64"/>
      <c r="R31" s="18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</row>
    <row r="32" spans="1:67" s="15" customFormat="1">
      <c r="A32" s="48"/>
      <c r="B32" s="49"/>
      <c r="C32" s="50"/>
      <c r="D32" s="50"/>
      <c r="E32" s="51"/>
      <c r="F32" s="10">
        <f t="shared" si="0"/>
        <v>14000</v>
      </c>
      <c r="G32" s="51"/>
      <c r="H32" s="77"/>
      <c r="I32" s="68">
        <v>30</v>
      </c>
      <c r="J32" s="49"/>
      <c r="K32" s="50"/>
      <c r="L32" s="16" t="str">
        <f t="array" ref="L32">IFERROR(INDEX($J$3:$J$101,MATCH(0,COUNTIF($L$1:L31,$J$3:$J$101),0)),"")</f>
        <v/>
      </c>
      <c r="M32" s="17">
        <f>SUMIF(B:B, L32,C:C )</f>
        <v>0</v>
      </c>
      <c r="N32" s="17">
        <f>SUMIF(B:B, L32,D:D )</f>
        <v>0</v>
      </c>
      <c r="O32" s="17">
        <f>SUMIF(B:B,L32,G:G)</f>
        <v>0</v>
      </c>
      <c r="P32" s="10">
        <f t="shared" si="1"/>
        <v>0</v>
      </c>
      <c r="Q32" s="64"/>
      <c r="R32" s="18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</row>
    <row r="33" spans="1:67" s="15" customFormat="1">
      <c r="A33" s="48"/>
      <c r="B33" s="49"/>
      <c r="C33" s="50"/>
      <c r="D33" s="50"/>
      <c r="E33" s="51"/>
      <c r="F33" s="10">
        <f t="shared" si="0"/>
        <v>14000</v>
      </c>
      <c r="G33" s="51"/>
      <c r="H33" s="77"/>
      <c r="I33" s="68">
        <v>31</v>
      </c>
      <c r="J33" s="49"/>
      <c r="K33" s="50"/>
      <c r="L33" s="16" t="str">
        <f t="array" ref="L33">IFERROR(INDEX($J$3:$J$101,MATCH(0,COUNTIF($L$1:L32,$J$3:$J$101),0)),"")</f>
        <v/>
      </c>
      <c r="M33" s="17">
        <f>SUMIF(B:B, L33,C:C )</f>
        <v>0</v>
      </c>
      <c r="N33" s="17">
        <f>SUMIF(B:B, L33,D:D )</f>
        <v>0</v>
      </c>
      <c r="O33" s="17">
        <f>SUMIF(B:B,L33,G:G)</f>
        <v>0</v>
      </c>
      <c r="P33" s="10">
        <f t="shared" si="1"/>
        <v>0</v>
      </c>
      <c r="Q33" s="64"/>
      <c r="R33" s="18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</row>
    <row r="34" spans="1:67" s="15" customFormat="1">
      <c r="A34" s="48"/>
      <c r="B34" s="49"/>
      <c r="C34" s="50"/>
      <c r="D34" s="50"/>
      <c r="E34" s="51"/>
      <c r="F34" s="10">
        <f t="shared" si="0"/>
        <v>14000</v>
      </c>
      <c r="G34" s="51"/>
      <c r="H34" s="77"/>
      <c r="I34" s="68">
        <v>32</v>
      </c>
      <c r="J34" s="49"/>
      <c r="K34" s="50"/>
      <c r="L34" s="16" t="str">
        <f t="array" ref="L34">IFERROR(INDEX($J$3:$J$101,MATCH(0,COUNTIF($L$1:L33,$J$3:$J$101),0)),"")</f>
        <v/>
      </c>
      <c r="M34" s="17">
        <f>SUMIF(B:B, L34,C:C )</f>
        <v>0</v>
      </c>
      <c r="N34" s="17">
        <f>SUMIF(B:B, L34,D:D )</f>
        <v>0</v>
      </c>
      <c r="O34" s="17">
        <f>SUMIF(B:B,L34,G:G)</f>
        <v>0</v>
      </c>
      <c r="P34" s="10">
        <f t="shared" si="1"/>
        <v>0</v>
      </c>
      <c r="Q34" s="64"/>
      <c r="R34" s="18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</row>
    <row r="35" spans="1:67" s="15" customFormat="1">
      <c r="A35" s="48"/>
      <c r="B35" s="49"/>
      <c r="C35" s="50"/>
      <c r="D35" s="50"/>
      <c r="E35" s="51"/>
      <c r="F35" s="10">
        <f t="shared" si="0"/>
        <v>14000</v>
      </c>
      <c r="G35" s="51"/>
      <c r="H35" s="77"/>
      <c r="I35" s="68">
        <v>33</v>
      </c>
      <c r="J35" s="49"/>
      <c r="K35" s="50"/>
      <c r="L35" s="16" t="str">
        <f t="array" ref="L35">IFERROR(INDEX($J$3:$J$101,MATCH(0,COUNTIF($L$1:L34,$J$3:$J$101),0)),"")</f>
        <v/>
      </c>
      <c r="M35" s="17">
        <f>SUMIF(B:B, L35,C:C )</f>
        <v>0</v>
      </c>
      <c r="N35" s="17">
        <f>SUMIF(B:B, L35,D:D )</f>
        <v>0</v>
      </c>
      <c r="O35" s="17">
        <f>SUMIF(B:B,L35,G:G)</f>
        <v>0</v>
      </c>
      <c r="P35" s="10">
        <f t="shared" si="1"/>
        <v>0</v>
      </c>
      <c r="Q35" s="64"/>
      <c r="R35" s="18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</row>
    <row r="36" spans="1:67" s="15" customFormat="1">
      <c r="A36" s="48"/>
      <c r="B36" s="49"/>
      <c r="C36" s="50"/>
      <c r="D36" s="50"/>
      <c r="E36" s="51"/>
      <c r="F36" s="10">
        <f t="shared" si="0"/>
        <v>14000</v>
      </c>
      <c r="G36" s="51"/>
      <c r="H36" s="77"/>
      <c r="I36" s="68">
        <v>34</v>
      </c>
      <c r="J36" s="49"/>
      <c r="K36" s="50"/>
      <c r="L36" s="16" t="str">
        <f t="array" ref="L36">IFERROR(INDEX($J$3:$J$101,MATCH(0,COUNTIF($L$1:L35,$J$3:$J$101),0)),"")</f>
        <v/>
      </c>
      <c r="M36" s="17">
        <f>SUMIF(B:B, L36,C:C )</f>
        <v>0</v>
      </c>
      <c r="N36" s="17">
        <f>SUMIF(B:B, L36,D:D )</f>
        <v>0</v>
      </c>
      <c r="O36" s="17">
        <f>SUMIF(B:B,L36,G:G)</f>
        <v>0</v>
      </c>
      <c r="P36" s="10">
        <f t="shared" si="1"/>
        <v>0</v>
      </c>
      <c r="Q36" s="64"/>
      <c r="R36" s="18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</row>
    <row r="37" spans="1:67" s="15" customFormat="1">
      <c r="A37" s="48"/>
      <c r="B37" s="49"/>
      <c r="C37" s="50"/>
      <c r="D37" s="50"/>
      <c r="E37" s="51"/>
      <c r="F37" s="10">
        <f t="shared" si="0"/>
        <v>14000</v>
      </c>
      <c r="G37" s="51"/>
      <c r="H37" s="77"/>
      <c r="I37" s="68">
        <v>35</v>
      </c>
      <c r="J37" s="49"/>
      <c r="K37" s="50"/>
      <c r="L37" s="16" t="str">
        <f t="array" ref="L37">IFERROR(INDEX($J$3:$J$101,MATCH(0,COUNTIF($L$1:L36,$J$3:$J$101),0)),"")</f>
        <v/>
      </c>
      <c r="M37" s="17">
        <f>SUMIF(B:B, L37,C:C )</f>
        <v>0</v>
      </c>
      <c r="N37" s="17">
        <f>SUMIF(B:B, L37,D:D )</f>
        <v>0</v>
      </c>
      <c r="O37" s="17">
        <f>SUMIF(B:B,L37,G:G)</f>
        <v>0</v>
      </c>
      <c r="P37" s="10">
        <f t="shared" si="1"/>
        <v>0</v>
      </c>
      <c r="Q37" s="64"/>
      <c r="R37" s="18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</row>
    <row r="38" spans="1:67" s="15" customFormat="1">
      <c r="A38" s="48"/>
      <c r="B38" s="49"/>
      <c r="C38" s="50"/>
      <c r="D38" s="50"/>
      <c r="E38" s="51"/>
      <c r="F38" s="10">
        <f t="shared" si="0"/>
        <v>14000</v>
      </c>
      <c r="G38" s="51"/>
      <c r="H38" s="77"/>
      <c r="I38" s="68">
        <v>36</v>
      </c>
      <c r="J38" s="49"/>
      <c r="K38" s="50"/>
      <c r="L38" s="16" t="str">
        <f t="array" ref="L38">IFERROR(INDEX($J$3:$J$101,MATCH(0,COUNTIF($L$1:L37,$J$3:$J$101),0)),"")</f>
        <v/>
      </c>
      <c r="M38" s="17">
        <f>SUMIF(B:B, L38,C:C )</f>
        <v>0</v>
      </c>
      <c r="N38" s="17">
        <f>SUMIF(B:B, L38,D:D )</f>
        <v>0</v>
      </c>
      <c r="O38" s="17">
        <f>SUMIF(B:B,L38,G:G)</f>
        <v>0</v>
      </c>
      <c r="P38" s="10">
        <f t="shared" si="1"/>
        <v>0</v>
      </c>
      <c r="Q38" s="64"/>
      <c r="R38" s="18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</row>
    <row r="39" spans="1:67" s="15" customFormat="1">
      <c r="A39" s="48"/>
      <c r="B39" s="49"/>
      <c r="C39" s="50"/>
      <c r="D39" s="50"/>
      <c r="E39" s="51"/>
      <c r="F39" s="10">
        <f t="shared" si="0"/>
        <v>14000</v>
      </c>
      <c r="G39" s="51"/>
      <c r="H39" s="77"/>
      <c r="I39" s="68">
        <v>37</v>
      </c>
      <c r="J39" s="49"/>
      <c r="K39" s="50"/>
      <c r="L39" s="16" t="str">
        <f t="array" ref="L39">IFERROR(INDEX($J$3:$J$101,MATCH(0,COUNTIF($L$1:L38,$J$3:$J$101),0)),"")</f>
        <v/>
      </c>
      <c r="M39" s="17">
        <f>SUMIF(B:B, L39,C:C )</f>
        <v>0</v>
      </c>
      <c r="N39" s="17">
        <f>SUMIF(B:B, L39,D:D )</f>
        <v>0</v>
      </c>
      <c r="O39" s="17">
        <f>SUMIF(B:B,L39,G:G)</f>
        <v>0</v>
      </c>
      <c r="P39" s="10">
        <f t="shared" si="1"/>
        <v>0</v>
      </c>
      <c r="Q39" s="64"/>
      <c r="R39" s="18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</row>
    <row r="40" spans="1:67" s="15" customFormat="1">
      <c r="A40" s="48"/>
      <c r="B40" s="49"/>
      <c r="C40" s="50"/>
      <c r="D40" s="50"/>
      <c r="E40" s="51"/>
      <c r="F40" s="10">
        <f t="shared" si="0"/>
        <v>14000</v>
      </c>
      <c r="G40" s="51"/>
      <c r="H40" s="77"/>
      <c r="I40" s="68">
        <v>38</v>
      </c>
      <c r="J40" s="49"/>
      <c r="K40" s="50"/>
      <c r="L40" s="16" t="str">
        <f t="array" ref="L40">IFERROR(INDEX($J$3:$J$101,MATCH(0,COUNTIF($L$1:L39,$J$3:$J$101),0)),"")</f>
        <v/>
      </c>
      <c r="M40" s="17">
        <f>SUMIF(B:B, L40,C:C )</f>
        <v>0</v>
      </c>
      <c r="N40" s="17">
        <f>SUMIF(B:B, L40,D:D )</f>
        <v>0</v>
      </c>
      <c r="O40" s="17">
        <f>SUMIF(B:B,L40,G:G)</f>
        <v>0</v>
      </c>
      <c r="P40" s="10">
        <f t="shared" si="1"/>
        <v>0</v>
      </c>
      <c r="Q40" s="64"/>
      <c r="R40" s="18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</row>
    <row r="41" spans="1:67" s="15" customFormat="1">
      <c r="A41" s="48"/>
      <c r="B41" s="49"/>
      <c r="C41" s="50"/>
      <c r="D41" s="50"/>
      <c r="E41" s="51"/>
      <c r="F41" s="10">
        <f t="shared" si="0"/>
        <v>14000</v>
      </c>
      <c r="G41" s="51"/>
      <c r="H41" s="77"/>
      <c r="I41" s="68">
        <v>39</v>
      </c>
      <c r="J41" s="49"/>
      <c r="K41" s="50"/>
      <c r="L41" s="16" t="str">
        <f t="array" ref="L41">IFERROR(INDEX($J$3:$J$101,MATCH(0,COUNTIF($L$1:L40,$J$3:$J$101),0)),"")</f>
        <v/>
      </c>
      <c r="M41" s="17">
        <f>SUMIF(B:B, L41,C:C )</f>
        <v>0</v>
      </c>
      <c r="N41" s="17">
        <f>SUMIF(B:B, L41,D:D )</f>
        <v>0</v>
      </c>
      <c r="O41" s="17">
        <f>SUMIF(B:B,L41,G:G)</f>
        <v>0</v>
      </c>
      <c r="P41" s="10">
        <f t="shared" si="1"/>
        <v>0</v>
      </c>
      <c r="Q41" s="64"/>
      <c r="R41" s="18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</row>
    <row r="42" spans="1:67" s="15" customFormat="1" ht="15.75" thickBot="1">
      <c r="A42" s="48"/>
      <c r="B42" s="49"/>
      <c r="C42" s="50"/>
      <c r="D42" s="50"/>
      <c r="E42" s="51"/>
      <c r="F42" s="10">
        <f t="shared" si="0"/>
        <v>14000</v>
      </c>
      <c r="G42" s="51"/>
      <c r="H42" s="78"/>
      <c r="I42" s="69">
        <v>40</v>
      </c>
      <c r="J42" s="61"/>
      <c r="K42" s="62"/>
      <c r="L42" s="19" t="str">
        <f t="array" ref="L42">IFERROR(INDEX($J$3:$J$101,MATCH(0,COUNTIF($L$1:L41,$J$3:$J$101),0)),"")</f>
        <v/>
      </c>
      <c r="M42" s="20">
        <f>SUMIF(B:B, L42,C:C )</f>
        <v>0</v>
      </c>
      <c r="N42" s="20">
        <f>SUMIF(B:B, L42,D:D )</f>
        <v>0</v>
      </c>
      <c r="O42" s="20">
        <f>SUMIF(B:B,L42,G:G)</f>
        <v>0</v>
      </c>
      <c r="P42" s="21">
        <f t="shared" si="1"/>
        <v>0</v>
      </c>
      <c r="Q42" s="65"/>
      <c r="R42" s="22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</row>
    <row r="43" spans="1:67" s="15" customFormat="1" ht="15.75" thickBot="1">
      <c r="A43" s="48"/>
      <c r="B43" s="49"/>
      <c r="C43" s="50"/>
      <c r="D43" s="50"/>
      <c r="E43" s="51"/>
      <c r="F43" s="10">
        <f t="shared" si="0"/>
        <v>14000</v>
      </c>
      <c r="G43" s="51"/>
      <c r="H43" s="79"/>
      <c r="I43" s="70" t="s">
        <v>27</v>
      </c>
      <c r="J43" s="23"/>
      <c r="K43" s="24">
        <f t="shared" ref="K43" si="2">SUM(K3:K42)</f>
        <v>20</v>
      </c>
      <c r="L43" s="24"/>
      <c r="M43" s="24">
        <f>SUM(M3:M42)</f>
        <v>5</v>
      </c>
      <c r="N43" s="24">
        <f t="shared" ref="N43:R43" si="3">SUM(N3:N42)</f>
        <v>12000</v>
      </c>
      <c r="O43" s="24">
        <f t="shared" si="3"/>
        <v>24</v>
      </c>
      <c r="P43" s="24">
        <f t="shared" si="3"/>
        <v>39</v>
      </c>
      <c r="Q43" s="24">
        <f t="shared" si="3"/>
        <v>38</v>
      </c>
      <c r="R43" s="25">
        <f t="shared" si="3"/>
        <v>-4</v>
      </c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</row>
    <row r="44" spans="1:67" s="15" customFormat="1">
      <c r="A44" s="52"/>
      <c r="B44" s="53"/>
      <c r="C44" s="54"/>
      <c r="D44" s="54"/>
      <c r="E44" s="55"/>
      <c r="F44" s="10">
        <f t="shared" si="0"/>
        <v>14000</v>
      </c>
      <c r="G44" s="55"/>
      <c r="H44" s="80"/>
      <c r="I44" s="71"/>
      <c r="J44" s="27"/>
      <c r="K44" s="27"/>
      <c r="L44" s="28"/>
      <c r="M44" s="27"/>
      <c r="N44" s="27"/>
      <c r="O44" s="27"/>
      <c r="P44" s="29"/>
      <c r="Q44" s="30"/>
      <c r="R44" s="31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</row>
    <row r="45" spans="1:67" s="15" customFormat="1">
      <c r="A45" s="52"/>
      <c r="B45" s="53"/>
      <c r="C45" s="54"/>
      <c r="D45" s="54"/>
      <c r="E45" s="55"/>
      <c r="F45" s="10">
        <f t="shared" si="0"/>
        <v>14000</v>
      </c>
      <c r="G45" s="55"/>
      <c r="H45" s="81"/>
      <c r="I45" s="72"/>
      <c r="J45" s="26"/>
      <c r="K45" s="26"/>
      <c r="L45" s="32"/>
      <c r="M45" s="26"/>
      <c r="N45" s="26"/>
      <c r="O45" s="26"/>
      <c r="P45" s="33"/>
      <c r="Q45" s="34"/>
      <c r="R45" s="35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</row>
    <row r="46" spans="1:67" s="15" customFormat="1">
      <c r="A46" s="52"/>
      <c r="B46" s="53"/>
      <c r="C46" s="54"/>
      <c r="D46" s="54"/>
      <c r="E46" s="55"/>
      <c r="F46" s="10">
        <f t="shared" si="0"/>
        <v>14000</v>
      </c>
      <c r="G46" s="55"/>
      <c r="H46" s="81"/>
      <c r="I46" s="72"/>
      <c r="J46" s="26"/>
      <c r="K46" s="26"/>
      <c r="L46" s="32"/>
      <c r="M46" s="26"/>
      <c r="N46" s="26"/>
      <c r="O46" s="26"/>
      <c r="P46" s="33"/>
      <c r="Q46" s="34"/>
      <c r="R46" s="35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</row>
    <row r="47" spans="1:67" s="15" customFormat="1">
      <c r="A47" s="52"/>
      <c r="B47" s="53"/>
      <c r="C47" s="54"/>
      <c r="D47" s="54"/>
      <c r="E47" s="55"/>
      <c r="F47" s="10">
        <f t="shared" si="0"/>
        <v>14000</v>
      </c>
      <c r="G47" s="55"/>
      <c r="H47" s="81"/>
      <c r="I47" s="72"/>
      <c r="J47" s="26"/>
      <c r="K47" s="26"/>
      <c r="L47" s="32"/>
      <c r="M47" s="26"/>
      <c r="N47" s="26"/>
      <c r="O47" s="26"/>
      <c r="P47" s="33"/>
      <c r="Q47" s="34"/>
      <c r="R47" s="35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</row>
    <row r="48" spans="1:67" s="15" customFormat="1">
      <c r="A48" s="52"/>
      <c r="B48" s="53"/>
      <c r="C48" s="54"/>
      <c r="D48" s="54"/>
      <c r="E48" s="55"/>
      <c r="F48" s="10">
        <f t="shared" si="0"/>
        <v>14000</v>
      </c>
      <c r="G48" s="55"/>
      <c r="H48" s="81"/>
      <c r="I48" s="72"/>
      <c r="J48" s="26"/>
      <c r="K48" s="26"/>
      <c r="L48" s="32"/>
      <c r="M48" s="26"/>
      <c r="N48" s="26"/>
      <c r="O48" s="26"/>
      <c r="P48" s="33"/>
      <c r="Q48" s="34"/>
      <c r="R48" s="35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</row>
    <row r="49" spans="1:67" s="15" customFormat="1">
      <c r="A49" s="52"/>
      <c r="B49" s="53"/>
      <c r="C49" s="54"/>
      <c r="D49" s="54"/>
      <c r="E49" s="55"/>
      <c r="F49" s="10">
        <f t="shared" si="0"/>
        <v>14000</v>
      </c>
      <c r="G49" s="55"/>
      <c r="H49" s="81"/>
      <c r="I49" s="72"/>
      <c r="J49" s="26"/>
      <c r="K49" s="26"/>
      <c r="L49" s="32"/>
      <c r="M49" s="26"/>
      <c r="N49" s="26"/>
      <c r="O49" s="26"/>
      <c r="P49" s="33"/>
      <c r="Q49" s="34"/>
      <c r="R49" s="35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</row>
    <row r="50" spans="1:67" s="15" customFormat="1">
      <c r="A50" s="52"/>
      <c r="B50" s="53"/>
      <c r="C50" s="54"/>
      <c r="D50" s="54"/>
      <c r="E50" s="55"/>
      <c r="F50" s="10">
        <f t="shared" si="0"/>
        <v>14000</v>
      </c>
      <c r="G50" s="55"/>
      <c r="H50" s="81"/>
      <c r="I50" s="72"/>
      <c r="J50" s="26"/>
      <c r="K50" s="26"/>
      <c r="L50" s="32"/>
      <c r="M50" s="26"/>
      <c r="N50" s="26"/>
      <c r="O50" s="26"/>
      <c r="P50" s="33"/>
      <c r="Q50" s="34"/>
      <c r="R50" s="35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</row>
    <row r="51" spans="1:67" s="15" customFormat="1">
      <c r="A51" s="52"/>
      <c r="B51" s="53"/>
      <c r="C51" s="54"/>
      <c r="D51" s="54"/>
      <c r="E51" s="55"/>
      <c r="F51" s="10">
        <f t="shared" si="0"/>
        <v>14000</v>
      </c>
      <c r="G51" s="55"/>
      <c r="H51" s="81"/>
      <c r="I51" s="72"/>
      <c r="J51" s="26"/>
      <c r="K51" s="26"/>
      <c r="L51" s="32"/>
      <c r="M51" s="26"/>
      <c r="N51" s="26"/>
      <c r="O51" s="26"/>
      <c r="P51" s="33"/>
      <c r="Q51" s="34"/>
      <c r="R51" s="35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</row>
    <row r="52" spans="1:67" s="15" customFormat="1">
      <c r="A52" s="52"/>
      <c r="B52" s="53"/>
      <c r="C52" s="54"/>
      <c r="D52" s="54"/>
      <c r="E52" s="55"/>
      <c r="F52" s="10">
        <f t="shared" si="0"/>
        <v>14000</v>
      </c>
      <c r="G52" s="55"/>
      <c r="H52" s="81"/>
      <c r="I52" s="72"/>
      <c r="J52" s="26"/>
      <c r="K52" s="26"/>
      <c r="L52" s="32"/>
      <c r="M52" s="26"/>
      <c r="N52" s="26"/>
      <c r="O52" s="26"/>
      <c r="P52" s="33"/>
      <c r="Q52" s="34"/>
      <c r="R52" s="35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</row>
    <row r="53" spans="1:67" s="15" customFormat="1">
      <c r="A53" s="52"/>
      <c r="B53" s="53"/>
      <c r="C53" s="54"/>
      <c r="D53" s="54"/>
      <c r="E53" s="55"/>
      <c r="F53" s="10">
        <f t="shared" si="0"/>
        <v>14000</v>
      </c>
      <c r="G53" s="55"/>
      <c r="H53" s="81"/>
      <c r="I53" s="72"/>
      <c r="J53" s="26"/>
      <c r="K53" s="26"/>
      <c r="L53" s="32"/>
      <c r="M53" s="26"/>
      <c r="N53" s="26"/>
      <c r="O53" s="26"/>
      <c r="P53" s="33"/>
      <c r="Q53" s="34"/>
      <c r="R53" s="35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</row>
    <row r="54" spans="1:67" s="15" customFormat="1">
      <c r="A54" s="52"/>
      <c r="B54" s="53"/>
      <c r="C54" s="54"/>
      <c r="D54" s="54"/>
      <c r="E54" s="55"/>
      <c r="F54" s="10">
        <f t="shared" si="0"/>
        <v>14000</v>
      </c>
      <c r="G54" s="55"/>
      <c r="H54" s="81"/>
      <c r="I54" s="72"/>
      <c r="J54" s="26"/>
      <c r="K54" s="26"/>
      <c r="L54" s="32"/>
      <c r="M54" s="26"/>
      <c r="N54" s="26"/>
      <c r="O54" s="26"/>
      <c r="P54" s="33"/>
      <c r="Q54" s="34"/>
      <c r="R54" s="35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</row>
    <row r="55" spans="1:67" s="15" customFormat="1">
      <c r="A55" s="52"/>
      <c r="B55" s="53"/>
      <c r="C55" s="54"/>
      <c r="D55" s="54"/>
      <c r="E55" s="55"/>
      <c r="F55" s="10">
        <f t="shared" si="0"/>
        <v>14000</v>
      </c>
      <c r="G55" s="55"/>
      <c r="H55" s="81"/>
      <c r="I55" s="72"/>
      <c r="J55" s="26"/>
      <c r="K55" s="26"/>
      <c r="L55" s="32"/>
      <c r="M55" s="26"/>
      <c r="N55" s="26"/>
      <c r="O55" s="26"/>
      <c r="P55" s="33"/>
      <c r="Q55" s="34"/>
      <c r="R55" s="35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</row>
    <row r="56" spans="1:67" s="15" customFormat="1">
      <c r="A56" s="52"/>
      <c r="B56" s="53"/>
      <c r="C56" s="54"/>
      <c r="D56" s="54"/>
      <c r="E56" s="55"/>
      <c r="F56" s="10">
        <f t="shared" si="0"/>
        <v>14000</v>
      </c>
      <c r="G56" s="55"/>
      <c r="H56" s="81"/>
      <c r="I56" s="72"/>
      <c r="J56" s="26"/>
      <c r="K56" s="26"/>
      <c r="L56" s="32"/>
      <c r="M56" s="26"/>
      <c r="N56" s="26"/>
      <c r="O56" s="26"/>
      <c r="P56" s="33"/>
      <c r="Q56" s="34"/>
      <c r="R56" s="35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</row>
    <row r="57" spans="1:67" s="15" customFormat="1">
      <c r="A57" s="52"/>
      <c r="B57" s="53"/>
      <c r="C57" s="54"/>
      <c r="D57" s="54"/>
      <c r="E57" s="55"/>
      <c r="F57" s="10">
        <f t="shared" si="0"/>
        <v>14000</v>
      </c>
      <c r="G57" s="55"/>
      <c r="H57" s="81"/>
      <c r="I57" s="72"/>
      <c r="J57" s="26"/>
      <c r="K57" s="26"/>
      <c r="L57" s="32"/>
      <c r="M57" s="26"/>
      <c r="N57" s="26"/>
      <c r="O57" s="26"/>
      <c r="P57" s="33"/>
      <c r="Q57" s="34"/>
      <c r="R57" s="35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</row>
    <row r="58" spans="1:67" s="15" customFormat="1">
      <c r="A58" s="52"/>
      <c r="B58" s="53"/>
      <c r="C58" s="54"/>
      <c r="D58" s="54"/>
      <c r="E58" s="55"/>
      <c r="F58" s="10">
        <f t="shared" si="0"/>
        <v>14000</v>
      </c>
      <c r="G58" s="55"/>
      <c r="H58" s="81"/>
      <c r="I58" s="72"/>
      <c r="J58" s="26"/>
      <c r="K58" s="26"/>
      <c r="L58" s="32"/>
      <c r="M58" s="26"/>
      <c r="N58" s="26"/>
      <c r="O58" s="26"/>
      <c r="P58" s="33"/>
      <c r="Q58" s="34"/>
      <c r="R58" s="35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</row>
    <row r="59" spans="1:67" s="15" customFormat="1">
      <c r="A59" s="52"/>
      <c r="B59" s="53"/>
      <c r="C59" s="54"/>
      <c r="D59" s="54"/>
      <c r="E59" s="55"/>
      <c r="F59" s="10">
        <f t="shared" si="0"/>
        <v>14000</v>
      </c>
      <c r="G59" s="55"/>
      <c r="H59" s="81"/>
      <c r="I59" s="72"/>
      <c r="J59" s="26"/>
      <c r="K59" s="26"/>
      <c r="L59" s="32"/>
      <c r="M59" s="26"/>
      <c r="N59" s="26"/>
      <c r="O59" s="26"/>
      <c r="P59" s="33"/>
      <c r="Q59" s="34"/>
      <c r="R59" s="35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</row>
    <row r="60" spans="1:67" s="15" customFormat="1">
      <c r="A60" s="52"/>
      <c r="B60" s="53"/>
      <c r="C60" s="54"/>
      <c r="D60" s="54"/>
      <c r="E60" s="55"/>
      <c r="F60" s="10">
        <f t="shared" si="0"/>
        <v>14000</v>
      </c>
      <c r="G60" s="55"/>
      <c r="H60" s="81"/>
      <c r="I60" s="72"/>
      <c r="J60" s="26"/>
      <c r="K60" s="26"/>
      <c r="L60" s="32"/>
      <c r="M60" s="26"/>
      <c r="N60" s="26"/>
      <c r="O60" s="26"/>
      <c r="P60" s="33"/>
      <c r="Q60" s="34"/>
      <c r="R60" s="35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</row>
    <row r="61" spans="1:67" s="15" customFormat="1">
      <c r="A61" s="52"/>
      <c r="B61" s="53"/>
      <c r="C61" s="54"/>
      <c r="D61" s="54"/>
      <c r="E61" s="55"/>
      <c r="F61" s="10">
        <f t="shared" si="0"/>
        <v>14000</v>
      </c>
      <c r="G61" s="55"/>
      <c r="H61" s="81"/>
      <c r="I61" s="72"/>
      <c r="J61" s="26"/>
      <c r="K61" s="26"/>
      <c r="L61" s="32"/>
      <c r="M61" s="26"/>
      <c r="N61" s="26"/>
      <c r="O61" s="26"/>
      <c r="P61" s="33"/>
      <c r="Q61" s="34"/>
      <c r="R61" s="35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</row>
    <row r="62" spans="1:67" s="15" customFormat="1">
      <c r="A62" s="52"/>
      <c r="B62" s="53"/>
      <c r="C62" s="54"/>
      <c r="D62" s="54"/>
      <c r="E62" s="55"/>
      <c r="F62" s="10">
        <f t="shared" si="0"/>
        <v>14000</v>
      </c>
      <c r="G62" s="55"/>
      <c r="H62" s="81"/>
      <c r="I62" s="72"/>
      <c r="J62" s="26"/>
      <c r="K62" s="26"/>
      <c r="L62" s="32"/>
      <c r="M62" s="26"/>
      <c r="N62" s="26"/>
      <c r="O62" s="26"/>
      <c r="P62" s="33"/>
      <c r="Q62" s="34"/>
      <c r="R62" s="35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</row>
    <row r="63" spans="1:67" s="15" customFormat="1">
      <c r="A63" s="52"/>
      <c r="B63" s="53"/>
      <c r="C63" s="54"/>
      <c r="D63" s="54"/>
      <c r="E63" s="55"/>
      <c r="F63" s="10">
        <f t="shared" si="0"/>
        <v>14000</v>
      </c>
      <c r="G63" s="55"/>
      <c r="H63" s="81"/>
      <c r="I63" s="72"/>
      <c r="J63" s="26"/>
      <c r="K63" s="26"/>
      <c r="L63" s="32"/>
      <c r="M63" s="26"/>
      <c r="N63" s="26"/>
      <c r="O63" s="26"/>
      <c r="P63" s="33"/>
      <c r="Q63" s="34"/>
      <c r="R63" s="35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</row>
    <row r="64" spans="1:67" s="15" customFormat="1">
      <c r="A64" s="52"/>
      <c r="B64" s="53"/>
      <c r="C64" s="54"/>
      <c r="D64" s="54"/>
      <c r="E64" s="55"/>
      <c r="F64" s="10">
        <f t="shared" si="0"/>
        <v>14000</v>
      </c>
      <c r="G64" s="55"/>
      <c r="H64" s="81"/>
      <c r="I64" s="72"/>
      <c r="J64" s="26"/>
      <c r="K64" s="26"/>
      <c r="L64" s="32"/>
      <c r="M64" s="26"/>
      <c r="N64" s="26"/>
      <c r="O64" s="26"/>
      <c r="P64" s="33"/>
      <c r="Q64" s="34"/>
      <c r="R64" s="35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</row>
    <row r="65" spans="1:67" s="15" customFormat="1">
      <c r="A65" s="52"/>
      <c r="B65" s="53"/>
      <c r="C65" s="54"/>
      <c r="D65" s="54"/>
      <c r="E65" s="55"/>
      <c r="F65" s="10">
        <f t="shared" si="0"/>
        <v>14000</v>
      </c>
      <c r="G65" s="55"/>
      <c r="H65" s="81"/>
      <c r="I65" s="72"/>
      <c r="J65" s="26"/>
      <c r="K65" s="26"/>
      <c r="L65" s="32"/>
      <c r="M65" s="26"/>
      <c r="N65" s="26"/>
      <c r="O65" s="26"/>
      <c r="P65" s="33"/>
      <c r="Q65" s="34"/>
      <c r="R65" s="35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</row>
    <row r="66" spans="1:67" s="15" customFormat="1">
      <c r="A66" s="52"/>
      <c r="B66" s="53"/>
      <c r="C66" s="54"/>
      <c r="D66" s="54"/>
      <c r="E66" s="55"/>
      <c r="F66" s="10">
        <f t="shared" si="0"/>
        <v>14000</v>
      </c>
      <c r="G66" s="55"/>
      <c r="H66" s="81"/>
      <c r="I66" s="72"/>
      <c r="J66" s="26"/>
      <c r="K66" s="26"/>
      <c r="L66" s="32"/>
      <c r="M66" s="26"/>
      <c r="N66" s="26"/>
      <c r="O66" s="26"/>
      <c r="P66" s="33"/>
      <c r="Q66" s="34"/>
      <c r="R66" s="35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</row>
    <row r="67" spans="1:67" s="15" customFormat="1">
      <c r="A67" s="52"/>
      <c r="B67" s="53"/>
      <c r="C67" s="54"/>
      <c r="D67" s="54"/>
      <c r="E67" s="55"/>
      <c r="F67" s="10">
        <f t="shared" si="0"/>
        <v>14000</v>
      </c>
      <c r="G67" s="55"/>
      <c r="H67" s="81"/>
      <c r="I67" s="72"/>
      <c r="J67" s="26"/>
      <c r="K67" s="26"/>
      <c r="L67" s="32"/>
      <c r="M67" s="26"/>
      <c r="N67" s="26"/>
      <c r="O67" s="26"/>
      <c r="P67" s="33"/>
      <c r="Q67" s="34"/>
      <c r="R67" s="35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</row>
    <row r="68" spans="1:67" s="15" customFormat="1">
      <c r="A68" s="52"/>
      <c r="B68" s="53"/>
      <c r="C68" s="54"/>
      <c r="D68" s="54"/>
      <c r="E68" s="55"/>
      <c r="F68" s="10">
        <f t="shared" ref="F68:F101" si="4">F67+D68-E68</f>
        <v>14000</v>
      </c>
      <c r="G68" s="55"/>
      <c r="H68" s="81"/>
      <c r="I68" s="72"/>
      <c r="J68" s="26"/>
      <c r="K68" s="26"/>
      <c r="L68" s="32"/>
      <c r="M68" s="26"/>
      <c r="N68" s="26"/>
      <c r="O68" s="26"/>
      <c r="P68" s="33"/>
      <c r="Q68" s="34"/>
      <c r="R68" s="35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</row>
    <row r="69" spans="1:67" s="15" customFormat="1">
      <c r="A69" s="52"/>
      <c r="B69" s="53"/>
      <c r="C69" s="54"/>
      <c r="D69" s="54"/>
      <c r="E69" s="55"/>
      <c r="F69" s="10">
        <f t="shared" si="4"/>
        <v>14000</v>
      </c>
      <c r="G69" s="55"/>
      <c r="H69" s="81"/>
      <c r="I69" s="72"/>
      <c r="J69" s="26"/>
      <c r="K69" s="26"/>
      <c r="L69" s="32"/>
      <c r="M69" s="26"/>
      <c r="N69" s="26"/>
      <c r="O69" s="26"/>
      <c r="P69" s="33"/>
      <c r="Q69" s="34"/>
      <c r="R69" s="35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</row>
    <row r="70" spans="1:67" s="15" customFormat="1">
      <c r="A70" s="52"/>
      <c r="B70" s="53"/>
      <c r="C70" s="54"/>
      <c r="D70" s="54"/>
      <c r="E70" s="55"/>
      <c r="F70" s="10">
        <f t="shared" si="4"/>
        <v>14000</v>
      </c>
      <c r="G70" s="55"/>
      <c r="H70" s="81"/>
      <c r="I70" s="72"/>
      <c r="J70" s="26"/>
      <c r="K70" s="26"/>
      <c r="L70" s="32"/>
      <c r="M70" s="26"/>
      <c r="N70" s="26"/>
      <c r="O70" s="26"/>
      <c r="P70" s="33"/>
      <c r="Q70" s="34"/>
      <c r="R70" s="35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</row>
    <row r="71" spans="1:67" s="15" customFormat="1">
      <c r="A71" s="52"/>
      <c r="B71" s="53"/>
      <c r="C71" s="54"/>
      <c r="D71" s="54"/>
      <c r="E71" s="55"/>
      <c r="F71" s="10">
        <f t="shared" si="4"/>
        <v>14000</v>
      </c>
      <c r="G71" s="55"/>
      <c r="H71" s="81"/>
      <c r="I71" s="72"/>
      <c r="J71" s="26"/>
      <c r="K71" s="26"/>
      <c r="L71" s="32"/>
      <c r="M71" s="26"/>
      <c r="N71" s="26"/>
      <c r="O71" s="26"/>
      <c r="P71" s="33"/>
      <c r="Q71" s="34"/>
      <c r="R71" s="35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</row>
    <row r="72" spans="1:67" s="15" customFormat="1">
      <c r="A72" s="52"/>
      <c r="B72" s="53"/>
      <c r="C72" s="54"/>
      <c r="D72" s="54"/>
      <c r="E72" s="55"/>
      <c r="F72" s="10">
        <f t="shared" si="4"/>
        <v>14000</v>
      </c>
      <c r="G72" s="55"/>
      <c r="H72" s="81"/>
      <c r="I72" s="72"/>
      <c r="J72" s="26"/>
      <c r="K72" s="26"/>
      <c r="L72" s="32"/>
      <c r="M72" s="26"/>
      <c r="N72" s="26"/>
      <c r="O72" s="26"/>
      <c r="P72" s="33"/>
      <c r="Q72" s="34"/>
      <c r="R72" s="35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</row>
    <row r="73" spans="1:67" s="15" customFormat="1">
      <c r="A73" s="52"/>
      <c r="B73" s="53"/>
      <c r="C73" s="54"/>
      <c r="D73" s="54"/>
      <c r="E73" s="55"/>
      <c r="F73" s="10">
        <f t="shared" si="4"/>
        <v>14000</v>
      </c>
      <c r="G73" s="55"/>
      <c r="H73" s="81"/>
      <c r="I73" s="72"/>
      <c r="J73" s="26"/>
      <c r="K73" s="26"/>
      <c r="L73" s="32"/>
      <c r="M73" s="26"/>
      <c r="N73" s="26"/>
      <c r="O73" s="26"/>
      <c r="P73" s="33"/>
      <c r="Q73" s="34"/>
      <c r="R73" s="35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</row>
    <row r="74" spans="1:67" s="15" customFormat="1">
      <c r="A74" s="52"/>
      <c r="B74" s="53"/>
      <c r="C74" s="54"/>
      <c r="D74" s="54"/>
      <c r="E74" s="55"/>
      <c r="F74" s="10">
        <f t="shared" si="4"/>
        <v>14000</v>
      </c>
      <c r="G74" s="55"/>
      <c r="H74" s="81"/>
      <c r="I74" s="72"/>
      <c r="J74" s="26"/>
      <c r="K74" s="26"/>
      <c r="L74" s="32"/>
      <c r="M74" s="26"/>
      <c r="N74" s="26"/>
      <c r="O74" s="26"/>
      <c r="P74" s="33"/>
      <c r="Q74" s="34"/>
      <c r="R74" s="35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</row>
    <row r="75" spans="1:67" s="15" customFormat="1">
      <c r="A75" s="52"/>
      <c r="B75" s="53"/>
      <c r="C75" s="54"/>
      <c r="D75" s="54"/>
      <c r="E75" s="55"/>
      <c r="F75" s="10">
        <f t="shared" si="4"/>
        <v>14000</v>
      </c>
      <c r="G75" s="55"/>
      <c r="H75" s="81"/>
      <c r="I75" s="72"/>
      <c r="J75" s="26"/>
      <c r="K75" s="26"/>
      <c r="L75" s="32"/>
      <c r="M75" s="26"/>
      <c r="N75" s="26"/>
      <c r="O75" s="26"/>
      <c r="P75" s="33"/>
      <c r="Q75" s="34"/>
      <c r="R75" s="35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</row>
    <row r="76" spans="1:67" s="15" customFormat="1">
      <c r="A76" s="52"/>
      <c r="B76" s="53"/>
      <c r="C76" s="54"/>
      <c r="D76" s="54"/>
      <c r="E76" s="55"/>
      <c r="F76" s="10">
        <f t="shared" si="4"/>
        <v>14000</v>
      </c>
      <c r="G76" s="55"/>
      <c r="H76" s="81"/>
      <c r="I76" s="72"/>
      <c r="J76" s="26"/>
      <c r="K76" s="26"/>
      <c r="L76" s="32"/>
      <c r="M76" s="26"/>
      <c r="N76" s="26"/>
      <c r="O76" s="26"/>
      <c r="P76" s="33"/>
      <c r="Q76" s="34"/>
      <c r="R76" s="35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</row>
    <row r="77" spans="1:67" s="15" customFormat="1">
      <c r="A77" s="52"/>
      <c r="B77" s="53"/>
      <c r="C77" s="54"/>
      <c r="D77" s="54"/>
      <c r="E77" s="55"/>
      <c r="F77" s="10">
        <f t="shared" si="4"/>
        <v>14000</v>
      </c>
      <c r="G77" s="55"/>
      <c r="H77" s="81"/>
      <c r="I77" s="72"/>
      <c r="J77" s="26"/>
      <c r="K77" s="26"/>
      <c r="L77" s="32"/>
      <c r="M77" s="26"/>
      <c r="N77" s="26"/>
      <c r="O77" s="26"/>
      <c r="P77" s="33"/>
      <c r="Q77" s="34"/>
      <c r="R77" s="35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</row>
    <row r="78" spans="1:67" s="15" customFormat="1">
      <c r="A78" s="52"/>
      <c r="B78" s="53"/>
      <c r="C78" s="54"/>
      <c r="D78" s="54"/>
      <c r="E78" s="55"/>
      <c r="F78" s="10">
        <f t="shared" si="4"/>
        <v>14000</v>
      </c>
      <c r="G78" s="55"/>
      <c r="H78" s="81"/>
      <c r="I78" s="72"/>
      <c r="J78" s="26"/>
      <c r="K78" s="26"/>
      <c r="L78" s="32"/>
      <c r="M78" s="26"/>
      <c r="N78" s="26"/>
      <c r="O78" s="26"/>
      <c r="P78" s="33"/>
      <c r="Q78" s="34"/>
      <c r="R78" s="35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</row>
    <row r="79" spans="1:67" s="15" customFormat="1">
      <c r="A79" s="52"/>
      <c r="B79" s="53"/>
      <c r="C79" s="54"/>
      <c r="D79" s="54"/>
      <c r="E79" s="55"/>
      <c r="F79" s="10">
        <f t="shared" si="4"/>
        <v>14000</v>
      </c>
      <c r="G79" s="55"/>
      <c r="H79" s="81"/>
      <c r="I79" s="72"/>
      <c r="J79" s="26"/>
      <c r="K79" s="26"/>
      <c r="L79" s="32"/>
      <c r="M79" s="26"/>
      <c r="N79" s="26"/>
      <c r="O79" s="26"/>
      <c r="P79" s="33"/>
      <c r="Q79" s="34"/>
      <c r="R79" s="35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</row>
    <row r="80" spans="1:67" s="15" customFormat="1">
      <c r="A80" s="52"/>
      <c r="B80" s="53"/>
      <c r="C80" s="54"/>
      <c r="D80" s="54"/>
      <c r="E80" s="55"/>
      <c r="F80" s="10">
        <f t="shared" si="4"/>
        <v>14000</v>
      </c>
      <c r="G80" s="55"/>
      <c r="H80" s="81"/>
      <c r="I80" s="72"/>
      <c r="J80" s="26"/>
      <c r="K80" s="26"/>
      <c r="L80" s="32"/>
      <c r="M80" s="26"/>
      <c r="N80" s="26"/>
      <c r="O80" s="26"/>
      <c r="P80" s="33"/>
      <c r="Q80" s="34"/>
      <c r="R80" s="35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</row>
    <row r="81" spans="1:67" s="15" customFormat="1">
      <c r="A81" s="52"/>
      <c r="B81" s="53"/>
      <c r="C81" s="54"/>
      <c r="D81" s="54"/>
      <c r="E81" s="55"/>
      <c r="F81" s="10">
        <f t="shared" si="4"/>
        <v>14000</v>
      </c>
      <c r="G81" s="55"/>
      <c r="H81" s="81"/>
      <c r="I81" s="72"/>
      <c r="J81" s="26"/>
      <c r="K81" s="26"/>
      <c r="L81" s="32"/>
      <c r="M81" s="26"/>
      <c r="N81" s="26"/>
      <c r="O81" s="26"/>
      <c r="P81" s="33"/>
      <c r="Q81" s="34"/>
      <c r="R81" s="35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</row>
    <row r="82" spans="1:67" s="15" customFormat="1">
      <c r="A82" s="52"/>
      <c r="B82" s="53"/>
      <c r="C82" s="54"/>
      <c r="D82" s="54"/>
      <c r="E82" s="55"/>
      <c r="F82" s="10">
        <f t="shared" si="4"/>
        <v>14000</v>
      </c>
      <c r="G82" s="55"/>
      <c r="H82" s="81"/>
      <c r="I82" s="72"/>
      <c r="J82" s="26"/>
      <c r="K82" s="26"/>
      <c r="L82" s="32"/>
      <c r="M82" s="26"/>
      <c r="N82" s="26"/>
      <c r="O82" s="26"/>
      <c r="P82" s="33"/>
      <c r="Q82" s="34"/>
      <c r="R82" s="35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4"/>
    </row>
    <row r="83" spans="1:67" s="15" customFormat="1">
      <c r="A83" s="52"/>
      <c r="B83" s="53"/>
      <c r="C83" s="54"/>
      <c r="D83" s="54"/>
      <c r="E83" s="55"/>
      <c r="F83" s="10">
        <f t="shared" si="4"/>
        <v>14000</v>
      </c>
      <c r="G83" s="55"/>
      <c r="H83" s="81"/>
      <c r="I83" s="72"/>
      <c r="J83" s="26"/>
      <c r="K83" s="26"/>
      <c r="L83" s="32"/>
      <c r="M83" s="26"/>
      <c r="N83" s="26"/>
      <c r="O83" s="26"/>
      <c r="P83" s="33"/>
      <c r="Q83" s="34"/>
      <c r="R83" s="35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</row>
    <row r="84" spans="1:67" s="15" customFormat="1">
      <c r="A84" s="52"/>
      <c r="B84" s="53"/>
      <c r="C84" s="54"/>
      <c r="D84" s="54"/>
      <c r="E84" s="55"/>
      <c r="F84" s="10">
        <f t="shared" si="4"/>
        <v>14000</v>
      </c>
      <c r="G84" s="55"/>
      <c r="H84" s="81"/>
      <c r="I84" s="72"/>
      <c r="J84" s="26"/>
      <c r="K84" s="26"/>
      <c r="L84" s="32"/>
      <c r="M84" s="26"/>
      <c r="N84" s="26"/>
      <c r="O84" s="26"/>
      <c r="P84" s="33"/>
      <c r="Q84" s="34"/>
      <c r="R84" s="35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</row>
    <row r="85" spans="1:67" s="15" customFormat="1">
      <c r="A85" s="52"/>
      <c r="B85" s="53"/>
      <c r="C85" s="54"/>
      <c r="D85" s="54"/>
      <c r="E85" s="55"/>
      <c r="F85" s="10">
        <f t="shared" si="4"/>
        <v>14000</v>
      </c>
      <c r="G85" s="55"/>
      <c r="H85" s="81"/>
      <c r="I85" s="72"/>
      <c r="J85" s="26"/>
      <c r="K85" s="26"/>
      <c r="L85" s="32"/>
      <c r="M85" s="26"/>
      <c r="N85" s="26"/>
      <c r="O85" s="26"/>
      <c r="P85" s="33"/>
      <c r="Q85" s="34"/>
      <c r="R85" s="35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</row>
    <row r="86" spans="1:67" s="15" customFormat="1">
      <c r="A86" s="52"/>
      <c r="B86" s="53"/>
      <c r="C86" s="54"/>
      <c r="D86" s="54"/>
      <c r="E86" s="55"/>
      <c r="F86" s="10">
        <f t="shared" si="4"/>
        <v>14000</v>
      </c>
      <c r="G86" s="55"/>
      <c r="H86" s="81"/>
      <c r="I86" s="72"/>
      <c r="J86" s="26"/>
      <c r="K86" s="26"/>
      <c r="L86" s="32"/>
      <c r="M86" s="26"/>
      <c r="N86" s="26"/>
      <c r="O86" s="26"/>
      <c r="P86" s="33"/>
      <c r="Q86" s="34"/>
      <c r="R86" s="35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</row>
    <row r="87" spans="1:67" s="15" customFormat="1">
      <c r="A87" s="52"/>
      <c r="B87" s="53"/>
      <c r="C87" s="54"/>
      <c r="D87" s="54"/>
      <c r="E87" s="55"/>
      <c r="F87" s="10">
        <f t="shared" si="4"/>
        <v>14000</v>
      </c>
      <c r="G87" s="55"/>
      <c r="H87" s="81"/>
      <c r="I87" s="72"/>
      <c r="J87" s="26"/>
      <c r="K87" s="26"/>
      <c r="L87" s="32"/>
      <c r="M87" s="26"/>
      <c r="N87" s="26"/>
      <c r="O87" s="26"/>
      <c r="P87" s="33"/>
      <c r="Q87" s="34"/>
      <c r="R87" s="35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</row>
    <row r="88" spans="1:67" s="15" customFormat="1">
      <c r="A88" s="52"/>
      <c r="B88" s="53"/>
      <c r="C88" s="54"/>
      <c r="D88" s="54"/>
      <c r="E88" s="55"/>
      <c r="F88" s="10">
        <f t="shared" si="4"/>
        <v>14000</v>
      </c>
      <c r="G88" s="55"/>
      <c r="H88" s="81"/>
      <c r="I88" s="72"/>
      <c r="J88" s="26"/>
      <c r="K88" s="26"/>
      <c r="L88" s="32"/>
      <c r="M88" s="26"/>
      <c r="N88" s="26"/>
      <c r="O88" s="26"/>
      <c r="P88" s="33"/>
      <c r="Q88" s="34"/>
      <c r="R88" s="35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  <c r="BO88" s="14"/>
    </row>
    <row r="89" spans="1:67" s="15" customFormat="1">
      <c r="A89" s="52"/>
      <c r="B89" s="53"/>
      <c r="C89" s="54"/>
      <c r="D89" s="54"/>
      <c r="E89" s="55"/>
      <c r="F89" s="10">
        <f t="shared" si="4"/>
        <v>14000</v>
      </c>
      <c r="G89" s="55"/>
      <c r="H89" s="81"/>
      <c r="I89" s="72"/>
      <c r="J89" s="26"/>
      <c r="K89" s="26"/>
      <c r="L89" s="32"/>
      <c r="M89" s="26"/>
      <c r="N89" s="26"/>
      <c r="O89" s="26"/>
      <c r="P89" s="33"/>
      <c r="Q89" s="34"/>
      <c r="R89" s="35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</row>
    <row r="90" spans="1:67" s="15" customFormat="1">
      <c r="A90" s="52"/>
      <c r="B90" s="53"/>
      <c r="C90" s="54"/>
      <c r="D90" s="54"/>
      <c r="E90" s="55"/>
      <c r="F90" s="10">
        <f t="shared" si="4"/>
        <v>14000</v>
      </c>
      <c r="G90" s="55"/>
      <c r="H90" s="81"/>
      <c r="I90" s="72"/>
      <c r="J90" s="26"/>
      <c r="K90" s="26"/>
      <c r="L90" s="32"/>
      <c r="M90" s="26"/>
      <c r="N90" s="26"/>
      <c r="O90" s="26"/>
      <c r="P90" s="33"/>
      <c r="Q90" s="34"/>
      <c r="R90" s="35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s="14"/>
      <c r="BO90" s="14"/>
    </row>
    <row r="91" spans="1:67" s="15" customFormat="1">
      <c r="A91" s="52"/>
      <c r="B91" s="53"/>
      <c r="C91" s="54"/>
      <c r="D91" s="54"/>
      <c r="E91" s="55"/>
      <c r="F91" s="10">
        <f t="shared" si="4"/>
        <v>14000</v>
      </c>
      <c r="G91" s="55"/>
      <c r="H91" s="81"/>
      <c r="I91" s="72"/>
      <c r="J91" s="26"/>
      <c r="K91" s="26"/>
      <c r="L91" s="32"/>
      <c r="M91" s="26"/>
      <c r="N91" s="26"/>
      <c r="O91" s="26"/>
      <c r="P91" s="33"/>
      <c r="Q91" s="34"/>
      <c r="R91" s="35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</row>
    <row r="92" spans="1:67" s="15" customFormat="1">
      <c r="A92" s="52"/>
      <c r="B92" s="53"/>
      <c r="C92" s="54"/>
      <c r="D92" s="54"/>
      <c r="E92" s="55"/>
      <c r="F92" s="10">
        <f t="shared" si="4"/>
        <v>14000</v>
      </c>
      <c r="G92" s="55"/>
      <c r="H92" s="81"/>
      <c r="I92" s="72"/>
      <c r="J92" s="26"/>
      <c r="K92" s="26"/>
      <c r="L92" s="32"/>
      <c r="M92" s="26"/>
      <c r="N92" s="26"/>
      <c r="O92" s="26"/>
      <c r="P92" s="33"/>
      <c r="Q92" s="34"/>
      <c r="R92" s="35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4"/>
      <c r="BO92" s="14"/>
    </row>
    <row r="93" spans="1:67" s="15" customFormat="1">
      <c r="A93" s="52"/>
      <c r="B93" s="53"/>
      <c r="C93" s="54"/>
      <c r="D93" s="54"/>
      <c r="E93" s="55"/>
      <c r="F93" s="10">
        <f t="shared" si="4"/>
        <v>14000</v>
      </c>
      <c r="G93" s="55"/>
      <c r="H93" s="81"/>
      <c r="I93" s="72"/>
      <c r="J93" s="26"/>
      <c r="K93" s="26"/>
      <c r="L93" s="32"/>
      <c r="M93" s="26"/>
      <c r="N93" s="26"/>
      <c r="O93" s="26"/>
      <c r="P93" s="33"/>
      <c r="Q93" s="34"/>
      <c r="R93" s="35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</row>
    <row r="94" spans="1:67" s="15" customFormat="1">
      <c r="A94" s="52"/>
      <c r="B94" s="53"/>
      <c r="C94" s="54"/>
      <c r="D94" s="54"/>
      <c r="E94" s="55"/>
      <c r="F94" s="10">
        <f t="shared" si="4"/>
        <v>14000</v>
      </c>
      <c r="G94" s="55"/>
      <c r="H94" s="81"/>
      <c r="I94" s="72"/>
      <c r="J94" s="26"/>
      <c r="K94" s="26"/>
      <c r="L94" s="32"/>
      <c r="M94" s="26"/>
      <c r="N94" s="26"/>
      <c r="O94" s="26"/>
      <c r="P94" s="33"/>
      <c r="Q94" s="34"/>
      <c r="R94" s="35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  <c r="BK94" s="14"/>
      <c r="BL94" s="14"/>
      <c r="BM94" s="14"/>
      <c r="BN94" s="14"/>
      <c r="BO94" s="14"/>
    </row>
    <row r="95" spans="1:67" s="15" customFormat="1">
      <c r="A95" s="52"/>
      <c r="B95" s="53"/>
      <c r="C95" s="54"/>
      <c r="D95" s="54"/>
      <c r="E95" s="55"/>
      <c r="F95" s="10">
        <f t="shared" si="4"/>
        <v>14000</v>
      </c>
      <c r="G95" s="55"/>
      <c r="H95" s="81"/>
      <c r="I95" s="72"/>
      <c r="J95" s="26"/>
      <c r="K95" s="26"/>
      <c r="L95" s="32"/>
      <c r="M95" s="26"/>
      <c r="N95" s="26"/>
      <c r="O95" s="26"/>
      <c r="P95" s="33"/>
      <c r="Q95" s="34"/>
      <c r="R95" s="35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</row>
    <row r="96" spans="1:67" s="15" customFormat="1">
      <c r="A96" s="52"/>
      <c r="B96" s="53"/>
      <c r="C96" s="54"/>
      <c r="D96" s="54"/>
      <c r="E96" s="55"/>
      <c r="F96" s="10">
        <f t="shared" si="4"/>
        <v>14000</v>
      </c>
      <c r="G96" s="55"/>
      <c r="H96" s="81"/>
      <c r="I96" s="72"/>
      <c r="J96" s="26"/>
      <c r="K96" s="26"/>
      <c r="L96" s="32"/>
      <c r="M96" s="26"/>
      <c r="N96" s="26"/>
      <c r="O96" s="26"/>
      <c r="P96" s="33"/>
      <c r="Q96" s="34"/>
      <c r="R96" s="35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4"/>
    </row>
    <row r="97" spans="1:67" s="15" customFormat="1">
      <c r="A97" s="52"/>
      <c r="B97" s="53"/>
      <c r="C97" s="54"/>
      <c r="D97" s="54"/>
      <c r="E97" s="55"/>
      <c r="F97" s="10">
        <f t="shared" si="4"/>
        <v>14000</v>
      </c>
      <c r="G97" s="55"/>
      <c r="H97" s="81"/>
      <c r="I97" s="72"/>
      <c r="J97" s="26"/>
      <c r="K97" s="26"/>
      <c r="L97" s="32"/>
      <c r="M97" s="26"/>
      <c r="N97" s="26"/>
      <c r="O97" s="26"/>
      <c r="P97" s="33"/>
      <c r="Q97" s="34"/>
      <c r="R97" s="35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</row>
    <row r="98" spans="1:67" s="15" customFormat="1">
      <c r="A98" s="52"/>
      <c r="B98" s="53"/>
      <c r="C98" s="54"/>
      <c r="D98" s="54"/>
      <c r="E98" s="55"/>
      <c r="F98" s="10">
        <f t="shared" si="4"/>
        <v>14000</v>
      </c>
      <c r="G98" s="55"/>
      <c r="H98" s="81"/>
      <c r="I98" s="72"/>
      <c r="J98" s="26"/>
      <c r="K98" s="26"/>
      <c r="L98" s="32"/>
      <c r="M98" s="26"/>
      <c r="N98" s="26"/>
      <c r="O98" s="26"/>
      <c r="P98" s="33"/>
      <c r="Q98" s="34"/>
      <c r="R98" s="35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  <c r="BH98" s="14"/>
      <c r="BI98" s="14"/>
      <c r="BJ98" s="14"/>
      <c r="BK98" s="14"/>
      <c r="BL98" s="14"/>
      <c r="BM98" s="14"/>
      <c r="BN98" s="14"/>
      <c r="BO98" s="14"/>
    </row>
    <row r="99" spans="1:67" s="15" customFormat="1">
      <c r="A99" s="52"/>
      <c r="B99" s="53"/>
      <c r="C99" s="54"/>
      <c r="D99" s="54"/>
      <c r="E99" s="55"/>
      <c r="F99" s="10">
        <f t="shared" si="4"/>
        <v>14000</v>
      </c>
      <c r="G99" s="55"/>
      <c r="H99" s="81"/>
      <c r="I99" s="72"/>
      <c r="J99" s="26"/>
      <c r="K99" s="26"/>
      <c r="L99" s="32"/>
      <c r="M99" s="26"/>
      <c r="N99" s="26"/>
      <c r="O99" s="26"/>
      <c r="P99" s="33"/>
      <c r="Q99" s="34"/>
      <c r="R99" s="35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  <c r="BK99" s="14"/>
      <c r="BL99" s="14"/>
      <c r="BM99" s="14"/>
      <c r="BN99" s="14"/>
      <c r="BO99" s="14"/>
    </row>
    <row r="100" spans="1:67" s="15" customFormat="1">
      <c r="A100" s="52"/>
      <c r="B100" s="53"/>
      <c r="C100" s="54"/>
      <c r="D100" s="54"/>
      <c r="E100" s="55"/>
      <c r="F100" s="10">
        <f t="shared" si="4"/>
        <v>14000</v>
      </c>
      <c r="G100" s="55"/>
      <c r="H100" s="81"/>
      <c r="I100" s="72"/>
      <c r="J100" s="26"/>
      <c r="K100" s="26"/>
      <c r="L100" s="32"/>
      <c r="M100" s="26"/>
      <c r="N100" s="26"/>
      <c r="O100" s="26"/>
      <c r="P100" s="33"/>
      <c r="Q100" s="34"/>
      <c r="R100" s="35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  <c r="BJ100" s="14"/>
      <c r="BK100" s="14"/>
      <c r="BL100" s="14"/>
      <c r="BM100" s="14"/>
      <c r="BN100" s="14"/>
      <c r="BO100" s="14"/>
    </row>
    <row r="101" spans="1:67" s="15" customFormat="1">
      <c r="A101" s="56"/>
      <c r="B101" s="57"/>
      <c r="C101" s="58"/>
      <c r="D101" s="58"/>
      <c r="E101" s="59"/>
      <c r="F101" s="10">
        <f t="shared" si="4"/>
        <v>14000</v>
      </c>
      <c r="G101" s="59"/>
      <c r="H101" s="82"/>
      <c r="I101" s="73"/>
      <c r="J101" s="36"/>
      <c r="K101" s="36"/>
      <c r="L101" s="37"/>
      <c r="M101" s="36"/>
      <c r="N101" s="36"/>
      <c r="O101" s="36"/>
      <c r="P101" s="38"/>
      <c r="Q101" s="39"/>
      <c r="R101" s="40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</row>
    <row r="102" spans="1:67" s="41" customFormat="1">
      <c r="H102" s="83"/>
    </row>
  </sheetData>
  <sheetProtection password="C7D5" sheet="1" objects="1" scenarios="1"/>
  <dataValidations count="1">
    <dataValidation type="list" allowBlank="1" showInputMessage="1" showErrorMessage="1" errorTitle="Alert" error="Please select a valid option from the predefined list" promptTitle="Choose" prompt="Select a product from this list" sqref="B3:B101" xr:uid="{00000000-0002-0000-0000-000000000000}">
      <formula1>$J$3:$J$42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Ugochukwu Esegbue</cp:lastModifiedBy>
  <cp:revision/>
  <dcterms:created xsi:type="dcterms:W3CDTF">2026-03-05T05:39:45Z</dcterms:created>
  <dcterms:modified xsi:type="dcterms:W3CDTF">2026-03-05T08:24:33Z</dcterms:modified>
  <cp:category/>
  <cp:contentStatus/>
</cp:coreProperties>
</file>